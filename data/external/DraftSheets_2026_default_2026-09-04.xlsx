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1e1841f2161445f/Desktop/FFB/DraftSheets/"/>
    </mc:Choice>
  </mc:AlternateContent>
  <xr:revisionPtr revIDLastSave="1330" documentId="13_ncr:1_{F5C093B6-C0A1-4437-814C-FDBCFE379A5C}" xr6:coauthVersionLast="47" xr6:coauthVersionMax="47" xr10:uidLastSave="{314FA632-4A72-497B-AC81-437AA8348CE2}"/>
  <bookViews>
    <workbookView xWindow="5676" yWindow="528" windowWidth="18528" windowHeight="12624" tabRatio="500" activeTab="1" xr2:uid="{00000000-000D-0000-FFFF-FFFF00000000}"/>
  </bookViews>
  <sheets>
    <sheet name="Scoring" sheetId="1" r:id="rId1"/>
    <sheet name="DraftSheet" sheetId="2" r:id="rId2"/>
    <sheet name="Aggregate" sheetId="4" state="hidden" r:id="rId3"/>
    <sheet name="QB" sheetId="5" state="hidden" r:id="rId4"/>
    <sheet name="RB" sheetId="6" state="hidden" r:id="rId5"/>
    <sheet name="WR" sheetId="7" state="hidden" r:id="rId6"/>
    <sheet name="TE" sheetId="8" state="hidden" r:id="rId7"/>
    <sheet name="ECR" sheetId="9" state="hidden" r:id="rId8"/>
    <sheet name="FLEX" sheetId="3" state="hidden" r:id="rId9"/>
    <sheet name="RISK" sheetId="10" state="hidden" r:id="rId10"/>
    <sheet name="Rookies" sheetId="12" state="hidden" r:id="rId11"/>
  </sheets>
  <definedNames>
    <definedName name="_xlnm.Print_Area" localSheetId="1">DraftSheet!$B$1:$AC$84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1" i="1" l="1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X4" i="6"/>
  <c r="Y4" i="6"/>
  <c r="X5" i="6"/>
  <c r="Z5" i="6" s="1"/>
  <c r="Y5" i="6"/>
  <c r="X6" i="6"/>
  <c r="Y6" i="6"/>
  <c r="X7" i="6"/>
  <c r="Y7" i="6"/>
  <c r="X8" i="6"/>
  <c r="Y8" i="6"/>
  <c r="X9" i="6"/>
  <c r="Y9" i="6"/>
  <c r="X10" i="6"/>
  <c r="Y10" i="6"/>
  <c r="X11" i="6"/>
  <c r="Y11" i="6"/>
  <c r="X12" i="6"/>
  <c r="Y12" i="6"/>
  <c r="X13" i="6"/>
  <c r="Z13" i="6" s="1"/>
  <c r="Y13" i="6"/>
  <c r="X14" i="6"/>
  <c r="Y14" i="6"/>
  <c r="X15" i="6"/>
  <c r="Y15" i="6"/>
  <c r="X16" i="6"/>
  <c r="Y16" i="6"/>
  <c r="X17" i="6"/>
  <c r="Y17" i="6"/>
  <c r="X18" i="6"/>
  <c r="Y18" i="6"/>
  <c r="X19" i="6"/>
  <c r="Y19" i="6"/>
  <c r="X20" i="6"/>
  <c r="Y20" i="6"/>
  <c r="X21" i="6"/>
  <c r="Z21" i="6" s="1"/>
  <c r="Y21" i="6"/>
  <c r="X22" i="6"/>
  <c r="Y22" i="6"/>
  <c r="X23" i="6"/>
  <c r="Y23" i="6"/>
  <c r="X24" i="6"/>
  <c r="Y24" i="6"/>
  <c r="X25" i="6"/>
  <c r="Y25" i="6"/>
  <c r="X26" i="6"/>
  <c r="Y26" i="6"/>
  <c r="X27" i="6"/>
  <c r="Y27" i="6"/>
  <c r="X28" i="6"/>
  <c r="Y28" i="6"/>
  <c r="X29" i="6"/>
  <c r="Z29" i="6" s="1"/>
  <c r="Y29" i="6"/>
  <c r="X30" i="6"/>
  <c r="Y30" i="6"/>
  <c r="X31" i="6"/>
  <c r="Y31" i="6"/>
  <c r="X32" i="6"/>
  <c r="Y32" i="6"/>
  <c r="Z32" i="6" s="1"/>
  <c r="X33" i="6"/>
  <c r="Y33" i="6"/>
  <c r="X34" i="6"/>
  <c r="Y34" i="6"/>
  <c r="X35" i="6"/>
  <c r="Y35" i="6"/>
  <c r="X36" i="6"/>
  <c r="Y36" i="6"/>
  <c r="X37" i="6"/>
  <c r="Y37" i="6"/>
  <c r="X38" i="6"/>
  <c r="Y38" i="6"/>
  <c r="X39" i="6"/>
  <c r="Y39" i="6"/>
  <c r="X40" i="6"/>
  <c r="Y40" i="6"/>
  <c r="X41" i="6"/>
  <c r="Y41" i="6"/>
  <c r="X42" i="6"/>
  <c r="Y42" i="6"/>
  <c r="X43" i="6"/>
  <c r="Y43" i="6"/>
  <c r="X44" i="6"/>
  <c r="Y44" i="6"/>
  <c r="X45" i="6"/>
  <c r="Z45" i="6" s="1"/>
  <c r="Y45" i="6"/>
  <c r="X46" i="6"/>
  <c r="Y46" i="6"/>
  <c r="X47" i="6"/>
  <c r="Y47" i="6"/>
  <c r="X48" i="6"/>
  <c r="Y48" i="6"/>
  <c r="X49" i="6"/>
  <c r="Y49" i="6"/>
  <c r="X50" i="6"/>
  <c r="Y50" i="6"/>
  <c r="X51" i="6"/>
  <c r="Y51" i="6"/>
  <c r="X52" i="6"/>
  <c r="Y52" i="6"/>
  <c r="X53" i="6"/>
  <c r="Z53" i="6" s="1"/>
  <c r="Y53" i="6"/>
  <c r="X54" i="6"/>
  <c r="Y54" i="6"/>
  <c r="X55" i="6"/>
  <c r="Y55" i="6"/>
  <c r="X56" i="6"/>
  <c r="Y56" i="6"/>
  <c r="X57" i="6"/>
  <c r="Y57" i="6"/>
  <c r="X58" i="6"/>
  <c r="Y58" i="6"/>
  <c r="X59" i="6"/>
  <c r="Y59" i="6"/>
  <c r="X60" i="6"/>
  <c r="Y60" i="6"/>
  <c r="X61" i="6"/>
  <c r="Z61" i="6" s="1"/>
  <c r="Y61" i="6"/>
  <c r="X62" i="6"/>
  <c r="Y62" i="6"/>
  <c r="X63" i="6"/>
  <c r="Y63" i="6"/>
  <c r="X64" i="6"/>
  <c r="Y64" i="6"/>
  <c r="Z64" i="6" s="1"/>
  <c r="X65" i="6"/>
  <c r="Y65" i="6"/>
  <c r="X66" i="6"/>
  <c r="Y66" i="6"/>
  <c r="X67" i="6"/>
  <c r="Y67" i="6"/>
  <c r="X68" i="6"/>
  <c r="Y68" i="6"/>
  <c r="X69" i="6"/>
  <c r="Z69" i="6" s="1"/>
  <c r="Y69" i="6"/>
  <c r="X70" i="6"/>
  <c r="Y70" i="6"/>
  <c r="X71" i="6"/>
  <c r="Y71" i="6"/>
  <c r="X72" i="6"/>
  <c r="Y72" i="6"/>
  <c r="X73" i="6"/>
  <c r="Y73" i="6"/>
  <c r="X74" i="6"/>
  <c r="Y74" i="6"/>
  <c r="X75" i="6"/>
  <c r="Y75" i="6"/>
  <c r="X76" i="6"/>
  <c r="Y76" i="6"/>
  <c r="X77" i="6"/>
  <c r="Z77" i="6" s="1"/>
  <c r="Y77" i="6"/>
  <c r="X78" i="6"/>
  <c r="Y78" i="6"/>
  <c r="X79" i="6"/>
  <c r="Y79" i="6"/>
  <c r="X80" i="6"/>
  <c r="Y80" i="6"/>
  <c r="Z80" i="6" s="1"/>
  <c r="X81" i="6"/>
  <c r="Y81" i="6"/>
  <c r="X82" i="6"/>
  <c r="Y82" i="6"/>
  <c r="X83" i="6"/>
  <c r="Y83" i="6"/>
  <c r="X84" i="6"/>
  <c r="Y84" i="6"/>
  <c r="X85" i="6"/>
  <c r="Z85" i="6" s="1"/>
  <c r="Y85" i="6"/>
  <c r="X86" i="6"/>
  <c r="Y86" i="6"/>
  <c r="X87" i="6"/>
  <c r="Y87" i="6"/>
  <c r="X88" i="6"/>
  <c r="Y88" i="6"/>
  <c r="X89" i="6"/>
  <c r="Y89" i="6"/>
  <c r="X90" i="6"/>
  <c r="Y90" i="6"/>
  <c r="X91" i="6"/>
  <c r="Y91" i="6"/>
  <c r="X92" i="6"/>
  <c r="Y92" i="6"/>
  <c r="X93" i="6"/>
  <c r="Z93" i="6" s="1"/>
  <c r="Y93" i="6"/>
  <c r="X94" i="6"/>
  <c r="Y94" i="6"/>
  <c r="X95" i="6"/>
  <c r="Y95" i="6"/>
  <c r="X96" i="6"/>
  <c r="Y96" i="6"/>
  <c r="X97" i="6"/>
  <c r="Y97" i="6"/>
  <c r="X98" i="6"/>
  <c r="Y98" i="6"/>
  <c r="X99" i="6"/>
  <c r="Y99" i="6"/>
  <c r="X100" i="6"/>
  <c r="Y100" i="6"/>
  <c r="X101" i="6"/>
  <c r="Z101" i="6" s="1"/>
  <c r="Y101" i="6"/>
  <c r="X102" i="6"/>
  <c r="Y102" i="6"/>
  <c r="X103" i="6"/>
  <c r="Y103" i="6"/>
  <c r="X104" i="6"/>
  <c r="Y104" i="6"/>
  <c r="X105" i="6"/>
  <c r="Y105" i="6"/>
  <c r="X106" i="6"/>
  <c r="Y106" i="6"/>
  <c r="X107" i="6"/>
  <c r="Y107" i="6"/>
  <c r="X108" i="6"/>
  <c r="Y108" i="6"/>
  <c r="X109" i="6"/>
  <c r="Z109" i="6" s="1"/>
  <c r="Y109" i="6"/>
  <c r="X110" i="6"/>
  <c r="Y110" i="6"/>
  <c r="X111" i="6"/>
  <c r="Y111" i="6"/>
  <c r="X112" i="6"/>
  <c r="Y112" i="6"/>
  <c r="X113" i="6"/>
  <c r="Y113" i="6"/>
  <c r="X114" i="6"/>
  <c r="Y114" i="6"/>
  <c r="X115" i="6"/>
  <c r="Y115" i="6"/>
  <c r="X116" i="6"/>
  <c r="Y116" i="6"/>
  <c r="X117" i="6"/>
  <c r="Z117" i="6" s="1"/>
  <c r="Y117" i="6"/>
  <c r="X118" i="6"/>
  <c r="Y118" i="6"/>
  <c r="X119" i="6"/>
  <c r="Y119" i="6"/>
  <c r="X120" i="6"/>
  <c r="Y120" i="6"/>
  <c r="X121" i="6"/>
  <c r="Y121" i="6"/>
  <c r="X122" i="6"/>
  <c r="Y122" i="6"/>
  <c r="X123" i="6"/>
  <c r="Y123" i="6"/>
  <c r="X124" i="6"/>
  <c r="Y124" i="6"/>
  <c r="X125" i="6"/>
  <c r="Z125" i="6" s="1"/>
  <c r="Y125" i="6"/>
  <c r="X126" i="6"/>
  <c r="Y126" i="6"/>
  <c r="X127" i="6"/>
  <c r="Y127" i="6"/>
  <c r="X128" i="6"/>
  <c r="Y128" i="6"/>
  <c r="Z128" i="6" s="1"/>
  <c r="X129" i="6"/>
  <c r="Y129" i="6"/>
  <c r="X130" i="6"/>
  <c r="Y130" i="6"/>
  <c r="X131" i="6"/>
  <c r="Y131" i="6"/>
  <c r="X132" i="6"/>
  <c r="Y132" i="6"/>
  <c r="X133" i="6"/>
  <c r="Z133" i="6" s="1"/>
  <c r="Y133" i="6"/>
  <c r="X134" i="6"/>
  <c r="Y134" i="6"/>
  <c r="X135" i="6"/>
  <c r="Y135" i="6"/>
  <c r="X136" i="6"/>
  <c r="Y136" i="6"/>
  <c r="X137" i="6"/>
  <c r="Y137" i="6"/>
  <c r="X138" i="6"/>
  <c r="Y138" i="6"/>
  <c r="X139" i="6"/>
  <c r="Y139" i="6"/>
  <c r="X140" i="6"/>
  <c r="Y140" i="6"/>
  <c r="X141" i="6"/>
  <c r="Z141" i="6" s="1"/>
  <c r="Y141" i="6"/>
  <c r="X142" i="6"/>
  <c r="Y142" i="6"/>
  <c r="X143" i="6"/>
  <c r="Y143" i="6"/>
  <c r="X144" i="6"/>
  <c r="Y144" i="6"/>
  <c r="Z144" i="6" s="1"/>
  <c r="X145" i="6"/>
  <c r="Y145" i="6"/>
  <c r="X146" i="6"/>
  <c r="Y146" i="6"/>
  <c r="X147" i="6"/>
  <c r="Y147" i="6"/>
  <c r="X148" i="6"/>
  <c r="Y148" i="6"/>
  <c r="X149" i="6"/>
  <c r="Z149" i="6" s="1"/>
  <c r="Y149" i="6"/>
  <c r="X150" i="6"/>
  <c r="Y150" i="6"/>
  <c r="X151" i="6"/>
  <c r="Y151" i="6"/>
  <c r="X152" i="6"/>
  <c r="Y152" i="6"/>
  <c r="X153" i="6"/>
  <c r="Y153" i="6"/>
  <c r="X154" i="6"/>
  <c r="Y154" i="6"/>
  <c r="X155" i="6"/>
  <c r="Y155" i="6"/>
  <c r="X156" i="6"/>
  <c r="Y156" i="6"/>
  <c r="X157" i="6"/>
  <c r="Z157" i="6" s="1"/>
  <c r="Y157" i="6"/>
  <c r="X158" i="6"/>
  <c r="Y158" i="6"/>
  <c r="X159" i="6"/>
  <c r="Y159" i="6"/>
  <c r="X160" i="6"/>
  <c r="Y160" i="6"/>
  <c r="Z160" i="6" s="1"/>
  <c r="X161" i="6"/>
  <c r="Y161" i="6"/>
  <c r="X162" i="6"/>
  <c r="Y162" i="6"/>
  <c r="X163" i="6"/>
  <c r="Y163" i="6"/>
  <c r="X164" i="6"/>
  <c r="Y164" i="6"/>
  <c r="X165" i="6"/>
  <c r="Z165" i="6" s="1"/>
  <c r="Y165" i="6"/>
  <c r="X166" i="6"/>
  <c r="Y166" i="6"/>
  <c r="X167" i="6"/>
  <c r="Y167" i="6"/>
  <c r="X168" i="6"/>
  <c r="Y168" i="6"/>
  <c r="X169" i="6"/>
  <c r="Y169" i="6"/>
  <c r="X170" i="6"/>
  <c r="Y170" i="6"/>
  <c r="X171" i="6"/>
  <c r="Y171" i="6"/>
  <c r="X172" i="6"/>
  <c r="Y172" i="6"/>
  <c r="X173" i="6"/>
  <c r="Z173" i="6" s="1"/>
  <c r="Y173" i="6"/>
  <c r="X174" i="6"/>
  <c r="Y174" i="6"/>
  <c r="X175" i="6"/>
  <c r="Y175" i="6"/>
  <c r="X176" i="6"/>
  <c r="Y176" i="6"/>
  <c r="X177" i="6"/>
  <c r="Y177" i="6"/>
  <c r="X178" i="6"/>
  <c r="Y178" i="6"/>
  <c r="X179" i="6"/>
  <c r="Y179" i="6"/>
  <c r="X180" i="6"/>
  <c r="Y180" i="6"/>
  <c r="X181" i="6"/>
  <c r="Z181" i="6" s="1"/>
  <c r="Y181" i="6"/>
  <c r="X182" i="6"/>
  <c r="Y182" i="6"/>
  <c r="X183" i="6"/>
  <c r="Y183" i="6"/>
  <c r="X184" i="6"/>
  <c r="Y184" i="6"/>
  <c r="X185" i="6"/>
  <c r="Y185" i="6"/>
  <c r="X186" i="6"/>
  <c r="Y186" i="6"/>
  <c r="X187" i="6"/>
  <c r="Y187" i="6"/>
  <c r="X188" i="6"/>
  <c r="Y188" i="6"/>
  <c r="X189" i="6"/>
  <c r="Z189" i="6" s="1"/>
  <c r="Y189" i="6"/>
  <c r="X190" i="6"/>
  <c r="Y190" i="6"/>
  <c r="X191" i="6"/>
  <c r="Y191" i="6"/>
  <c r="X192" i="6"/>
  <c r="Y192" i="6"/>
  <c r="Z192" i="6" s="1"/>
  <c r="X193" i="6"/>
  <c r="Y193" i="6"/>
  <c r="X194" i="6"/>
  <c r="Y194" i="6"/>
  <c r="X195" i="6"/>
  <c r="Y195" i="6"/>
  <c r="X196" i="6"/>
  <c r="Y196" i="6"/>
  <c r="X197" i="6"/>
  <c r="Z197" i="6" s="1"/>
  <c r="Y197" i="6"/>
  <c r="X198" i="6"/>
  <c r="Y198" i="6"/>
  <c r="X199" i="6"/>
  <c r="Y199" i="6"/>
  <c r="X200" i="6"/>
  <c r="Y200" i="6"/>
  <c r="X201" i="6"/>
  <c r="Y201" i="6"/>
  <c r="X202" i="6"/>
  <c r="Y202" i="6"/>
  <c r="X203" i="6"/>
  <c r="Y203" i="6"/>
  <c r="X204" i="6"/>
  <c r="Y204" i="6"/>
  <c r="X205" i="6"/>
  <c r="Z205" i="6" s="1"/>
  <c r="Y205" i="6"/>
  <c r="X206" i="6"/>
  <c r="Y206" i="6"/>
  <c r="X207" i="6"/>
  <c r="Y207" i="6"/>
  <c r="X208" i="6"/>
  <c r="Y208" i="6"/>
  <c r="X209" i="6"/>
  <c r="Y209" i="6"/>
  <c r="X210" i="6"/>
  <c r="Y210" i="6"/>
  <c r="X211" i="6"/>
  <c r="Y211" i="6"/>
  <c r="X212" i="6"/>
  <c r="Y212" i="6"/>
  <c r="X213" i="6"/>
  <c r="Z213" i="6" s="1"/>
  <c r="Y213" i="6"/>
  <c r="X214" i="6"/>
  <c r="Y214" i="6"/>
  <c r="X215" i="6"/>
  <c r="Y215" i="6"/>
  <c r="X216" i="6"/>
  <c r="Y216" i="6"/>
  <c r="X217" i="6"/>
  <c r="Y217" i="6"/>
  <c r="X218" i="6"/>
  <c r="Y218" i="6"/>
  <c r="X219" i="6"/>
  <c r="Y219" i="6"/>
  <c r="X220" i="6"/>
  <c r="Y220" i="6"/>
  <c r="X221" i="6"/>
  <c r="Z221" i="6" s="1"/>
  <c r="Y221" i="6"/>
  <c r="X222" i="6"/>
  <c r="Y222" i="6"/>
  <c r="X223" i="6"/>
  <c r="Y223" i="6"/>
  <c r="X224" i="6"/>
  <c r="Y224" i="6"/>
  <c r="X225" i="6"/>
  <c r="Y225" i="6"/>
  <c r="X226" i="6"/>
  <c r="Y226" i="6"/>
  <c r="X227" i="6"/>
  <c r="Y227" i="6"/>
  <c r="X228" i="6"/>
  <c r="Y228" i="6"/>
  <c r="X229" i="6"/>
  <c r="Z229" i="6" s="1"/>
  <c r="Y229" i="6"/>
  <c r="X230" i="6"/>
  <c r="Y230" i="6"/>
  <c r="X231" i="6"/>
  <c r="Y231" i="6"/>
  <c r="X232" i="6"/>
  <c r="Y232" i="6"/>
  <c r="X233" i="6"/>
  <c r="Y233" i="6"/>
  <c r="X234" i="6"/>
  <c r="Y234" i="6"/>
  <c r="X235" i="6"/>
  <c r="Y235" i="6"/>
  <c r="X236" i="6"/>
  <c r="Y236" i="6"/>
  <c r="X237" i="6"/>
  <c r="Z237" i="6" s="1"/>
  <c r="Y237" i="6"/>
  <c r="X238" i="6"/>
  <c r="Y238" i="6"/>
  <c r="X239" i="6"/>
  <c r="Y239" i="6"/>
  <c r="X240" i="6"/>
  <c r="Y240" i="6"/>
  <c r="X241" i="6"/>
  <c r="Y241" i="6"/>
  <c r="X242" i="6"/>
  <c r="Y242" i="6"/>
  <c r="X243" i="6"/>
  <c r="Y243" i="6"/>
  <c r="X244" i="6"/>
  <c r="Y244" i="6"/>
  <c r="X245" i="6"/>
  <c r="Y245" i="6"/>
  <c r="X246" i="6"/>
  <c r="Y246" i="6"/>
  <c r="X247" i="6"/>
  <c r="Y247" i="6"/>
  <c r="X248" i="6"/>
  <c r="Y248" i="6"/>
  <c r="X249" i="6"/>
  <c r="Y249" i="6"/>
  <c r="X250" i="6"/>
  <c r="Y250" i="6"/>
  <c r="X251" i="6"/>
  <c r="Y251" i="6"/>
  <c r="X252" i="6"/>
  <c r="Y252" i="6"/>
  <c r="X253" i="6"/>
  <c r="Z253" i="6" s="1"/>
  <c r="Y253" i="6"/>
  <c r="X254" i="6"/>
  <c r="Y254" i="6"/>
  <c r="X255" i="6"/>
  <c r="Y255" i="6"/>
  <c r="X256" i="6"/>
  <c r="Y256" i="6"/>
  <c r="X257" i="6"/>
  <c r="Y257" i="6"/>
  <c r="X258" i="6"/>
  <c r="Y258" i="6"/>
  <c r="X259" i="6"/>
  <c r="Y259" i="6"/>
  <c r="X260" i="6"/>
  <c r="Y260" i="6"/>
  <c r="X261" i="6"/>
  <c r="Z261" i="6" s="1"/>
  <c r="Y261" i="6"/>
  <c r="X262" i="6"/>
  <c r="Y262" i="6"/>
  <c r="X263" i="6"/>
  <c r="Y263" i="6"/>
  <c r="X264" i="6"/>
  <c r="Y264" i="6"/>
  <c r="X265" i="6"/>
  <c r="Y265" i="6"/>
  <c r="X266" i="6"/>
  <c r="Y266" i="6"/>
  <c r="X267" i="6"/>
  <c r="Y267" i="6"/>
  <c r="X268" i="6"/>
  <c r="Y268" i="6"/>
  <c r="X269" i="6"/>
  <c r="Z269" i="6" s="1"/>
  <c r="Y269" i="6"/>
  <c r="X270" i="6"/>
  <c r="Y270" i="6"/>
  <c r="X271" i="6"/>
  <c r="Y271" i="6"/>
  <c r="X272" i="6"/>
  <c r="Y272" i="6"/>
  <c r="X273" i="6"/>
  <c r="Y273" i="6"/>
  <c r="X274" i="6"/>
  <c r="Y274" i="6"/>
  <c r="X275" i="6"/>
  <c r="Y275" i="6"/>
  <c r="Z275" i="6" s="1"/>
  <c r="X276" i="6"/>
  <c r="Y276" i="6"/>
  <c r="X277" i="6"/>
  <c r="Z277" i="6" s="1"/>
  <c r="Y277" i="6"/>
  <c r="X278" i="6"/>
  <c r="Y278" i="6"/>
  <c r="X279" i="6"/>
  <c r="Y279" i="6"/>
  <c r="X280" i="6"/>
  <c r="Y280" i="6"/>
  <c r="X281" i="6"/>
  <c r="Y281" i="6"/>
  <c r="X282" i="6"/>
  <c r="Y282" i="6"/>
  <c r="X283" i="6"/>
  <c r="Y283" i="6"/>
  <c r="X284" i="6"/>
  <c r="Y284" i="6"/>
  <c r="X285" i="6"/>
  <c r="Z285" i="6" s="1"/>
  <c r="Y285" i="6"/>
  <c r="X286" i="6"/>
  <c r="Y286" i="6"/>
  <c r="X287" i="6"/>
  <c r="Y287" i="6"/>
  <c r="X288" i="6"/>
  <c r="Y288" i="6"/>
  <c r="X289" i="6"/>
  <c r="Y289" i="6"/>
  <c r="X290" i="6"/>
  <c r="Y290" i="6"/>
  <c r="X291" i="6"/>
  <c r="Y291" i="6"/>
  <c r="X292" i="6"/>
  <c r="Y292" i="6"/>
  <c r="X293" i="6"/>
  <c r="Y293" i="6"/>
  <c r="X294" i="6"/>
  <c r="Y294" i="6"/>
  <c r="X295" i="6"/>
  <c r="Y295" i="6"/>
  <c r="X296" i="6"/>
  <c r="Y296" i="6"/>
  <c r="X297" i="6"/>
  <c r="Y297" i="6"/>
  <c r="X298" i="6"/>
  <c r="Y298" i="6"/>
  <c r="X299" i="6"/>
  <c r="Y299" i="6"/>
  <c r="X300" i="6"/>
  <c r="Y300" i="6"/>
  <c r="X301" i="6"/>
  <c r="Z301" i="6" s="1"/>
  <c r="Y301" i="6"/>
  <c r="X302" i="6"/>
  <c r="Y302" i="6"/>
  <c r="X303" i="6"/>
  <c r="Y303" i="6"/>
  <c r="X304" i="6"/>
  <c r="Y304" i="6"/>
  <c r="X305" i="6"/>
  <c r="Y305" i="6"/>
  <c r="X306" i="6"/>
  <c r="Y306" i="6"/>
  <c r="X307" i="6"/>
  <c r="Y307" i="6"/>
  <c r="X308" i="6"/>
  <c r="Y308" i="6"/>
  <c r="X309" i="6"/>
  <c r="Z309" i="6" s="1"/>
  <c r="Y309" i="6"/>
  <c r="X310" i="6"/>
  <c r="Y310" i="6"/>
  <c r="X311" i="6"/>
  <c r="Y311" i="6"/>
  <c r="X312" i="6"/>
  <c r="Y312" i="6"/>
  <c r="X313" i="6"/>
  <c r="Y313" i="6"/>
  <c r="X314" i="6"/>
  <c r="Y314" i="6"/>
  <c r="X315" i="6"/>
  <c r="Y315" i="6"/>
  <c r="X316" i="6"/>
  <c r="Y316" i="6"/>
  <c r="X317" i="6"/>
  <c r="Y317" i="6"/>
  <c r="X318" i="6"/>
  <c r="Y318" i="6"/>
  <c r="X319" i="6"/>
  <c r="Y319" i="6"/>
  <c r="X320" i="6"/>
  <c r="Y320" i="6"/>
  <c r="X321" i="6"/>
  <c r="Y321" i="6"/>
  <c r="X322" i="6"/>
  <c r="Y322" i="6"/>
  <c r="X323" i="6"/>
  <c r="Y323" i="6"/>
  <c r="X324" i="6"/>
  <c r="Y324" i="6"/>
  <c r="X325" i="6"/>
  <c r="Z325" i="6" s="1"/>
  <c r="Y325" i="6"/>
  <c r="X326" i="6"/>
  <c r="Y326" i="6"/>
  <c r="X327" i="6"/>
  <c r="Y327" i="6"/>
  <c r="X328" i="6"/>
  <c r="Y328" i="6"/>
  <c r="X329" i="6"/>
  <c r="Y329" i="6"/>
  <c r="X330" i="6"/>
  <c r="Y330" i="6"/>
  <c r="X331" i="6"/>
  <c r="Y331" i="6"/>
  <c r="X332" i="6"/>
  <c r="Y332" i="6"/>
  <c r="X333" i="6"/>
  <c r="Z333" i="6" s="1"/>
  <c r="Y333" i="6"/>
  <c r="X334" i="6"/>
  <c r="Y334" i="6"/>
  <c r="X335" i="6"/>
  <c r="Y335" i="6"/>
  <c r="X336" i="6"/>
  <c r="Y336" i="6"/>
  <c r="X337" i="6"/>
  <c r="Y337" i="6"/>
  <c r="X338" i="6"/>
  <c r="Y338" i="6"/>
  <c r="X339" i="6"/>
  <c r="Y339" i="6"/>
  <c r="X340" i="6"/>
  <c r="Y340" i="6"/>
  <c r="X341" i="6"/>
  <c r="Y341" i="6"/>
  <c r="X342" i="6"/>
  <c r="Y342" i="6"/>
  <c r="X343" i="6"/>
  <c r="Y343" i="6"/>
  <c r="X344" i="6"/>
  <c r="Y344" i="6"/>
  <c r="X345" i="6"/>
  <c r="Y345" i="6"/>
  <c r="X346" i="6"/>
  <c r="Y346" i="6"/>
  <c r="X347" i="6"/>
  <c r="Y347" i="6"/>
  <c r="X348" i="6"/>
  <c r="Y348" i="6"/>
  <c r="X349" i="6"/>
  <c r="Z349" i="6" s="1"/>
  <c r="Y349" i="6"/>
  <c r="X350" i="6"/>
  <c r="Y350" i="6"/>
  <c r="X351" i="6"/>
  <c r="Y351" i="6"/>
  <c r="X352" i="6"/>
  <c r="Y352" i="6"/>
  <c r="X353" i="6"/>
  <c r="Y353" i="6"/>
  <c r="X354" i="6"/>
  <c r="Y354" i="6"/>
  <c r="X355" i="6"/>
  <c r="Y355" i="6"/>
  <c r="X356" i="6"/>
  <c r="Y356" i="6"/>
  <c r="X357" i="6"/>
  <c r="Z357" i="6" s="1"/>
  <c r="Y357" i="6"/>
  <c r="X358" i="6"/>
  <c r="Y358" i="6"/>
  <c r="X359" i="6"/>
  <c r="Y359" i="6"/>
  <c r="X360" i="6"/>
  <c r="Y360" i="6"/>
  <c r="X361" i="6"/>
  <c r="Y361" i="6"/>
  <c r="X362" i="6"/>
  <c r="Y362" i="6"/>
  <c r="X363" i="6"/>
  <c r="Y363" i="6"/>
  <c r="X364" i="6"/>
  <c r="Y364" i="6"/>
  <c r="X365" i="6"/>
  <c r="Z365" i="6" s="1"/>
  <c r="Y365" i="6"/>
  <c r="X366" i="6"/>
  <c r="Y366" i="6"/>
  <c r="X367" i="6"/>
  <c r="Y367" i="6"/>
  <c r="X368" i="6"/>
  <c r="Y368" i="6"/>
  <c r="X369" i="6"/>
  <c r="Y369" i="6"/>
  <c r="X370" i="6"/>
  <c r="Y370" i="6"/>
  <c r="X371" i="6"/>
  <c r="Y371" i="6"/>
  <c r="X372" i="6"/>
  <c r="Y372" i="6"/>
  <c r="X373" i="6"/>
  <c r="Z373" i="6" s="1"/>
  <c r="Y373" i="6"/>
  <c r="X374" i="6"/>
  <c r="Y374" i="6"/>
  <c r="X375" i="6"/>
  <c r="Y375" i="6"/>
  <c r="X376" i="6"/>
  <c r="Y376" i="6"/>
  <c r="X377" i="6"/>
  <c r="Y377" i="6"/>
  <c r="X378" i="6"/>
  <c r="Y378" i="6"/>
  <c r="X379" i="6"/>
  <c r="Y379" i="6"/>
  <c r="X380" i="6"/>
  <c r="Y380" i="6"/>
  <c r="X381" i="6"/>
  <c r="Z381" i="6" s="1"/>
  <c r="Y381" i="6"/>
  <c r="X382" i="6"/>
  <c r="Y382" i="6"/>
  <c r="X383" i="6"/>
  <c r="Y383" i="6"/>
  <c r="X384" i="6"/>
  <c r="Y384" i="6"/>
  <c r="X385" i="6"/>
  <c r="Y385" i="6"/>
  <c r="X386" i="6"/>
  <c r="Y386" i="6"/>
  <c r="X387" i="6"/>
  <c r="Y387" i="6"/>
  <c r="X388" i="6"/>
  <c r="Y388" i="6"/>
  <c r="X389" i="6"/>
  <c r="Z389" i="6" s="1"/>
  <c r="Y389" i="6"/>
  <c r="X390" i="6"/>
  <c r="Y390" i="6"/>
  <c r="X391" i="6"/>
  <c r="Y391" i="6"/>
  <c r="X392" i="6"/>
  <c r="Y392" i="6"/>
  <c r="X393" i="6"/>
  <c r="Y393" i="6"/>
  <c r="X394" i="6"/>
  <c r="Y394" i="6"/>
  <c r="X395" i="6"/>
  <c r="Y395" i="6"/>
  <c r="X396" i="6"/>
  <c r="Y396" i="6"/>
  <c r="X397" i="6"/>
  <c r="Z397" i="6" s="1"/>
  <c r="Y397" i="6"/>
  <c r="X398" i="6"/>
  <c r="Y398" i="6"/>
  <c r="X399" i="6"/>
  <c r="Y399" i="6"/>
  <c r="X400" i="6"/>
  <c r="Y400" i="6"/>
  <c r="X401" i="6"/>
  <c r="Y401" i="6"/>
  <c r="X402" i="6"/>
  <c r="Y402" i="6"/>
  <c r="X403" i="6"/>
  <c r="Y403" i="6"/>
  <c r="X404" i="6"/>
  <c r="Y404" i="6"/>
  <c r="X405" i="6"/>
  <c r="Z405" i="6" s="1"/>
  <c r="Y405" i="6"/>
  <c r="X406" i="6"/>
  <c r="Y406" i="6"/>
  <c r="X407" i="6"/>
  <c r="Y407" i="6"/>
  <c r="X408" i="6"/>
  <c r="Y408" i="6"/>
  <c r="X409" i="6"/>
  <c r="Y409" i="6"/>
  <c r="X410" i="6"/>
  <c r="Y410" i="6"/>
  <c r="X411" i="6"/>
  <c r="Y411" i="6"/>
  <c r="X412" i="6"/>
  <c r="Y412" i="6"/>
  <c r="X413" i="6"/>
  <c r="Z413" i="6" s="1"/>
  <c r="Y413" i="6"/>
  <c r="X414" i="6"/>
  <c r="Y414" i="6"/>
  <c r="X415" i="6"/>
  <c r="Y415" i="6"/>
  <c r="X416" i="6"/>
  <c r="Y416" i="6"/>
  <c r="X417" i="6"/>
  <c r="Y417" i="6"/>
  <c r="X418" i="6"/>
  <c r="Y418" i="6"/>
  <c r="X419" i="6"/>
  <c r="Y419" i="6"/>
  <c r="X420" i="6"/>
  <c r="Y420" i="6"/>
  <c r="X421" i="6"/>
  <c r="Z421" i="6" s="1"/>
  <c r="Y421" i="6"/>
  <c r="X422" i="6"/>
  <c r="Y422" i="6"/>
  <c r="X423" i="6"/>
  <c r="Y423" i="6"/>
  <c r="X424" i="6"/>
  <c r="Y424" i="6"/>
  <c r="X425" i="6"/>
  <c r="Y425" i="6"/>
  <c r="X426" i="6"/>
  <c r="Y426" i="6"/>
  <c r="X427" i="6"/>
  <c r="Y427" i="6"/>
  <c r="X428" i="6"/>
  <c r="Y428" i="6"/>
  <c r="X429" i="6"/>
  <c r="Z429" i="6" s="1"/>
  <c r="Y429" i="6"/>
  <c r="X430" i="6"/>
  <c r="Y430" i="6"/>
  <c r="X431" i="6"/>
  <c r="Y431" i="6"/>
  <c r="X432" i="6"/>
  <c r="Y432" i="6"/>
  <c r="X433" i="6"/>
  <c r="Y433" i="6"/>
  <c r="X434" i="6"/>
  <c r="Y434" i="6"/>
  <c r="X435" i="6"/>
  <c r="Y435" i="6"/>
  <c r="X436" i="6"/>
  <c r="Y436" i="6"/>
  <c r="X437" i="6"/>
  <c r="Z437" i="6" s="1"/>
  <c r="Y437" i="6"/>
  <c r="X438" i="6"/>
  <c r="Y438" i="6"/>
  <c r="X439" i="6"/>
  <c r="Y439" i="6"/>
  <c r="X440" i="6"/>
  <c r="Y440" i="6"/>
  <c r="X441" i="6"/>
  <c r="Y441" i="6"/>
  <c r="X442" i="6"/>
  <c r="Y442" i="6"/>
  <c r="X443" i="6"/>
  <c r="Y443" i="6"/>
  <c r="X444" i="6"/>
  <c r="Y444" i="6"/>
  <c r="X445" i="6"/>
  <c r="Z445" i="6" s="1"/>
  <c r="Y445" i="6"/>
  <c r="X446" i="6"/>
  <c r="Y446" i="6"/>
  <c r="X447" i="6"/>
  <c r="Y447" i="6"/>
  <c r="X448" i="6"/>
  <c r="Y448" i="6"/>
  <c r="X449" i="6"/>
  <c r="Y449" i="6"/>
  <c r="X450" i="6"/>
  <c r="Y450" i="6"/>
  <c r="X451" i="6"/>
  <c r="Y451" i="6"/>
  <c r="X452" i="6"/>
  <c r="Y452" i="6"/>
  <c r="X453" i="6"/>
  <c r="Z453" i="6" s="1"/>
  <c r="Y453" i="6"/>
  <c r="X454" i="6"/>
  <c r="Y454" i="6"/>
  <c r="X455" i="6"/>
  <c r="Y455" i="6"/>
  <c r="X456" i="6"/>
  <c r="Y456" i="6"/>
  <c r="X457" i="6"/>
  <c r="Y457" i="6"/>
  <c r="X458" i="6"/>
  <c r="Y458" i="6"/>
  <c r="X459" i="6"/>
  <c r="Y459" i="6"/>
  <c r="X460" i="6"/>
  <c r="Y460" i="6"/>
  <c r="X461" i="6"/>
  <c r="Z461" i="6" s="1"/>
  <c r="Y461" i="6"/>
  <c r="Y3" i="6"/>
  <c r="X3" i="6"/>
  <c r="B41" i="1"/>
  <c r="B43" i="1" s="1"/>
  <c r="C41" i="1"/>
  <c r="A19" i="3" s="1"/>
  <c r="D41" i="1"/>
  <c r="A34" i="3" s="1"/>
  <c r="F41" i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A52" i="3"/>
  <c r="Z225" i="6" l="1"/>
  <c r="Z209" i="6"/>
  <c r="Z193" i="6"/>
  <c r="Z177" i="6"/>
  <c r="Z161" i="6"/>
  <c r="Z145" i="6"/>
  <c r="Z129" i="6"/>
  <c r="Z113" i="6"/>
  <c r="Z81" i="6"/>
  <c r="Z65" i="6"/>
  <c r="Z49" i="6"/>
  <c r="Z33" i="6"/>
  <c r="Z17" i="6"/>
  <c r="Z308" i="6"/>
  <c r="Z292" i="6"/>
  <c r="Z276" i="6"/>
  <c r="Z260" i="6"/>
  <c r="Z244" i="6"/>
  <c r="Z228" i="6"/>
  <c r="Z212" i="6"/>
  <c r="Z196" i="6"/>
  <c r="Z180" i="6"/>
  <c r="Z164" i="6"/>
  <c r="Z148" i="6"/>
  <c r="Z140" i="6"/>
  <c r="Z124" i="6"/>
  <c r="Z116" i="6"/>
  <c r="Z100" i="6"/>
  <c r="Z92" i="6"/>
  <c r="Z84" i="6"/>
  <c r="Z68" i="6"/>
  <c r="Z60" i="6"/>
  <c r="Z52" i="6"/>
  <c r="Z44" i="6"/>
  <c r="Z36" i="6"/>
  <c r="Z28" i="6"/>
  <c r="Z20" i="6"/>
  <c r="Z4" i="6"/>
  <c r="Z316" i="6"/>
  <c r="Z300" i="6"/>
  <c r="Z284" i="6"/>
  <c r="Z268" i="6"/>
  <c r="Z252" i="6"/>
  <c r="Z236" i="6"/>
  <c r="Z220" i="6"/>
  <c r="Z204" i="6"/>
  <c r="Z188" i="6"/>
  <c r="Z172" i="6"/>
  <c r="Z156" i="6"/>
  <c r="Z132" i="6"/>
  <c r="Z108" i="6"/>
  <c r="Z76" i="6"/>
  <c r="Z12" i="6"/>
  <c r="Z274" i="6"/>
  <c r="Z258" i="6"/>
  <c r="Z210" i="6"/>
  <c r="Z130" i="6"/>
  <c r="Z98" i="6"/>
  <c r="Z82" i="6"/>
  <c r="Z50" i="6"/>
  <c r="Z34" i="6"/>
  <c r="Z18" i="6"/>
  <c r="Z407" i="6"/>
  <c r="Z391" i="6"/>
  <c r="Z375" i="6"/>
  <c r="Z359" i="6"/>
  <c r="Z343" i="6"/>
  <c r="Z335" i="6"/>
  <c r="Z319" i="6"/>
  <c r="Z303" i="6"/>
  <c r="Z287" i="6"/>
  <c r="Z271" i="6"/>
  <c r="Z255" i="6"/>
  <c r="Z239" i="6"/>
  <c r="Z223" i="6"/>
  <c r="Z207" i="6"/>
  <c r="Z191" i="6"/>
  <c r="Z175" i="6"/>
  <c r="Z159" i="6"/>
  <c r="Z143" i="6"/>
  <c r="Z127" i="6"/>
  <c r="Z111" i="6"/>
  <c r="Z95" i="6"/>
  <c r="Z79" i="6"/>
  <c r="Z63" i="6"/>
  <c r="Z47" i="6"/>
  <c r="Z31" i="6"/>
  <c r="Z15" i="6"/>
  <c r="Z415" i="6"/>
  <c r="Z399" i="6"/>
  <c r="Z383" i="6"/>
  <c r="Z367" i="6"/>
  <c r="Z351" i="6"/>
  <c r="Z327" i="6"/>
  <c r="Z311" i="6"/>
  <c r="Z295" i="6"/>
  <c r="Z279" i="6"/>
  <c r="Z263" i="6"/>
  <c r="Z247" i="6"/>
  <c r="Z231" i="6"/>
  <c r="Z215" i="6"/>
  <c r="Z199" i="6"/>
  <c r="Z183" i="6"/>
  <c r="Z167" i="6"/>
  <c r="Z151" i="6"/>
  <c r="Z135" i="6"/>
  <c r="Z119" i="6"/>
  <c r="Z103" i="6"/>
  <c r="Z87" i="6"/>
  <c r="Z71" i="6"/>
  <c r="Z55" i="6"/>
  <c r="Z39" i="6"/>
  <c r="Z23" i="6"/>
  <c r="Z99" i="6"/>
  <c r="Z7" i="6"/>
  <c r="Z341" i="6"/>
  <c r="Z317" i="6"/>
  <c r="Z293" i="6"/>
  <c r="Z245" i="6"/>
  <c r="Z37" i="6"/>
  <c r="Z355" i="6"/>
  <c r="Z347" i="6"/>
  <c r="Z339" i="6"/>
  <c r="Z323" i="6"/>
  <c r="Z299" i="6"/>
  <c r="Z291" i="6"/>
  <c r="Z283" i="6"/>
  <c r="Z267" i="6"/>
  <c r="Z259" i="6"/>
  <c r="Z251" i="6"/>
  <c r="Z243" i="6"/>
  <c r="Z235" i="6"/>
  <c r="Z227" i="6"/>
  <c r="Z219" i="6"/>
  <c r="Z211" i="6"/>
  <c r="Z203" i="6"/>
  <c r="Z195" i="6"/>
  <c r="Z187" i="6"/>
  <c r="Z179" i="6"/>
  <c r="Z147" i="6"/>
  <c r="Z131" i="6"/>
  <c r="Z83" i="6"/>
  <c r="Z67" i="6"/>
  <c r="Z51" i="6"/>
  <c r="Z19" i="6"/>
  <c r="Z331" i="6"/>
  <c r="Z290" i="6"/>
  <c r="Z194" i="6"/>
  <c r="Z178" i="6"/>
  <c r="Z387" i="6"/>
  <c r="Z315" i="6"/>
  <c r="Z411" i="6"/>
  <c r="Z307" i="6"/>
  <c r="Z97" i="6"/>
  <c r="Z208" i="6"/>
  <c r="Z176" i="6"/>
  <c r="Z112" i="6"/>
  <c r="Z96" i="6"/>
  <c r="Z48" i="6"/>
  <c r="Z16" i="6"/>
  <c r="Z431" i="6"/>
  <c r="Z455" i="6"/>
  <c r="Z423" i="6"/>
  <c r="Z447" i="6"/>
  <c r="Z439" i="6"/>
  <c r="Z171" i="6"/>
  <c r="Z163" i="6"/>
  <c r="Z155" i="6"/>
  <c r="Z139" i="6"/>
  <c r="Z123" i="6"/>
  <c r="Z115" i="6"/>
  <c r="Z107" i="6"/>
  <c r="Z91" i="6"/>
  <c r="Z75" i="6"/>
  <c r="Z35" i="6"/>
  <c r="Z459" i="6"/>
  <c r="Z451" i="6"/>
  <c r="Z435" i="6"/>
  <c r="Z419" i="6"/>
  <c r="Z395" i="6"/>
  <c r="Z379" i="6"/>
  <c r="Z363" i="6"/>
  <c r="Z242" i="6"/>
  <c r="Z226" i="6"/>
  <c r="Z162" i="6"/>
  <c r="Z146" i="6"/>
  <c r="Z114" i="6"/>
  <c r="Z66" i="6"/>
  <c r="Z443" i="6"/>
  <c r="Z427" i="6"/>
  <c r="Z403" i="6"/>
  <c r="Z371" i="6"/>
  <c r="Z3" i="6"/>
  <c r="Z454" i="6"/>
  <c r="Z446" i="6"/>
  <c r="Z438" i="6"/>
  <c r="Z430" i="6"/>
  <c r="Z422" i="6"/>
  <c r="Z414" i="6"/>
  <c r="Z406" i="6"/>
  <c r="Z398" i="6"/>
  <c r="Z390" i="6"/>
  <c r="Z382" i="6"/>
  <c r="Z374" i="6"/>
  <c r="Z366" i="6"/>
  <c r="Z358" i="6"/>
  <c r="Z350" i="6"/>
  <c r="Z342" i="6"/>
  <c r="Z334" i="6"/>
  <c r="Z326" i="6"/>
  <c r="Z318" i="6"/>
  <c r="Z310" i="6"/>
  <c r="Z302" i="6"/>
  <c r="Z294" i="6"/>
  <c r="Z286" i="6"/>
  <c r="Z278" i="6"/>
  <c r="Z270" i="6"/>
  <c r="Z262" i="6"/>
  <c r="Z254" i="6"/>
  <c r="Z246" i="6"/>
  <c r="Z238" i="6"/>
  <c r="Z230" i="6"/>
  <c r="Z222" i="6"/>
  <c r="Z214" i="6"/>
  <c r="Z206" i="6"/>
  <c r="Z198" i="6"/>
  <c r="Z190" i="6"/>
  <c r="Z182" i="6"/>
  <c r="Z174" i="6"/>
  <c r="Z166" i="6"/>
  <c r="Z158" i="6"/>
  <c r="Z150" i="6"/>
  <c r="Z142" i="6"/>
  <c r="Z134" i="6"/>
  <c r="Z126" i="6"/>
  <c r="Z118" i="6"/>
  <c r="Z110" i="6"/>
  <c r="Z102" i="6"/>
  <c r="Z94" i="6"/>
  <c r="Z86" i="6"/>
  <c r="Z78" i="6"/>
  <c r="Z70" i="6"/>
  <c r="Z62" i="6"/>
  <c r="Z54" i="6"/>
  <c r="Z46" i="6"/>
  <c r="Z38" i="6"/>
  <c r="Z30" i="6"/>
  <c r="Z22" i="6"/>
  <c r="Z14" i="6"/>
  <c r="Z6" i="6"/>
  <c r="Z452" i="6"/>
  <c r="Z412" i="6"/>
  <c r="Z380" i="6"/>
  <c r="Z332" i="6"/>
  <c r="Z428" i="6"/>
  <c r="Z404" i="6"/>
  <c r="Z372" i="6"/>
  <c r="Z348" i="6"/>
  <c r="Z324" i="6"/>
  <c r="Z460" i="6"/>
  <c r="Z420" i="6"/>
  <c r="Z388" i="6"/>
  <c r="Z356" i="6"/>
  <c r="Z59" i="6"/>
  <c r="Z43" i="6"/>
  <c r="Z27" i="6"/>
  <c r="Z11" i="6"/>
  <c r="Z436" i="6"/>
  <c r="Z396" i="6"/>
  <c r="Z364" i="6"/>
  <c r="Z340" i="6"/>
  <c r="Z444" i="6"/>
  <c r="Z458" i="6"/>
  <c r="Z450" i="6"/>
  <c r="Z442" i="6"/>
  <c r="Z434" i="6"/>
  <c r="Z426" i="6"/>
  <c r="Z418" i="6"/>
  <c r="Z410" i="6"/>
  <c r="Z402" i="6"/>
  <c r="Z394" i="6"/>
  <c r="Z386" i="6"/>
  <c r="Z378" i="6"/>
  <c r="Z370" i="6"/>
  <c r="Z362" i="6"/>
  <c r="Z354" i="6"/>
  <c r="Z346" i="6"/>
  <c r="Z338" i="6"/>
  <c r="Z330" i="6"/>
  <c r="Z322" i="6"/>
  <c r="Z314" i="6"/>
  <c r="Z306" i="6"/>
  <c r="Z298" i="6"/>
  <c r="Z282" i="6"/>
  <c r="Z266" i="6"/>
  <c r="Z250" i="6"/>
  <c r="Z234" i="6"/>
  <c r="Z218" i="6"/>
  <c r="Z202" i="6"/>
  <c r="Z186" i="6"/>
  <c r="Z170" i="6"/>
  <c r="Z154" i="6"/>
  <c r="Z138" i="6"/>
  <c r="Z122" i="6"/>
  <c r="Z106" i="6"/>
  <c r="Z90" i="6"/>
  <c r="Z74" i="6"/>
  <c r="Z58" i="6"/>
  <c r="Z42" i="6"/>
  <c r="Z26" i="6"/>
  <c r="Z10" i="6"/>
  <c r="Z417" i="6"/>
  <c r="Z329" i="6"/>
  <c r="Z297" i="6"/>
  <c r="Z289" i="6"/>
  <c r="Z265" i="6"/>
  <c r="Z249" i="6"/>
  <c r="Z241" i="6"/>
  <c r="Z233" i="6"/>
  <c r="Z217" i="6"/>
  <c r="Z201" i="6"/>
  <c r="Z185" i="6"/>
  <c r="Z169" i="6"/>
  <c r="Z153" i="6"/>
  <c r="Z137" i="6"/>
  <c r="Z121" i="6"/>
  <c r="Z105" i="6"/>
  <c r="Z89" i="6"/>
  <c r="Z73" i="6"/>
  <c r="Z57" i="6"/>
  <c r="Z41" i="6"/>
  <c r="Z25" i="6"/>
  <c r="Z9" i="6"/>
  <c r="Z441" i="6"/>
  <c r="Z409" i="6"/>
  <c r="Z385" i="6"/>
  <c r="Z361" i="6"/>
  <c r="Z345" i="6"/>
  <c r="Z313" i="6"/>
  <c r="Z273" i="6"/>
  <c r="Z456" i="6"/>
  <c r="Z440" i="6"/>
  <c r="Z432" i="6"/>
  <c r="Z424" i="6"/>
  <c r="Z416" i="6"/>
  <c r="Z408" i="6"/>
  <c r="Z400" i="6"/>
  <c r="Z392" i="6"/>
  <c r="Z384" i="6"/>
  <c r="Z376" i="6"/>
  <c r="Z368" i="6"/>
  <c r="Z360" i="6"/>
  <c r="Z352" i="6"/>
  <c r="Z344" i="6"/>
  <c r="Z336" i="6"/>
  <c r="Z328" i="6"/>
  <c r="Z320" i="6"/>
  <c r="Z312" i="6"/>
  <c r="Z304" i="6"/>
  <c r="Z296" i="6"/>
  <c r="Z288" i="6"/>
  <c r="Z280" i="6"/>
  <c r="Z272" i="6"/>
  <c r="Z264" i="6"/>
  <c r="Z256" i="6"/>
  <c r="Z248" i="6"/>
  <c r="Z240" i="6"/>
  <c r="Z232" i="6"/>
  <c r="Z224" i="6"/>
  <c r="Z216" i="6"/>
  <c r="Z200" i="6"/>
  <c r="Z184" i="6"/>
  <c r="Z168" i="6"/>
  <c r="Z152" i="6"/>
  <c r="Z136" i="6"/>
  <c r="Z120" i="6"/>
  <c r="Z104" i="6"/>
  <c r="Z88" i="6"/>
  <c r="Z72" i="6"/>
  <c r="Z56" i="6"/>
  <c r="Z40" i="6"/>
  <c r="Z24" i="6"/>
  <c r="Z8" i="6"/>
  <c r="Z449" i="6"/>
  <c r="Z425" i="6"/>
  <c r="Z393" i="6"/>
  <c r="Z369" i="6"/>
  <c r="Z337" i="6"/>
  <c r="Z305" i="6"/>
  <c r="Z257" i="6"/>
  <c r="Z448" i="6"/>
  <c r="Z457" i="6"/>
  <c r="Z433" i="6"/>
  <c r="Z401" i="6"/>
  <c r="Z377" i="6"/>
  <c r="Z353" i="6"/>
  <c r="Z321" i="6"/>
  <c r="Z281" i="6"/>
  <c r="A43" i="3"/>
  <c r="A41" i="3"/>
  <c r="A42" i="3"/>
  <c r="A45" i="3"/>
  <c r="A51" i="3"/>
  <c r="A44" i="3"/>
  <c r="A46" i="3"/>
  <c r="A47" i="3"/>
  <c r="A48" i="3"/>
  <c r="A49" i="3"/>
  <c r="A50" i="3"/>
  <c r="A39" i="3"/>
  <c r="A29" i="3"/>
  <c r="A23" i="3"/>
  <c r="A40" i="3"/>
  <c r="A22" i="3"/>
  <c r="A25" i="3"/>
  <c r="A27" i="3"/>
  <c r="A30" i="3"/>
  <c r="A32" i="3"/>
  <c r="A37" i="3"/>
  <c r="A38" i="3"/>
  <c r="A24" i="3"/>
  <c r="A26" i="3"/>
  <c r="A28" i="3"/>
  <c r="A31" i="3"/>
  <c r="A33" i="3"/>
  <c r="A35" i="3"/>
  <c r="A36" i="3"/>
  <c r="A5" i="3"/>
  <c r="A1" i="3"/>
  <c r="A7" i="3"/>
  <c r="A8" i="3"/>
  <c r="A9" i="3"/>
  <c r="A10" i="3"/>
  <c r="A20" i="3"/>
  <c r="A11" i="3"/>
  <c r="A12" i="3"/>
  <c r="A13" i="3"/>
  <c r="A4" i="3"/>
  <c r="A14" i="3"/>
  <c r="A15" i="3"/>
  <c r="A16" i="3"/>
  <c r="A2" i="3"/>
  <c r="A17" i="3"/>
  <c r="A6" i="3"/>
  <c r="A18" i="3"/>
  <c r="A3" i="3"/>
  <c r="A21" i="3"/>
  <c r="B252" i="10" l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132" i="10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35" i="10"/>
  <c r="B36" i="10"/>
  <c r="B37" i="10"/>
  <c r="B38" i="10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34" i="10"/>
  <c r="B401" i="10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00" i="10"/>
  <c r="N365" i="9" l="1"/>
  <c r="N368" i="9"/>
  <c r="N372" i="9"/>
  <c r="N373" i="9"/>
  <c r="N374" i="9"/>
  <c r="N378" i="9"/>
  <c r="N380" i="9"/>
  <c r="N383" i="9"/>
  <c r="N384" i="9"/>
  <c r="N385" i="9"/>
  <c r="N387" i="9"/>
  <c r="N388" i="9"/>
  <c r="N390" i="9"/>
  <c r="N392" i="9"/>
  <c r="N395" i="9"/>
  <c r="N401" i="9"/>
  <c r="N402" i="9"/>
  <c r="N408" i="9"/>
  <c r="N411" i="9"/>
  <c r="N414" i="9"/>
  <c r="N415" i="9"/>
  <c r="N416" i="9"/>
  <c r="N420" i="9"/>
  <c r="N422" i="9"/>
  <c r="N424" i="9"/>
  <c r="N425" i="9"/>
  <c r="N426" i="9"/>
  <c r="N430" i="9"/>
  <c r="N431" i="9"/>
  <c r="N432" i="9"/>
  <c r="N433" i="9"/>
  <c r="N434" i="9"/>
  <c r="N435" i="9"/>
  <c r="N437" i="9"/>
  <c r="N438" i="9"/>
  <c r="N439" i="9"/>
  <c r="N442" i="9"/>
  <c r="N443" i="9"/>
  <c r="N445" i="9"/>
  <c r="N446" i="9"/>
  <c r="N447" i="9"/>
  <c r="N449" i="9"/>
  <c r="N451" i="9"/>
  <c r="N453" i="9"/>
  <c r="N454" i="9"/>
  <c r="N455" i="9"/>
  <c r="N456" i="9"/>
  <c r="N457" i="9"/>
  <c r="N459" i="9"/>
  <c r="N460" i="9"/>
  <c r="N461" i="9"/>
  <c r="N463" i="9"/>
  <c r="N464" i="9"/>
  <c r="N465" i="9"/>
  <c r="N466" i="9"/>
  <c r="N467" i="9"/>
  <c r="N468" i="9"/>
  <c r="N469" i="9"/>
  <c r="N470" i="9"/>
  <c r="N471" i="9"/>
  <c r="N472" i="9"/>
  <c r="N473" i="9"/>
  <c r="N475" i="9"/>
  <c r="N476" i="9"/>
  <c r="N477" i="9"/>
  <c r="N481" i="9"/>
  <c r="N486" i="9"/>
  <c r="N487" i="9"/>
  <c r="N489" i="9"/>
  <c r="N491" i="9"/>
  <c r="N492" i="9"/>
  <c r="N493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B45" i="1"/>
  <c r="B563" i="10"/>
  <c r="B562" i="10"/>
  <c r="B561" i="10"/>
  <c r="B560" i="10"/>
  <c r="B559" i="10"/>
  <c r="B558" i="10"/>
  <c r="M649" i="9" s="1"/>
  <c r="B557" i="10"/>
  <c r="M647" i="9" s="1"/>
  <c r="B556" i="10"/>
  <c r="B555" i="10"/>
  <c r="M645" i="9" s="1"/>
  <c r="B554" i="10"/>
  <c r="B553" i="10"/>
  <c r="B552" i="10"/>
  <c r="B551" i="10"/>
  <c r="B550" i="10"/>
  <c r="B549" i="10"/>
  <c r="B548" i="10"/>
  <c r="M559" i="9" s="1"/>
  <c r="B547" i="10"/>
  <c r="B546" i="10"/>
  <c r="B545" i="10"/>
  <c r="B544" i="10"/>
  <c r="B543" i="10"/>
  <c r="M549" i="9" s="1"/>
  <c r="B542" i="10"/>
  <c r="M543" i="9" s="1"/>
  <c r="B541" i="10"/>
  <c r="M541" i="9" s="1"/>
  <c r="B540" i="10"/>
  <c r="B539" i="10"/>
  <c r="M538" i="9" s="1"/>
  <c r="B538" i="10"/>
  <c r="B537" i="10"/>
  <c r="B536" i="10"/>
  <c r="B535" i="10"/>
  <c r="B534" i="10"/>
  <c r="M494" i="9" s="1"/>
  <c r="B533" i="10"/>
  <c r="B532" i="10"/>
  <c r="M491" i="9" s="1"/>
  <c r="B531" i="10"/>
  <c r="B530" i="10"/>
  <c r="B529" i="10"/>
  <c r="M487" i="9" s="1"/>
  <c r="B528" i="10"/>
  <c r="B527" i="10"/>
  <c r="M484" i="9" s="1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M423" i="9" s="1"/>
  <c r="B510" i="10"/>
  <c r="B509" i="10"/>
  <c r="B508" i="10"/>
  <c r="B507" i="10"/>
  <c r="M402" i="9" s="1"/>
  <c r="B506" i="10"/>
  <c r="B505" i="10"/>
  <c r="B504" i="10"/>
  <c r="B503" i="10"/>
  <c r="B502" i="10"/>
  <c r="B501" i="10"/>
  <c r="M360" i="9" s="1"/>
  <c r="B492" i="10"/>
  <c r="B480" i="10"/>
  <c r="M556" i="9" s="1"/>
  <c r="B478" i="10"/>
  <c r="B477" i="10"/>
  <c r="M548" i="9" s="1"/>
  <c r="B476" i="10"/>
  <c r="M547" i="9" s="1"/>
  <c r="B475" i="10"/>
  <c r="M546" i="9" s="1"/>
  <c r="B464" i="10"/>
  <c r="B462" i="10"/>
  <c r="B461" i="10"/>
  <c r="B460" i="10"/>
  <c r="M498" i="9" s="1"/>
  <c r="B459" i="10"/>
  <c r="B448" i="10"/>
  <c r="M455" i="9" s="1"/>
  <c r="B446" i="10"/>
  <c r="B444" i="10"/>
  <c r="B430" i="10"/>
  <c r="B428" i="10"/>
  <c r="B490" i="10"/>
  <c r="M600" i="9" s="1"/>
  <c r="B474" i="10"/>
  <c r="B442" i="10"/>
  <c r="M819" i="9"/>
  <c r="M818" i="9"/>
  <c r="M817" i="9"/>
  <c r="M816" i="9"/>
  <c r="M815" i="9"/>
  <c r="M814" i="9"/>
  <c r="M813" i="9"/>
  <c r="M812" i="9"/>
  <c r="M811" i="9"/>
  <c r="M810" i="9"/>
  <c r="M809" i="9"/>
  <c r="M808" i="9"/>
  <c r="M807" i="9"/>
  <c r="M806" i="9"/>
  <c r="M805" i="9"/>
  <c r="M804" i="9"/>
  <c r="M803" i="9"/>
  <c r="M802" i="9"/>
  <c r="M801" i="9"/>
  <c r="M800" i="9"/>
  <c r="M799" i="9"/>
  <c r="M798" i="9"/>
  <c r="M797" i="9"/>
  <c r="M796" i="9"/>
  <c r="M795" i="9"/>
  <c r="M794" i="9"/>
  <c r="M793" i="9"/>
  <c r="M792" i="9"/>
  <c r="M791" i="9"/>
  <c r="M790" i="9"/>
  <c r="M789" i="9"/>
  <c r="M788" i="9"/>
  <c r="M787" i="9"/>
  <c r="M786" i="9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663" i="9"/>
  <c r="M662" i="9"/>
  <c r="M661" i="9"/>
  <c r="M660" i="9"/>
  <c r="M659" i="9"/>
  <c r="M658" i="9"/>
  <c r="M657" i="9"/>
  <c r="M656" i="9"/>
  <c r="M655" i="9"/>
  <c r="M654" i="9"/>
  <c r="M653" i="9"/>
  <c r="M652" i="9"/>
  <c r="M651" i="9"/>
  <c r="M648" i="9"/>
  <c r="M646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29" i="9"/>
  <c r="M628" i="9"/>
  <c r="M627" i="9"/>
  <c r="M623" i="9"/>
  <c r="M622" i="9"/>
  <c r="M618" i="9"/>
  <c r="M617" i="9"/>
  <c r="M616" i="9"/>
  <c r="M585" i="9"/>
  <c r="M582" i="9"/>
  <c r="M579" i="9"/>
  <c r="M577" i="9"/>
  <c r="M576" i="9"/>
  <c r="M575" i="9"/>
  <c r="M574" i="9"/>
  <c r="M573" i="9"/>
  <c r="M569" i="9"/>
  <c r="M564" i="9"/>
  <c r="M563" i="9"/>
  <c r="M555" i="9"/>
  <c r="M554" i="9"/>
  <c r="M552" i="9"/>
  <c r="M539" i="9"/>
  <c r="M536" i="9"/>
  <c r="M535" i="9"/>
  <c r="M532" i="9"/>
  <c r="M522" i="9"/>
  <c r="M513" i="9"/>
  <c r="M508" i="9"/>
  <c r="M507" i="9"/>
  <c r="M501" i="9"/>
  <c r="M496" i="9"/>
  <c r="M493" i="9"/>
  <c r="M488" i="9"/>
  <c r="M485" i="9"/>
  <c r="M469" i="9"/>
  <c r="M467" i="9"/>
  <c r="M460" i="9"/>
  <c r="M459" i="9"/>
  <c r="M456" i="9"/>
  <c r="M454" i="9"/>
  <c r="M451" i="9"/>
  <c r="M450" i="9"/>
  <c r="M449" i="9"/>
  <c r="M448" i="9"/>
  <c r="M442" i="9"/>
  <c r="B48" i="4"/>
  <c r="M440" i="9"/>
  <c r="M439" i="9"/>
  <c r="M432" i="9"/>
  <c r="M428" i="9"/>
  <c r="M427" i="9"/>
  <c r="M426" i="9"/>
  <c r="M422" i="9"/>
  <c r="M417" i="9"/>
  <c r="M414" i="9"/>
  <c r="M407" i="9"/>
  <c r="M406" i="9"/>
  <c r="M403" i="9"/>
  <c r="M401" i="9"/>
  <c r="M399" i="9"/>
  <c r="M397" i="9"/>
  <c r="M395" i="9"/>
  <c r="M387" i="9"/>
  <c r="B41" i="4"/>
  <c r="C44" i="2" s="1"/>
  <c r="M385" i="9"/>
  <c r="M381" i="9"/>
  <c r="M377" i="9"/>
  <c r="M376" i="9"/>
  <c r="M370" i="9"/>
  <c r="M365" i="9"/>
  <c r="M362" i="9"/>
  <c r="M361" i="9"/>
  <c r="M351" i="9"/>
  <c r="M348" i="9"/>
  <c r="M347" i="9"/>
  <c r="AR50" i="4"/>
  <c r="M343" i="9"/>
  <c r="M341" i="9"/>
  <c r="M340" i="9"/>
  <c r="M339" i="9"/>
  <c r="M338" i="9"/>
  <c r="M335" i="9"/>
  <c r="M331" i="9"/>
  <c r="M327" i="9"/>
  <c r="M325" i="9"/>
  <c r="M324" i="9"/>
  <c r="M323" i="9"/>
  <c r="M321" i="9"/>
  <c r="AR41" i="4"/>
  <c r="M320" i="9"/>
  <c r="P100" i="4"/>
  <c r="M318" i="9"/>
  <c r="M312" i="9"/>
  <c r="P97" i="4"/>
  <c r="BY97" i="4" s="1"/>
  <c r="AR38" i="4"/>
  <c r="C80" i="2" s="1"/>
  <c r="M307" i="9"/>
  <c r="M305" i="9"/>
  <c r="AR39" i="4"/>
  <c r="C78" i="2" s="1"/>
  <c r="M296" i="9"/>
  <c r="M293" i="9"/>
  <c r="P88" i="4"/>
  <c r="R88" i="4" s="1"/>
  <c r="M290" i="9"/>
  <c r="M289" i="9"/>
  <c r="M284" i="9"/>
  <c r="AD101" i="4"/>
  <c r="AF101" i="4" s="1"/>
  <c r="M277" i="9"/>
  <c r="M276" i="9"/>
  <c r="AD97" i="4"/>
  <c r="M270" i="9"/>
  <c r="AD98" i="4"/>
  <c r="M269" i="9"/>
  <c r="M268" i="9"/>
  <c r="AD96" i="4"/>
  <c r="M264" i="9"/>
  <c r="AR34" i="4"/>
  <c r="C74" i="2" s="1"/>
  <c r="P77" i="4"/>
  <c r="M84" i="2" s="1"/>
  <c r="M258" i="9"/>
  <c r="M254" i="9"/>
  <c r="M249" i="9"/>
  <c r="M248" i="9"/>
  <c r="P75" i="4"/>
  <c r="M69" i="2" s="1"/>
  <c r="M243" i="9"/>
  <c r="M242" i="9"/>
  <c r="M239" i="9"/>
  <c r="M238" i="9"/>
  <c r="M237" i="9"/>
  <c r="M236" i="9"/>
  <c r="M234" i="9"/>
  <c r="M233" i="9"/>
  <c r="AD84" i="4"/>
  <c r="M232" i="9"/>
  <c r="M230" i="9"/>
  <c r="M229" i="9"/>
  <c r="M228" i="9"/>
  <c r="M226" i="9"/>
  <c r="AD85" i="4"/>
  <c r="AF85" i="4" s="1"/>
  <c r="M225" i="9"/>
  <c r="M224" i="9"/>
  <c r="M223" i="9"/>
  <c r="M222" i="9"/>
  <c r="M221" i="9"/>
  <c r="M220" i="9"/>
  <c r="M219" i="9"/>
  <c r="M218" i="9"/>
  <c r="M217" i="9"/>
  <c r="M216" i="9"/>
  <c r="M215" i="9"/>
  <c r="M214" i="9"/>
  <c r="M211" i="9"/>
  <c r="M210" i="9"/>
  <c r="M208" i="9"/>
  <c r="M207" i="9"/>
  <c r="M206" i="9"/>
  <c r="M205" i="9"/>
  <c r="M203" i="9"/>
  <c r="AD77" i="4"/>
  <c r="W81" i="2" s="1"/>
  <c r="M202" i="9"/>
  <c r="M201" i="9"/>
  <c r="M200" i="9"/>
  <c r="M199" i="9"/>
  <c r="M198" i="9"/>
  <c r="M197" i="9"/>
  <c r="M196" i="9"/>
  <c r="M195" i="9"/>
  <c r="M194" i="9"/>
  <c r="M193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AD70" i="4"/>
  <c r="W83" i="2" s="1"/>
  <c r="M176" i="9"/>
  <c r="AR24" i="4"/>
  <c r="C72" i="2" s="1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P57" i="4"/>
  <c r="M57" i="2" s="1"/>
  <c r="M162" i="9"/>
  <c r="M161" i="9"/>
  <c r="M160" i="9"/>
  <c r="M159" i="9"/>
  <c r="AD60" i="4"/>
  <c r="W52" i="2" s="1"/>
  <c r="M158" i="9"/>
  <c r="M157" i="9"/>
  <c r="M156" i="9"/>
  <c r="B26" i="4"/>
  <c r="C26" i="2" s="1"/>
  <c r="M155" i="9"/>
  <c r="M154" i="9"/>
  <c r="M153" i="9"/>
  <c r="M152" i="9"/>
  <c r="M151" i="9"/>
  <c r="B25" i="4"/>
  <c r="C28" i="2" s="1"/>
  <c r="M150" i="9"/>
  <c r="M149" i="9"/>
  <c r="M148" i="9"/>
  <c r="M147" i="9"/>
  <c r="P52" i="4"/>
  <c r="M60" i="2" s="1"/>
  <c r="M146" i="9"/>
  <c r="M145" i="9"/>
  <c r="M144" i="9"/>
  <c r="M143" i="9"/>
  <c r="M142" i="9"/>
  <c r="M141" i="9"/>
  <c r="M140" i="9"/>
  <c r="M139" i="9"/>
  <c r="M138" i="9"/>
  <c r="M137" i="9"/>
  <c r="AD56" i="4"/>
  <c r="W60" i="2" s="1"/>
  <c r="M136" i="9"/>
  <c r="M135" i="9"/>
  <c r="M134" i="9"/>
  <c r="M133" i="9"/>
  <c r="M132" i="9"/>
  <c r="P46" i="4"/>
  <c r="M47" i="2" s="1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P40" i="4"/>
  <c r="M38" i="2" s="1"/>
  <c r="M107" i="9"/>
  <c r="M106" i="9"/>
  <c r="M105" i="9"/>
  <c r="M104" i="9"/>
  <c r="M103" i="9"/>
  <c r="AD44" i="4"/>
  <c r="W53" i="2" s="1"/>
  <c r="M102" i="9"/>
  <c r="P37" i="4"/>
  <c r="M39" i="2" s="1"/>
  <c r="M101" i="9"/>
  <c r="M100" i="9"/>
  <c r="M99" i="9"/>
  <c r="M98" i="9"/>
  <c r="M97" i="9"/>
  <c r="M96" i="9"/>
  <c r="M95" i="9"/>
  <c r="AR11" i="4"/>
  <c r="C56" i="2" s="1"/>
  <c r="M94" i="9"/>
  <c r="M93" i="9"/>
  <c r="M92" i="9"/>
  <c r="P35" i="4"/>
  <c r="M37" i="2" s="1"/>
  <c r="M91" i="9"/>
  <c r="M90" i="9"/>
  <c r="M89" i="9"/>
  <c r="M88" i="9"/>
  <c r="AD39" i="4"/>
  <c r="W44" i="2" s="1"/>
  <c r="M87" i="9"/>
  <c r="M86" i="9"/>
  <c r="M85" i="9"/>
  <c r="M84" i="9"/>
  <c r="AR9" i="4"/>
  <c r="C53" i="2" s="1"/>
  <c r="M83" i="9"/>
  <c r="M82" i="9"/>
  <c r="M81" i="9"/>
  <c r="M80" i="9"/>
  <c r="M79" i="9"/>
  <c r="M78" i="9"/>
  <c r="M77" i="9"/>
  <c r="M76" i="9"/>
  <c r="M75" i="9"/>
  <c r="AD34" i="4"/>
  <c r="W35" i="2" s="1"/>
  <c r="M74" i="9"/>
  <c r="M73" i="9"/>
  <c r="P29" i="4"/>
  <c r="M30" i="2" s="1"/>
  <c r="M72" i="9"/>
  <c r="M71" i="9"/>
  <c r="M70" i="9"/>
  <c r="AR7" i="4"/>
  <c r="C55" i="2" s="1"/>
  <c r="M69" i="9"/>
  <c r="M68" i="9"/>
  <c r="P28" i="4"/>
  <c r="M31" i="2" s="1"/>
  <c r="M67" i="9"/>
  <c r="M66" i="9"/>
  <c r="M65" i="9"/>
  <c r="M64" i="9"/>
  <c r="M63" i="9"/>
  <c r="AD31" i="4"/>
  <c r="W33" i="2" s="1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AD25" i="4"/>
  <c r="W25" i="2" s="1"/>
  <c r="M48" i="9"/>
  <c r="M47" i="9"/>
  <c r="P20" i="4"/>
  <c r="M23" i="2" s="1"/>
  <c r="M46" i="9"/>
  <c r="B5" i="4"/>
  <c r="C8" i="2" s="1"/>
  <c r="M45" i="9"/>
  <c r="M44" i="9"/>
  <c r="M43" i="9"/>
  <c r="M42" i="9"/>
  <c r="M41" i="9"/>
  <c r="M40" i="9"/>
  <c r="M39" i="9"/>
  <c r="M38" i="9"/>
  <c r="AD20" i="4"/>
  <c r="W24" i="2" s="1"/>
  <c r="M37" i="9"/>
  <c r="AD19" i="4"/>
  <c r="W26" i="2" s="1"/>
  <c r="M36" i="9"/>
  <c r="M35" i="9"/>
  <c r="P16" i="4"/>
  <c r="M18" i="2" s="1"/>
  <c r="M34" i="9"/>
  <c r="M33" i="9"/>
  <c r="P15" i="4"/>
  <c r="M19" i="2" s="1"/>
  <c r="M32" i="9"/>
  <c r="AD17" i="4"/>
  <c r="W18" i="2" s="1"/>
  <c r="M31" i="9"/>
  <c r="AD16" i="4"/>
  <c r="W16" i="2" s="1"/>
  <c r="M30" i="9"/>
  <c r="AD15" i="4"/>
  <c r="W19" i="2" s="1"/>
  <c r="M29" i="9"/>
  <c r="B3" i="4"/>
  <c r="M3" i="4" s="1"/>
  <c r="M28" i="9"/>
  <c r="M27" i="9"/>
  <c r="M26" i="9"/>
  <c r="AR4" i="4"/>
  <c r="C49" i="2" s="1"/>
  <c r="M25" i="9"/>
  <c r="M24" i="9"/>
  <c r="M23" i="9"/>
  <c r="P14" i="4"/>
  <c r="M15" i="2" s="1"/>
  <c r="M22" i="9"/>
  <c r="P13" i="4"/>
  <c r="M11" i="2" s="1"/>
  <c r="M21" i="9"/>
  <c r="M20" i="9"/>
  <c r="M19" i="9"/>
  <c r="M18" i="9"/>
  <c r="M17" i="9"/>
  <c r="P10" i="4"/>
  <c r="M10" i="2" s="1"/>
  <c r="M16" i="9"/>
  <c r="M15" i="9"/>
  <c r="M14" i="9"/>
  <c r="M13" i="9"/>
  <c r="P8" i="4"/>
  <c r="M12" i="2" s="1"/>
  <c r="M12" i="9"/>
  <c r="AD8" i="4"/>
  <c r="W9" i="2" s="1"/>
  <c r="M11" i="9"/>
  <c r="M10" i="9"/>
  <c r="M9" i="9"/>
  <c r="P6" i="4"/>
  <c r="M8" i="2" s="1"/>
  <c r="M8" i="9"/>
  <c r="M7" i="9"/>
  <c r="M6" i="9"/>
  <c r="AD5" i="4"/>
  <c r="W7" i="2" s="1"/>
  <c r="M5" i="9"/>
  <c r="M4" i="9"/>
  <c r="AD3" i="4"/>
  <c r="W6" i="2" s="1"/>
  <c r="M3" i="9"/>
  <c r="P4" i="4"/>
  <c r="R4" i="4" s="1"/>
  <c r="M2" i="9"/>
  <c r="P3" i="4"/>
  <c r="L698" i="7"/>
  <c r="K698" i="7"/>
  <c r="L697" i="7"/>
  <c r="K697" i="7"/>
  <c r="L696" i="7"/>
  <c r="K696" i="7"/>
  <c r="L695" i="7"/>
  <c r="K695" i="7"/>
  <c r="L694" i="7"/>
  <c r="K694" i="7"/>
  <c r="L693" i="7"/>
  <c r="K693" i="7"/>
  <c r="L692" i="7"/>
  <c r="K692" i="7"/>
  <c r="L691" i="7"/>
  <c r="K691" i="7"/>
  <c r="L690" i="7"/>
  <c r="K690" i="7"/>
  <c r="L689" i="7"/>
  <c r="K689" i="7"/>
  <c r="L688" i="7"/>
  <c r="K688" i="7"/>
  <c r="L687" i="7"/>
  <c r="K687" i="7"/>
  <c r="L686" i="7"/>
  <c r="K686" i="7"/>
  <c r="L685" i="7"/>
  <c r="K685" i="7"/>
  <c r="L684" i="7"/>
  <c r="K684" i="7"/>
  <c r="L683" i="7"/>
  <c r="K683" i="7"/>
  <c r="L682" i="7"/>
  <c r="K682" i="7"/>
  <c r="L681" i="7"/>
  <c r="K681" i="7"/>
  <c r="L680" i="7"/>
  <c r="K680" i="7"/>
  <c r="L679" i="7"/>
  <c r="K679" i="7"/>
  <c r="L678" i="7"/>
  <c r="K678" i="7"/>
  <c r="L677" i="7"/>
  <c r="K677" i="7"/>
  <c r="L676" i="7"/>
  <c r="K676" i="7"/>
  <c r="L675" i="7"/>
  <c r="K675" i="7"/>
  <c r="L674" i="7"/>
  <c r="K674" i="7"/>
  <c r="L673" i="7"/>
  <c r="K673" i="7"/>
  <c r="L672" i="7"/>
  <c r="K672" i="7"/>
  <c r="L671" i="7"/>
  <c r="K671" i="7"/>
  <c r="L670" i="7"/>
  <c r="K670" i="7"/>
  <c r="L669" i="7"/>
  <c r="K669" i="7"/>
  <c r="L668" i="7"/>
  <c r="K668" i="7"/>
  <c r="L667" i="7"/>
  <c r="K667" i="7"/>
  <c r="L666" i="7"/>
  <c r="K666" i="7"/>
  <c r="L665" i="7"/>
  <c r="K665" i="7"/>
  <c r="L664" i="7"/>
  <c r="K664" i="7"/>
  <c r="L663" i="7"/>
  <c r="K663" i="7"/>
  <c r="L662" i="7"/>
  <c r="K662" i="7"/>
  <c r="L661" i="7"/>
  <c r="K661" i="7"/>
  <c r="L660" i="7"/>
  <c r="K660" i="7"/>
  <c r="L659" i="7"/>
  <c r="K659" i="7"/>
  <c r="L658" i="7"/>
  <c r="K658" i="7"/>
  <c r="L657" i="7"/>
  <c r="K657" i="7"/>
  <c r="L656" i="7"/>
  <c r="K656" i="7"/>
  <c r="L655" i="7"/>
  <c r="K655" i="7"/>
  <c r="L654" i="7"/>
  <c r="K654" i="7"/>
  <c r="L653" i="7"/>
  <c r="K653" i="7"/>
  <c r="L652" i="7"/>
  <c r="K652" i="7"/>
  <c r="L651" i="7"/>
  <c r="K651" i="7"/>
  <c r="L650" i="7"/>
  <c r="K650" i="7"/>
  <c r="L649" i="7"/>
  <c r="K649" i="7"/>
  <c r="L648" i="7"/>
  <c r="K648" i="7"/>
  <c r="L647" i="7"/>
  <c r="K647" i="7"/>
  <c r="L646" i="7"/>
  <c r="K646" i="7"/>
  <c r="L645" i="7"/>
  <c r="K645" i="7"/>
  <c r="L644" i="7"/>
  <c r="K644" i="7"/>
  <c r="L643" i="7"/>
  <c r="K643" i="7"/>
  <c r="L642" i="7"/>
  <c r="K642" i="7"/>
  <c r="L641" i="7"/>
  <c r="K641" i="7"/>
  <c r="L640" i="7"/>
  <c r="K640" i="7"/>
  <c r="P639" i="7"/>
  <c r="T639" i="7" s="1"/>
  <c r="U639" i="7" s="1"/>
  <c r="L639" i="7"/>
  <c r="K639" i="7"/>
  <c r="L638" i="7"/>
  <c r="K638" i="7"/>
  <c r="L637" i="7"/>
  <c r="K637" i="7"/>
  <c r="P636" i="7"/>
  <c r="T636" i="7" s="1"/>
  <c r="U636" i="7" s="1"/>
  <c r="L636" i="7"/>
  <c r="K636" i="7"/>
  <c r="L635" i="7"/>
  <c r="K635" i="7"/>
  <c r="L634" i="7"/>
  <c r="K634" i="7"/>
  <c r="P633" i="7"/>
  <c r="T633" i="7" s="1"/>
  <c r="U633" i="7" s="1"/>
  <c r="L633" i="7"/>
  <c r="K633" i="7"/>
  <c r="L632" i="7"/>
  <c r="K632" i="7"/>
  <c r="L631" i="7"/>
  <c r="K631" i="7"/>
  <c r="P630" i="7"/>
  <c r="T630" i="7" s="1"/>
  <c r="U630" i="7" s="1"/>
  <c r="L630" i="7"/>
  <c r="K630" i="7"/>
  <c r="L629" i="7"/>
  <c r="K629" i="7"/>
  <c r="L628" i="7"/>
  <c r="K628" i="7"/>
  <c r="P627" i="7"/>
  <c r="T627" i="7" s="1"/>
  <c r="U627" i="7" s="1"/>
  <c r="L627" i="7"/>
  <c r="K627" i="7"/>
  <c r="L626" i="7"/>
  <c r="K626" i="7"/>
  <c r="L625" i="7"/>
  <c r="K625" i="7"/>
  <c r="P624" i="7"/>
  <c r="T624" i="7" s="1"/>
  <c r="U624" i="7" s="1"/>
  <c r="L624" i="7"/>
  <c r="K624" i="7"/>
  <c r="L623" i="7"/>
  <c r="K623" i="7"/>
  <c r="L622" i="7"/>
  <c r="K622" i="7"/>
  <c r="P621" i="7"/>
  <c r="T621" i="7" s="1"/>
  <c r="U621" i="7" s="1"/>
  <c r="L621" i="7"/>
  <c r="K621" i="7"/>
  <c r="L620" i="7"/>
  <c r="K620" i="7"/>
  <c r="L619" i="7"/>
  <c r="K619" i="7"/>
  <c r="P618" i="7"/>
  <c r="T618" i="7" s="1"/>
  <c r="U618" i="7" s="1"/>
  <c r="L618" i="7"/>
  <c r="K618" i="7"/>
  <c r="L617" i="7"/>
  <c r="K617" i="7"/>
  <c r="L616" i="7"/>
  <c r="K616" i="7"/>
  <c r="P615" i="7"/>
  <c r="T615" i="7" s="1"/>
  <c r="U615" i="7" s="1"/>
  <c r="L615" i="7"/>
  <c r="K615" i="7"/>
  <c r="L614" i="7"/>
  <c r="K614" i="7"/>
  <c r="L613" i="7"/>
  <c r="K613" i="7"/>
  <c r="P612" i="7"/>
  <c r="T612" i="7" s="1"/>
  <c r="U612" i="7" s="1"/>
  <c r="L612" i="7"/>
  <c r="K612" i="7"/>
  <c r="L611" i="7"/>
  <c r="K611" i="7"/>
  <c r="L610" i="7"/>
  <c r="K610" i="7"/>
  <c r="P609" i="7"/>
  <c r="T609" i="7" s="1"/>
  <c r="U609" i="7" s="1"/>
  <c r="L609" i="7"/>
  <c r="K609" i="7"/>
  <c r="L608" i="7"/>
  <c r="K608" i="7"/>
  <c r="L607" i="7"/>
  <c r="K607" i="7"/>
  <c r="P606" i="7"/>
  <c r="T606" i="7" s="1"/>
  <c r="U606" i="7" s="1"/>
  <c r="L606" i="7"/>
  <c r="K606" i="7"/>
  <c r="L605" i="7"/>
  <c r="K605" i="7"/>
  <c r="L604" i="7"/>
  <c r="K604" i="7"/>
  <c r="P603" i="7"/>
  <c r="T603" i="7" s="1"/>
  <c r="U603" i="7" s="1"/>
  <c r="L603" i="7"/>
  <c r="K603" i="7"/>
  <c r="L602" i="7"/>
  <c r="K602" i="7"/>
  <c r="L601" i="7"/>
  <c r="K601" i="7"/>
  <c r="P600" i="7"/>
  <c r="T600" i="7" s="1"/>
  <c r="U600" i="7" s="1"/>
  <c r="L600" i="7"/>
  <c r="K600" i="7"/>
  <c r="L599" i="7"/>
  <c r="K599" i="7"/>
  <c r="L598" i="7"/>
  <c r="K598" i="7"/>
  <c r="P597" i="7"/>
  <c r="T597" i="7" s="1"/>
  <c r="U597" i="7" s="1"/>
  <c r="L597" i="7"/>
  <c r="K597" i="7"/>
  <c r="L596" i="7"/>
  <c r="K596" i="7"/>
  <c r="L595" i="7"/>
  <c r="K595" i="7"/>
  <c r="P594" i="7"/>
  <c r="T594" i="7" s="1"/>
  <c r="U594" i="7" s="1"/>
  <c r="L594" i="7"/>
  <c r="K594" i="7"/>
  <c r="L593" i="7"/>
  <c r="K593" i="7"/>
  <c r="L592" i="7"/>
  <c r="K592" i="7"/>
  <c r="P591" i="7"/>
  <c r="T591" i="7" s="1"/>
  <c r="U591" i="7" s="1"/>
  <c r="L591" i="7"/>
  <c r="K591" i="7"/>
  <c r="L590" i="7"/>
  <c r="K590" i="7"/>
  <c r="L589" i="7"/>
  <c r="K589" i="7"/>
  <c r="P588" i="7"/>
  <c r="T588" i="7" s="1"/>
  <c r="U588" i="7" s="1"/>
  <c r="L588" i="7"/>
  <c r="K588" i="7"/>
  <c r="L587" i="7"/>
  <c r="K587" i="7"/>
  <c r="L586" i="7"/>
  <c r="K586" i="7"/>
  <c r="P585" i="7"/>
  <c r="T585" i="7" s="1"/>
  <c r="U585" i="7" s="1"/>
  <c r="L585" i="7"/>
  <c r="K585" i="7"/>
  <c r="L584" i="7"/>
  <c r="K584" i="7"/>
  <c r="L583" i="7"/>
  <c r="K583" i="7"/>
  <c r="P582" i="7"/>
  <c r="T582" i="7" s="1"/>
  <c r="U582" i="7" s="1"/>
  <c r="L582" i="7"/>
  <c r="K582" i="7"/>
  <c r="L581" i="7"/>
  <c r="K581" i="7"/>
  <c r="L580" i="7"/>
  <c r="K580" i="7"/>
  <c r="P579" i="7"/>
  <c r="T579" i="7" s="1"/>
  <c r="U579" i="7" s="1"/>
  <c r="L579" i="7"/>
  <c r="K579" i="7"/>
  <c r="L578" i="7"/>
  <c r="K578" i="7"/>
  <c r="L577" i="7"/>
  <c r="K577" i="7"/>
  <c r="P576" i="7"/>
  <c r="T576" i="7" s="1"/>
  <c r="U576" i="7" s="1"/>
  <c r="L576" i="7"/>
  <c r="K576" i="7"/>
  <c r="L575" i="7"/>
  <c r="K575" i="7"/>
  <c r="L574" i="7"/>
  <c r="K574" i="7"/>
  <c r="P573" i="7"/>
  <c r="L573" i="7"/>
  <c r="K573" i="7"/>
  <c r="L572" i="7"/>
  <c r="K572" i="7"/>
  <c r="L571" i="7"/>
  <c r="K571" i="7"/>
  <c r="P570" i="7"/>
  <c r="L570" i="7"/>
  <c r="K570" i="7"/>
  <c r="L569" i="7"/>
  <c r="K569" i="7"/>
  <c r="L568" i="7"/>
  <c r="K568" i="7"/>
  <c r="P567" i="7"/>
  <c r="L567" i="7"/>
  <c r="K567" i="7"/>
  <c r="L566" i="7"/>
  <c r="K566" i="7"/>
  <c r="L565" i="7"/>
  <c r="K565" i="7"/>
  <c r="P564" i="7"/>
  <c r="L564" i="7"/>
  <c r="K564" i="7"/>
  <c r="L563" i="7"/>
  <c r="K563" i="7"/>
  <c r="L562" i="7"/>
  <c r="K562" i="7"/>
  <c r="P561" i="7"/>
  <c r="T561" i="7" s="1"/>
  <c r="U561" i="7" s="1"/>
  <c r="L561" i="7"/>
  <c r="K561" i="7"/>
  <c r="L560" i="7"/>
  <c r="K560" i="7"/>
  <c r="L559" i="7"/>
  <c r="K559" i="7"/>
  <c r="P558" i="7"/>
  <c r="T558" i="7" s="1"/>
  <c r="U558" i="7" s="1"/>
  <c r="L558" i="7"/>
  <c r="K558" i="7"/>
  <c r="L557" i="7"/>
  <c r="K557" i="7"/>
  <c r="L556" i="7"/>
  <c r="K556" i="7"/>
  <c r="P555" i="7"/>
  <c r="T555" i="7" s="1"/>
  <c r="U555" i="7" s="1"/>
  <c r="L555" i="7"/>
  <c r="K555" i="7"/>
  <c r="L554" i="7"/>
  <c r="K554" i="7"/>
  <c r="L553" i="7"/>
  <c r="K553" i="7"/>
  <c r="P552" i="7"/>
  <c r="T552" i="7" s="1"/>
  <c r="U552" i="7" s="1"/>
  <c r="L552" i="7"/>
  <c r="K552" i="7"/>
  <c r="L551" i="7"/>
  <c r="K551" i="7"/>
  <c r="L550" i="7"/>
  <c r="K550" i="7"/>
  <c r="P549" i="7"/>
  <c r="T549" i="7" s="1"/>
  <c r="U549" i="7" s="1"/>
  <c r="L549" i="7"/>
  <c r="K549" i="7"/>
  <c r="L548" i="7"/>
  <c r="K548" i="7"/>
  <c r="L547" i="7"/>
  <c r="K547" i="7"/>
  <c r="P546" i="7"/>
  <c r="T546" i="7" s="1"/>
  <c r="U546" i="7" s="1"/>
  <c r="L546" i="7"/>
  <c r="K546" i="7"/>
  <c r="L545" i="7"/>
  <c r="K545" i="7"/>
  <c r="L544" i="7"/>
  <c r="K544" i="7"/>
  <c r="P543" i="7"/>
  <c r="L543" i="7"/>
  <c r="K543" i="7"/>
  <c r="L542" i="7"/>
  <c r="K542" i="7"/>
  <c r="L541" i="7"/>
  <c r="K541" i="7"/>
  <c r="P540" i="7"/>
  <c r="T540" i="7" s="1"/>
  <c r="U540" i="7" s="1"/>
  <c r="L540" i="7"/>
  <c r="K540" i="7"/>
  <c r="L539" i="7"/>
  <c r="K539" i="7"/>
  <c r="L538" i="7"/>
  <c r="K538" i="7"/>
  <c r="P537" i="7"/>
  <c r="T537" i="7" s="1"/>
  <c r="U537" i="7" s="1"/>
  <c r="L537" i="7"/>
  <c r="K537" i="7"/>
  <c r="L536" i="7"/>
  <c r="K536" i="7"/>
  <c r="L535" i="7"/>
  <c r="K535" i="7"/>
  <c r="P534" i="7"/>
  <c r="T534" i="7" s="1"/>
  <c r="U534" i="7" s="1"/>
  <c r="L534" i="7"/>
  <c r="K534" i="7"/>
  <c r="L533" i="7"/>
  <c r="K533" i="7"/>
  <c r="L532" i="7"/>
  <c r="K532" i="7"/>
  <c r="P531" i="7"/>
  <c r="T531" i="7" s="1"/>
  <c r="U531" i="7" s="1"/>
  <c r="L531" i="7"/>
  <c r="K531" i="7"/>
  <c r="L530" i="7"/>
  <c r="K530" i="7"/>
  <c r="L529" i="7"/>
  <c r="K529" i="7"/>
  <c r="P528" i="7"/>
  <c r="T528" i="7" s="1"/>
  <c r="U528" i="7" s="1"/>
  <c r="L528" i="7"/>
  <c r="K528" i="7"/>
  <c r="L527" i="7"/>
  <c r="K527" i="7"/>
  <c r="L526" i="7"/>
  <c r="K526" i="7"/>
  <c r="P525" i="7"/>
  <c r="T525" i="7" s="1"/>
  <c r="U525" i="7" s="1"/>
  <c r="L525" i="7"/>
  <c r="K525" i="7"/>
  <c r="L524" i="7"/>
  <c r="K524" i="7"/>
  <c r="L523" i="7"/>
  <c r="K523" i="7"/>
  <c r="P522" i="7"/>
  <c r="T522" i="7" s="1"/>
  <c r="U522" i="7" s="1"/>
  <c r="L522" i="7"/>
  <c r="K522" i="7"/>
  <c r="L521" i="7"/>
  <c r="K521" i="7"/>
  <c r="L520" i="7"/>
  <c r="K520" i="7"/>
  <c r="P519" i="7"/>
  <c r="T519" i="7" s="1"/>
  <c r="U519" i="7" s="1"/>
  <c r="L519" i="7"/>
  <c r="K519" i="7"/>
  <c r="L518" i="7"/>
  <c r="K518" i="7"/>
  <c r="L517" i="7"/>
  <c r="K517" i="7"/>
  <c r="P516" i="7"/>
  <c r="T516" i="7" s="1"/>
  <c r="U516" i="7" s="1"/>
  <c r="L516" i="7"/>
  <c r="K516" i="7"/>
  <c r="L515" i="7"/>
  <c r="K515" i="7"/>
  <c r="L514" i="7"/>
  <c r="K514" i="7"/>
  <c r="P513" i="7"/>
  <c r="T513" i="7" s="1"/>
  <c r="U513" i="7" s="1"/>
  <c r="L513" i="7"/>
  <c r="K513" i="7"/>
  <c r="L512" i="7"/>
  <c r="K512" i="7"/>
  <c r="L511" i="7"/>
  <c r="K511" i="7"/>
  <c r="P510" i="7"/>
  <c r="L510" i="7"/>
  <c r="K510" i="7"/>
  <c r="L509" i="7"/>
  <c r="K509" i="7"/>
  <c r="L508" i="7"/>
  <c r="K508" i="7"/>
  <c r="P507" i="7"/>
  <c r="L507" i="7"/>
  <c r="K507" i="7"/>
  <c r="L506" i="7"/>
  <c r="K506" i="7"/>
  <c r="L505" i="7"/>
  <c r="K505" i="7"/>
  <c r="P504" i="7"/>
  <c r="T504" i="7" s="1"/>
  <c r="U504" i="7" s="1"/>
  <c r="L504" i="7"/>
  <c r="K504" i="7"/>
  <c r="L503" i="7"/>
  <c r="K503" i="7"/>
  <c r="L502" i="7"/>
  <c r="K502" i="7"/>
  <c r="P501" i="7"/>
  <c r="L501" i="7"/>
  <c r="K501" i="7"/>
  <c r="L500" i="7"/>
  <c r="K500" i="7"/>
  <c r="L499" i="7"/>
  <c r="K499" i="7"/>
  <c r="P498" i="7"/>
  <c r="T498" i="7" s="1"/>
  <c r="U498" i="7" s="1"/>
  <c r="L498" i="7"/>
  <c r="K498" i="7"/>
  <c r="L497" i="7"/>
  <c r="K497" i="7"/>
  <c r="L496" i="7"/>
  <c r="K496" i="7"/>
  <c r="P495" i="7"/>
  <c r="T495" i="7" s="1"/>
  <c r="U495" i="7" s="1"/>
  <c r="L495" i="7"/>
  <c r="K495" i="7"/>
  <c r="L494" i="7"/>
  <c r="K494" i="7"/>
  <c r="L493" i="7"/>
  <c r="K493" i="7"/>
  <c r="P492" i="7"/>
  <c r="L492" i="7"/>
  <c r="K492" i="7"/>
  <c r="L491" i="7"/>
  <c r="K491" i="7"/>
  <c r="L490" i="7"/>
  <c r="K490" i="7"/>
  <c r="P489" i="7"/>
  <c r="L489" i="7"/>
  <c r="K489" i="7"/>
  <c r="L488" i="7"/>
  <c r="K488" i="7"/>
  <c r="L487" i="7"/>
  <c r="K487" i="7"/>
  <c r="P486" i="7"/>
  <c r="L486" i="7"/>
  <c r="K486" i="7"/>
  <c r="L485" i="7"/>
  <c r="K485" i="7"/>
  <c r="L484" i="7"/>
  <c r="K484" i="7"/>
  <c r="P483" i="7"/>
  <c r="L483" i="7"/>
  <c r="K483" i="7"/>
  <c r="L482" i="7"/>
  <c r="K482" i="7"/>
  <c r="L481" i="7"/>
  <c r="K481" i="7"/>
  <c r="P480" i="7"/>
  <c r="T480" i="7" s="1"/>
  <c r="U480" i="7" s="1"/>
  <c r="L480" i="7"/>
  <c r="K480" i="7"/>
  <c r="L479" i="7"/>
  <c r="K479" i="7"/>
  <c r="L478" i="7"/>
  <c r="K478" i="7"/>
  <c r="P477" i="7"/>
  <c r="L477" i="7"/>
  <c r="K477" i="7"/>
  <c r="L476" i="7"/>
  <c r="K476" i="7"/>
  <c r="L475" i="7"/>
  <c r="K475" i="7"/>
  <c r="P474" i="7"/>
  <c r="L474" i="7"/>
  <c r="K474" i="7"/>
  <c r="L473" i="7"/>
  <c r="K473" i="7"/>
  <c r="L472" i="7"/>
  <c r="K472" i="7"/>
  <c r="P471" i="7"/>
  <c r="L471" i="7"/>
  <c r="K471" i="7"/>
  <c r="L470" i="7"/>
  <c r="K470" i="7"/>
  <c r="L469" i="7"/>
  <c r="K469" i="7"/>
  <c r="P468" i="7"/>
  <c r="L468" i="7"/>
  <c r="K468" i="7"/>
  <c r="L467" i="7"/>
  <c r="K467" i="7"/>
  <c r="L466" i="7"/>
  <c r="K466" i="7"/>
  <c r="P465" i="7"/>
  <c r="L465" i="7"/>
  <c r="K465" i="7"/>
  <c r="L464" i="7"/>
  <c r="K464" i="7"/>
  <c r="L463" i="7"/>
  <c r="K463" i="7"/>
  <c r="P462" i="7"/>
  <c r="L462" i="7"/>
  <c r="K462" i="7"/>
  <c r="L461" i="7"/>
  <c r="K461" i="7"/>
  <c r="L460" i="7"/>
  <c r="K460" i="7"/>
  <c r="P459" i="7"/>
  <c r="L459" i="7"/>
  <c r="K459" i="7"/>
  <c r="L458" i="7"/>
  <c r="K458" i="7"/>
  <c r="L457" i="7"/>
  <c r="K457" i="7"/>
  <c r="P456" i="7"/>
  <c r="L456" i="7"/>
  <c r="K456" i="7"/>
  <c r="L455" i="7"/>
  <c r="K455" i="7"/>
  <c r="L454" i="7"/>
  <c r="K454" i="7"/>
  <c r="P453" i="7"/>
  <c r="T453" i="7" s="1"/>
  <c r="U453" i="7" s="1"/>
  <c r="L453" i="7"/>
  <c r="K453" i="7"/>
  <c r="L452" i="7"/>
  <c r="K452" i="7"/>
  <c r="L451" i="7"/>
  <c r="K451" i="7"/>
  <c r="P450" i="7"/>
  <c r="L450" i="7"/>
  <c r="K450" i="7"/>
  <c r="L449" i="7"/>
  <c r="K449" i="7"/>
  <c r="L448" i="7"/>
  <c r="K448" i="7"/>
  <c r="P447" i="7"/>
  <c r="T447" i="7" s="1"/>
  <c r="U447" i="7" s="1"/>
  <c r="L447" i="7"/>
  <c r="K447" i="7"/>
  <c r="L446" i="7"/>
  <c r="K446" i="7"/>
  <c r="L445" i="7"/>
  <c r="K445" i="7"/>
  <c r="P444" i="7"/>
  <c r="L444" i="7"/>
  <c r="K444" i="7"/>
  <c r="L443" i="7"/>
  <c r="K443" i="7"/>
  <c r="L442" i="7"/>
  <c r="K442" i="7"/>
  <c r="P441" i="7"/>
  <c r="L441" i="7"/>
  <c r="K441" i="7"/>
  <c r="L440" i="7"/>
  <c r="K440" i="7"/>
  <c r="L439" i="7"/>
  <c r="K439" i="7"/>
  <c r="P438" i="7"/>
  <c r="L438" i="7"/>
  <c r="K438" i="7"/>
  <c r="L437" i="7"/>
  <c r="K437" i="7"/>
  <c r="L436" i="7"/>
  <c r="K436" i="7"/>
  <c r="P435" i="7"/>
  <c r="T435" i="7" s="1"/>
  <c r="U435" i="7" s="1"/>
  <c r="L435" i="7"/>
  <c r="K435" i="7"/>
  <c r="L434" i="7"/>
  <c r="K434" i="7"/>
  <c r="L433" i="7"/>
  <c r="K433" i="7"/>
  <c r="P432" i="7"/>
  <c r="T432" i="7" s="1"/>
  <c r="U432" i="7" s="1"/>
  <c r="L432" i="7"/>
  <c r="K432" i="7"/>
  <c r="L431" i="7"/>
  <c r="K431" i="7"/>
  <c r="L430" i="7"/>
  <c r="K430" i="7"/>
  <c r="P429" i="7"/>
  <c r="T429" i="7" s="1"/>
  <c r="U429" i="7" s="1"/>
  <c r="L429" i="7"/>
  <c r="K429" i="7"/>
  <c r="L428" i="7"/>
  <c r="K428" i="7"/>
  <c r="L427" i="7"/>
  <c r="K427" i="7"/>
  <c r="P426" i="7"/>
  <c r="L426" i="7"/>
  <c r="K426" i="7"/>
  <c r="L425" i="7"/>
  <c r="K425" i="7"/>
  <c r="L424" i="7"/>
  <c r="K424" i="7"/>
  <c r="P423" i="7"/>
  <c r="L423" i="7"/>
  <c r="K423" i="7"/>
  <c r="L422" i="7"/>
  <c r="K422" i="7"/>
  <c r="L421" i="7"/>
  <c r="K421" i="7"/>
  <c r="P420" i="7"/>
  <c r="L420" i="7"/>
  <c r="K420" i="7"/>
  <c r="L419" i="7"/>
  <c r="K419" i="7"/>
  <c r="L418" i="7"/>
  <c r="K418" i="7"/>
  <c r="P417" i="7"/>
  <c r="L417" i="7"/>
  <c r="K417" i="7"/>
  <c r="L416" i="7"/>
  <c r="K416" i="7"/>
  <c r="L415" i="7"/>
  <c r="K415" i="7"/>
  <c r="P414" i="7"/>
  <c r="L414" i="7"/>
  <c r="K414" i="7"/>
  <c r="L413" i="7"/>
  <c r="K413" i="7"/>
  <c r="L412" i="7"/>
  <c r="K412" i="7"/>
  <c r="P411" i="7"/>
  <c r="L411" i="7"/>
  <c r="K411" i="7"/>
  <c r="L410" i="7"/>
  <c r="K410" i="7"/>
  <c r="L409" i="7"/>
  <c r="K409" i="7"/>
  <c r="P408" i="7"/>
  <c r="L408" i="7"/>
  <c r="K408" i="7"/>
  <c r="L407" i="7"/>
  <c r="K407" i="7"/>
  <c r="L406" i="7"/>
  <c r="K406" i="7"/>
  <c r="P405" i="7"/>
  <c r="L405" i="7"/>
  <c r="K405" i="7"/>
  <c r="L404" i="7"/>
  <c r="K404" i="7"/>
  <c r="L403" i="7"/>
  <c r="K403" i="7"/>
  <c r="P402" i="7"/>
  <c r="L402" i="7"/>
  <c r="K402" i="7"/>
  <c r="L401" i="7"/>
  <c r="K401" i="7"/>
  <c r="L400" i="7"/>
  <c r="K400" i="7"/>
  <c r="P399" i="7"/>
  <c r="L399" i="7"/>
  <c r="K399" i="7"/>
  <c r="L398" i="7"/>
  <c r="K398" i="7"/>
  <c r="L397" i="7"/>
  <c r="K397" i="7"/>
  <c r="P396" i="7"/>
  <c r="L396" i="7"/>
  <c r="K396" i="7"/>
  <c r="L395" i="7"/>
  <c r="K395" i="7"/>
  <c r="L394" i="7"/>
  <c r="K394" i="7"/>
  <c r="P393" i="7"/>
  <c r="L393" i="7"/>
  <c r="K393" i="7"/>
  <c r="L392" i="7"/>
  <c r="K392" i="7"/>
  <c r="L391" i="7"/>
  <c r="K391" i="7"/>
  <c r="P390" i="7"/>
  <c r="L390" i="7"/>
  <c r="K390" i="7"/>
  <c r="L389" i="7"/>
  <c r="K389" i="7"/>
  <c r="L388" i="7"/>
  <c r="K388" i="7"/>
  <c r="P387" i="7"/>
  <c r="L387" i="7"/>
  <c r="K387" i="7"/>
  <c r="L386" i="7"/>
  <c r="K386" i="7"/>
  <c r="L385" i="7"/>
  <c r="K385" i="7"/>
  <c r="P384" i="7"/>
  <c r="L384" i="7"/>
  <c r="K384" i="7"/>
  <c r="L383" i="7"/>
  <c r="K383" i="7"/>
  <c r="L382" i="7"/>
  <c r="K382" i="7"/>
  <c r="P381" i="7"/>
  <c r="L381" i="7"/>
  <c r="K381" i="7"/>
  <c r="L380" i="7"/>
  <c r="K380" i="7"/>
  <c r="L379" i="7"/>
  <c r="K379" i="7"/>
  <c r="P378" i="7"/>
  <c r="L378" i="7"/>
  <c r="K378" i="7"/>
  <c r="L377" i="7"/>
  <c r="K377" i="7"/>
  <c r="L376" i="7"/>
  <c r="K376" i="7"/>
  <c r="P375" i="7"/>
  <c r="L375" i="7"/>
  <c r="K375" i="7"/>
  <c r="L374" i="7"/>
  <c r="K374" i="7"/>
  <c r="L373" i="7"/>
  <c r="K373" i="7"/>
  <c r="P372" i="7"/>
  <c r="L372" i="7"/>
  <c r="K372" i="7"/>
  <c r="L371" i="7"/>
  <c r="K371" i="7"/>
  <c r="L370" i="7"/>
  <c r="K370" i="7"/>
  <c r="P369" i="7"/>
  <c r="T369" i="7" s="1"/>
  <c r="U369" i="7" s="1"/>
  <c r="L369" i="7"/>
  <c r="K369" i="7"/>
  <c r="L368" i="7"/>
  <c r="K368" i="7"/>
  <c r="L367" i="7"/>
  <c r="K367" i="7"/>
  <c r="P366" i="7"/>
  <c r="T366" i="7" s="1"/>
  <c r="U366" i="7" s="1"/>
  <c r="L366" i="7"/>
  <c r="K366" i="7"/>
  <c r="L365" i="7"/>
  <c r="K365" i="7"/>
  <c r="L364" i="7"/>
  <c r="K364" i="7"/>
  <c r="P363" i="7"/>
  <c r="T363" i="7" s="1"/>
  <c r="U363" i="7" s="1"/>
  <c r="L363" i="7"/>
  <c r="K363" i="7"/>
  <c r="L362" i="7"/>
  <c r="K362" i="7"/>
  <c r="L361" i="7"/>
  <c r="K361" i="7"/>
  <c r="P360" i="7"/>
  <c r="T360" i="7" s="1"/>
  <c r="U360" i="7" s="1"/>
  <c r="L360" i="7"/>
  <c r="K360" i="7"/>
  <c r="L359" i="7"/>
  <c r="K359" i="7"/>
  <c r="L358" i="7"/>
  <c r="K358" i="7"/>
  <c r="P357" i="7"/>
  <c r="L357" i="7"/>
  <c r="K357" i="7"/>
  <c r="L356" i="7"/>
  <c r="K356" i="7"/>
  <c r="L355" i="7"/>
  <c r="K355" i="7"/>
  <c r="P354" i="7"/>
  <c r="L354" i="7"/>
  <c r="K354" i="7"/>
  <c r="L353" i="7"/>
  <c r="K353" i="7"/>
  <c r="L352" i="7"/>
  <c r="K352" i="7"/>
  <c r="P351" i="7"/>
  <c r="L351" i="7"/>
  <c r="K351" i="7"/>
  <c r="L350" i="7"/>
  <c r="K350" i="7"/>
  <c r="L349" i="7"/>
  <c r="K349" i="7"/>
  <c r="P348" i="7"/>
  <c r="T348" i="7" s="1"/>
  <c r="U348" i="7" s="1"/>
  <c r="L348" i="7"/>
  <c r="K348" i="7"/>
  <c r="L347" i="7"/>
  <c r="K347" i="7"/>
  <c r="L346" i="7"/>
  <c r="K346" i="7"/>
  <c r="P345" i="7"/>
  <c r="L345" i="7"/>
  <c r="K345" i="7"/>
  <c r="L344" i="7"/>
  <c r="K344" i="7"/>
  <c r="L343" i="7"/>
  <c r="K343" i="7"/>
  <c r="P342" i="7"/>
  <c r="T342" i="7" s="1"/>
  <c r="U342" i="7" s="1"/>
  <c r="L342" i="7"/>
  <c r="K342" i="7"/>
  <c r="L341" i="7"/>
  <c r="K341" i="7"/>
  <c r="L340" i="7"/>
  <c r="K340" i="7"/>
  <c r="P339" i="7"/>
  <c r="T339" i="7" s="1"/>
  <c r="U339" i="7" s="1"/>
  <c r="L339" i="7"/>
  <c r="K339" i="7"/>
  <c r="L338" i="7"/>
  <c r="K338" i="7"/>
  <c r="L337" i="7"/>
  <c r="K337" i="7"/>
  <c r="P336" i="7"/>
  <c r="L336" i="7"/>
  <c r="K336" i="7"/>
  <c r="L335" i="7"/>
  <c r="K335" i="7"/>
  <c r="L334" i="7"/>
  <c r="K334" i="7"/>
  <c r="P333" i="7"/>
  <c r="L333" i="7"/>
  <c r="K333" i="7"/>
  <c r="L332" i="7"/>
  <c r="K332" i="7"/>
  <c r="L331" i="7"/>
  <c r="K331" i="7"/>
  <c r="P330" i="7"/>
  <c r="T330" i="7" s="1"/>
  <c r="U330" i="7" s="1"/>
  <c r="L330" i="7"/>
  <c r="K330" i="7"/>
  <c r="L329" i="7"/>
  <c r="K329" i="7"/>
  <c r="L328" i="7"/>
  <c r="K328" i="7"/>
  <c r="P327" i="7"/>
  <c r="L327" i="7"/>
  <c r="K327" i="7"/>
  <c r="L326" i="7"/>
  <c r="K326" i="7"/>
  <c r="L325" i="7"/>
  <c r="K325" i="7"/>
  <c r="P324" i="7"/>
  <c r="L324" i="7"/>
  <c r="K324" i="7"/>
  <c r="L323" i="7"/>
  <c r="K323" i="7"/>
  <c r="L322" i="7"/>
  <c r="K322" i="7"/>
  <c r="P321" i="7"/>
  <c r="L321" i="7"/>
  <c r="K321" i="7"/>
  <c r="L320" i="7"/>
  <c r="K320" i="7"/>
  <c r="L319" i="7"/>
  <c r="K319" i="7"/>
  <c r="P318" i="7"/>
  <c r="T318" i="7" s="1"/>
  <c r="U318" i="7" s="1"/>
  <c r="L318" i="7"/>
  <c r="K318" i="7"/>
  <c r="L317" i="7"/>
  <c r="K317" i="7"/>
  <c r="L316" i="7"/>
  <c r="K316" i="7"/>
  <c r="P315" i="7"/>
  <c r="T315" i="7" s="1"/>
  <c r="U315" i="7" s="1"/>
  <c r="L315" i="7"/>
  <c r="K315" i="7"/>
  <c r="L314" i="7"/>
  <c r="K314" i="7"/>
  <c r="L313" i="7"/>
  <c r="K313" i="7"/>
  <c r="P312" i="7"/>
  <c r="T312" i="7" s="1"/>
  <c r="U312" i="7" s="1"/>
  <c r="L312" i="7"/>
  <c r="K312" i="7"/>
  <c r="L311" i="7"/>
  <c r="K311" i="7"/>
  <c r="L310" i="7"/>
  <c r="K310" i="7"/>
  <c r="P309" i="7"/>
  <c r="T309" i="7" s="1"/>
  <c r="U309" i="7" s="1"/>
  <c r="L309" i="7"/>
  <c r="K309" i="7"/>
  <c r="L308" i="7"/>
  <c r="K308" i="7"/>
  <c r="L307" i="7"/>
  <c r="K307" i="7"/>
  <c r="P306" i="7"/>
  <c r="L306" i="7"/>
  <c r="K306" i="7"/>
  <c r="L305" i="7"/>
  <c r="K305" i="7"/>
  <c r="L304" i="7"/>
  <c r="K304" i="7"/>
  <c r="P303" i="7"/>
  <c r="L303" i="7"/>
  <c r="K303" i="7"/>
  <c r="L302" i="7"/>
  <c r="K302" i="7"/>
  <c r="L301" i="7"/>
  <c r="K301" i="7"/>
  <c r="P300" i="7"/>
  <c r="T300" i="7" s="1"/>
  <c r="U300" i="7" s="1"/>
  <c r="L300" i="7"/>
  <c r="K300" i="7"/>
  <c r="L299" i="7"/>
  <c r="K299" i="7"/>
  <c r="L298" i="7"/>
  <c r="K298" i="7"/>
  <c r="P297" i="7"/>
  <c r="L297" i="7"/>
  <c r="K297" i="7"/>
  <c r="L296" i="7"/>
  <c r="K296" i="7"/>
  <c r="L295" i="7"/>
  <c r="K295" i="7"/>
  <c r="P294" i="7"/>
  <c r="L294" i="7"/>
  <c r="K294" i="7"/>
  <c r="L293" i="7"/>
  <c r="K293" i="7"/>
  <c r="L292" i="7"/>
  <c r="K292" i="7"/>
  <c r="P291" i="7"/>
  <c r="L291" i="7"/>
  <c r="K291" i="7"/>
  <c r="L290" i="7"/>
  <c r="K290" i="7"/>
  <c r="L289" i="7"/>
  <c r="K289" i="7"/>
  <c r="P288" i="7"/>
  <c r="L288" i="7"/>
  <c r="K288" i="7"/>
  <c r="L287" i="7"/>
  <c r="K287" i="7"/>
  <c r="L286" i="7"/>
  <c r="K286" i="7"/>
  <c r="P285" i="7"/>
  <c r="L285" i="7"/>
  <c r="K285" i="7"/>
  <c r="L284" i="7"/>
  <c r="K284" i="7"/>
  <c r="L283" i="7"/>
  <c r="K283" i="7"/>
  <c r="P282" i="7"/>
  <c r="L282" i="7"/>
  <c r="K282" i="7"/>
  <c r="L281" i="7"/>
  <c r="K281" i="7"/>
  <c r="L280" i="7"/>
  <c r="K280" i="7"/>
  <c r="P279" i="7"/>
  <c r="L279" i="7"/>
  <c r="K279" i="7"/>
  <c r="L278" i="7"/>
  <c r="K278" i="7"/>
  <c r="L277" i="7"/>
  <c r="K277" i="7"/>
  <c r="P276" i="7"/>
  <c r="L276" i="7"/>
  <c r="K276" i="7"/>
  <c r="L275" i="7"/>
  <c r="K275" i="7"/>
  <c r="L274" i="7"/>
  <c r="K274" i="7"/>
  <c r="P273" i="7"/>
  <c r="L273" i="7"/>
  <c r="K273" i="7"/>
  <c r="L272" i="7"/>
  <c r="K272" i="7"/>
  <c r="L271" i="7"/>
  <c r="K271" i="7"/>
  <c r="P270" i="7"/>
  <c r="T270" i="7" s="1"/>
  <c r="U270" i="7" s="1"/>
  <c r="L270" i="7"/>
  <c r="K270" i="7"/>
  <c r="L269" i="7"/>
  <c r="K269" i="7"/>
  <c r="L268" i="7"/>
  <c r="K268" i="7"/>
  <c r="P267" i="7"/>
  <c r="L267" i="7"/>
  <c r="K267" i="7"/>
  <c r="L266" i="7"/>
  <c r="K266" i="7"/>
  <c r="L265" i="7"/>
  <c r="K265" i="7"/>
  <c r="P264" i="7"/>
  <c r="L264" i="7"/>
  <c r="K264" i="7"/>
  <c r="L263" i="7"/>
  <c r="K263" i="7"/>
  <c r="L262" i="7"/>
  <c r="K262" i="7"/>
  <c r="P261" i="7"/>
  <c r="L261" i="7"/>
  <c r="K261" i="7"/>
  <c r="L260" i="7"/>
  <c r="K260" i="7"/>
  <c r="L259" i="7"/>
  <c r="K259" i="7"/>
  <c r="P258" i="7"/>
  <c r="L258" i="7"/>
  <c r="K258" i="7"/>
  <c r="L257" i="7"/>
  <c r="K257" i="7"/>
  <c r="L256" i="7"/>
  <c r="K256" i="7"/>
  <c r="P255" i="7"/>
  <c r="L255" i="7"/>
  <c r="K255" i="7"/>
  <c r="L254" i="7"/>
  <c r="K254" i="7"/>
  <c r="L253" i="7"/>
  <c r="K253" i="7"/>
  <c r="P252" i="7"/>
  <c r="L252" i="7"/>
  <c r="K252" i="7"/>
  <c r="L251" i="7"/>
  <c r="K251" i="7"/>
  <c r="L250" i="7"/>
  <c r="K250" i="7"/>
  <c r="P249" i="7"/>
  <c r="T249" i="7" s="1"/>
  <c r="U249" i="7" s="1"/>
  <c r="L249" i="7"/>
  <c r="K249" i="7"/>
  <c r="L248" i="7"/>
  <c r="K248" i="7"/>
  <c r="L247" i="7"/>
  <c r="K247" i="7"/>
  <c r="P246" i="7"/>
  <c r="T246" i="7" s="1"/>
  <c r="U246" i="7" s="1"/>
  <c r="L246" i="7"/>
  <c r="K246" i="7"/>
  <c r="L245" i="7"/>
  <c r="K245" i="7"/>
  <c r="L244" i="7"/>
  <c r="K244" i="7"/>
  <c r="P243" i="7"/>
  <c r="L243" i="7"/>
  <c r="K243" i="7"/>
  <c r="L242" i="7"/>
  <c r="K242" i="7"/>
  <c r="L241" i="7"/>
  <c r="K241" i="7"/>
  <c r="P240" i="7"/>
  <c r="L240" i="7"/>
  <c r="K240" i="7"/>
  <c r="L239" i="7"/>
  <c r="K239" i="7"/>
  <c r="L238" i="7"/>
  <c r="K238" i="7"/>
  <c r="P237" i="7"/>
  <c r="L237" i="7"/>
  <c r="K237" i="7"/>
  <c r="L236" i="7"/>
  <c r="K236" i="7"/>
  <c r="L235" i="7"/>
  <c r="K235" i="7"/>
  <c r="P234" i="7"/>
  <c r="L234" i="7"/>
  <c r="K234" i="7"/>
  <c r="L233" i="7"/>
  <c r="K233" i="7"/>
  <c r="L232" i="7"/>
  <c r="K232" i="7"/>
  <c r="P231" i="7"/>
  <c r="L231" i="7"/>
  <c r="K231" i="7"/>
  <c r="L230" i="7"/>
  <c r="K230" i="7"/>
  <c r="L229" i="7"/>
  <c r="K229" i="7"/>
  <c r="P228" i="7"/>
  <c r="L228" i="7"/>
  <c r="K228" i="7"/>
  <c r="L227" i="7"/>
  <c r="K227" i="7"/>
  <c r="L226" i="7"/>
  <c r="K226" i="7"/>
  <c r="P225" i="7"/>
  <c r="L225" i="7"/>
  <c r="K225" i="7"/>
  <c r="L224" i="7"/>
  <c r="K224" i="7"/>
  <c r="L223" i="7"/>
  <c r="K223" i="7"/>
  <c r="P222" i="7"/>
  <c r="L222" i="7"/>
  <c r="K222" i="7"/>
  <c r="L221" i="7"/>
  <c r="K221" i="7"/>
  <c r="L220" i="7"/>
  <c r="K220" i="7"/>
  <c r="P219" i="7"/>
  <c r="L219" i="7"/>
  <c r="K219" i="7"/>
  <c r="L218" i="7"/>
  <c r="K218" i="7"/>
  <c r="L217" i="7"/>
  <c r="K217" i="7"/>
  <c r="P216" i="7"/>
  <c r="L216" i="7"/>
  <c r="K216" i="7"/>
  <c r="L215" i="7"/>
  <c r="K215" i="7"/>
  <c r="L214" i="7"/>
  <c r="K214" i="7"/>
  <c r="P213" i="7"/>
  <c r="L213" i="7"/>
  <c r="K213" i="7"/>
  <c r="L212" i="7"/>
  <c r="K212" i="7"/>
  <c r="L211" i="7"/>
  <c r="K211" i="7"/>
  <c r="P210" i="7"/>
  <c r="T210" i="7" s="1"/>
  <c r="U210" i="7" s="1"/>
  <c r="L210" i="7"/>
  <c r="K210" i="7"/>
  <c r="L209" i="7"/>
  <c r="K209" i="7"/>
  <c r="L208" i="7"/>
  <c r="K208" i="7"/>
  <c r="P207" i="7"/>
  <c r="T207" i="7" s="1"/>
  <c r="U207" i="7" s="1"/>
  <c r="L207" i="7"/>
  <c r="K207" i="7"/>
  <c r="L206" i="7"/>
  <c r="K206" i="7"/>
  <c r="L205" i="7"/>
  <c r="K205" i="7"/>
  <c r="P204" i="7"/>
  <c r="L204" i="7"/>
  <c r="K204" i="7"/>
  <c r="L203" i="7"/>
  <c r="K203" i="7"/>
  <c r="L202" i="7"/>
  <c r="K202" i="7"/>
  <c r="P201" i="7"/>
  <c r="L201" i="7"/>
  <c r="K201" i="7"/>
  <c r="L200" i="7"/>
  <c r="K200" i="7"/>
  <c r="L199" i="7"/>
  <c r="K199" i="7"/>
  <c r="P198" i="7"/>
  <c r="L198" i="7"/>
  <c r="K198" i="7"/>
  <c r="L197" i="7"/>
  <c r="K197" i="7"/>
  <c r="L196" i="7"/>
  <c r="K196" i="7"/>
  <c r="P195" i="7"/>
  <c r="L195" i="7"/>
  <c r="K195" i="7"/>
  <c r="L194" i="7"/>
  <c r="K194" i="7"/>
  <c r="L193" i="7"/>
  <c r="K193" i="7"/>
  <c r="P192" i="7"/>
  <c r="L192" i="7"/>
  <c r="K192" i="7"/>
  <c r="L191" i="7"/>
  <c r="K191" i="7"/>
  <c r="L190" i="7"/>
  <c r="K190" i="7"/>
  <c r="P189" i="7"/>
  <c r="T189" i="7" s="1"/>
  <c r="U189" i="7" s="1"/>
  <c r="L189" i="7"/>
  <c r="K189" i="7"/>
  <c r="L188" i="7"/>
  <c r="K188" i="7"/>
  <c r="L187" i="7"/>
  <c r="K187" i="7"/>
  <c r="P186" i="7"/>
  <c r="T186" i="7" s="1"/>
  <c r="U186" i="7" s="1"/>
  <c r="L186" i="7"/>
  <c r="K186" i="7"/>
  <c r="L185" i="7"/>
  <c r="K185" i="7"/>
  <c r="L184" i="7"/>
  <c r="K184" i="7"/>
  <c r="P183" i="7"/>
  <c r="T183" i="7" s="1"/>
  <c r="U183" i="7" s="1"/>
  <c r="L183" i="7"/>
  <c r="K183" i="7"/>
  <c r="L182" i="7"/>
  <c r="K182" i="7"/>
  <c r="L181" i="7"/>
  <c r="K181" i="7"/>
  <c r="P180" i="7"/>
  <c r="T180" i="7" s="1"/>
  <c r="U180" i="7" s="1"/>
  <c r="L180" i="7"/>
  <c r="K180" i="7"/>
  <c r="L179" i="7"/>
  <c r="K179" i="7"/>
  <c r="L178" i="7"/>
  <c r="K178" i="7"/>
  <c r="P177" i="7"/>
  <c r="L177" i="7"/>
  <c r="K177" i="7"/>
  <c r="L176" i="7"/>
  <c r="K176" i="7"/>
  <c r="L175" i="7"/>
  <c r="K175" i="7"/>
  <c r="P174" i="7"/>
  <c r="L174" i="7"/>
  <c r="K174" i="7"/>
  <c r="L173" i="7"/>
  <c r="K173" i="7"/>
  <c r="L172" i="7"/>
  <c r="K172" i="7"/>
  <c r="P171" i="7"/>
  <c r="L171" i="7"/>
  <c r="K171" i="7"/>
  <c r="L170" i="7"/>
  <c r="K170" i="7"/>
  <c r="L169" i="7"/>
  <c r="K169" i="7"/>
  <c r="P168" i="7"/>
  <c r="L168" i="7"/>
  <c r="K168" i="7"/>
  <c r="L167" i="7"/>
  <c r="K167" i="7"/>
  <c r="L166" i="7"/>
  <c r="K166" i="7"/>
  <c r="P165" i="7"/>
  <c r="L165" i="7"/>
  <c r="K165" i="7"/>
  <c r="L164" i="7"/>
  <c r="K164" i="7"/>
  <c r="L163" i="7"/>
  <c r="K163" i="7"/>
  <c r="P162" i="7"/>
  <c r="T162" i="7" s="1"/>
  <c r="U162" i="7" s="1"/>
  <c r="L162" i="7"/>
  <c r="K162" i="7"/>
  <c r="L161" i="7"/>
  <c r="K161" i="7"/>
  <c r="L160" i="7"/>
  <c r="K160" i="7"/>
  <c r="P159" i="7"/>
  <c r="L159" i="7"/>
  <c r="K159" i="7"/>
  <c r="L158" i="7"/>
  <c r="K158" i="7"/>
  <c r="L157" i="7"/>
  <c r="K157" i="7"/>
  <c r="P156" i="7"/>
  <c r="L156" i="7"/>
  <c r="K156" i="7"/>
  <c r="L155" i="7"/>
  <c r="K155" i="7"/>
  <c r="L154" i="7"/>
  <c r="K154" i="7"/>
  <c r="P153" i="7"/>
  <c r="L153" i="7"/>
  <c r="K153" i="7"/>
  <c r="L152" i="7"/>
  <c r="K152" i="7"/>
  <c r="L151" i="7"/>
  <c r="K151" i="7"/>
  <c r="P150" i="7"/>
  <c r="L150" i="7"/>
  <c r="K150" i="7"/>
  <c r="L149" i="7"/>
  <c r="K149" i="7"/>
  <c r="L148" i="7"/>
  <c r="K148" i="7"/>
  <c r="P147" i="7"/>
  <c r="L147" i="7"/>
  <c r="K147" i="7"/>
  <c r="L146" i="7"/>
  <c r="K146" i="7"/>
  <c r="L145" i="7"/>
  <c r="K145" i="7"/>
  <c r="P144" i="7"/>
  <c r="T144" i="7" s="1"/>
  <c r="U144" i="7" s="1"/>
  <c r="L144" i="7"/>
  <c r="K144" i="7"/>
  <c r="L143" i="7"/>
  <c r="K143" i="7"/>
  <c r="L142" i="7"/>
  <c r="K142" i="7"/>
  <c r="P141" i="7"/>
  <c r="T141" i="7" s="1"/>
  <c r="U141" i="7" s="1"/>
  <c r="L141" i="7"/>
  <c r="K141" i="7"/>
  <c r="L140" i="7"/>
  <c r="K140" i="7"/>
  <c r="L139" i="7"/>
  <c r="K139" i="7"/>
  <c r="P138" i="7"/>
  <c r="L138" i="7"/>
  <c r="K138" i="7"/>
  <c r="L137" i="7"/>
  <c r="K137" i="7"/>
  <c r="L136" i="7"/>
  <c r="K136" i="7"/>
  <c r="P135" i="7"/>
  <c r="T135" i="7" s="1"/>
  <c r="U135" i="7" s="1"/>
  <c r="L135" i="7"/>
  <c r="K135" i="7"/>
  <c r="L134" i="7"/>
  <c r="K134" i="7"/>
  <c r="L133" i="7"/>
  <c r="K133" i="7"/>
  <c r="P132" i="7"/>
  <c r="T132" i="7" s="1"/>
  <c r="U132" i="7" s="1"/>
  <c r="L132" i="7"/>
  <c r="K132" i="7"/>
  <c r="L131" i="7"/>
  <c r="K131" i="7"/>
  <c r="L130" i="7"/>
  <c r="K130" i="7"/>
  <c r="P129" i="7"/>
  <c r="T129" i="7" s="1"/>
  <c r="U129" i="7" s="1"/>
  <c r="L129" i="7"/>
  <c r="K129" i="7"/>
  <c r="L128" i="7"/>
  <c r="K128" i="7"/>
  <c r="L127" i="7"/>
  <c r="K127" i="7"/>
  <c r="P126" i="7"/>
  <c r="T126" i="7" s="1"/>
  <c r="U126" i="7" s="1"/>
  <c r="L126" i="7"/>
  <c r="K126" i="7"/>
  <c r="L125" i="7"/>
  <c r="K125" i="7"/>
  <c r="L124" i="7"/>
  <c r="K124" i="7"/>
  <c r="P123" i="7"/>
  <c r="T123" i="7" s="1"/>
  <c r="U123" i="7" s="1"/>
  <c r="L123" i="7"/>
  <c r="K123" i="7"/>
  <c r="L122" i="7"/>
  <c r="K122" i="7"/>
  <c r="L121" i="7"/>
  <c r="K121" i="7"/>
  <c r="P120" i="7"/>
  <c r="T120" i="7" s="1"/>
  <c r="U120" i="7" s="1"/>
  <c r="L120" i="7"/>
  <c r="K120" i="7"/>
  <c r="L119" i="7"/>
  <c r="K119" i="7"/>
  <c r="L118" i="7"/>
  <c r="K118" i="7"/>
  <c r="P117" i="7"/>
  <c r="L117" i="7"/>
  <c r="K117" i="7"/>
  <c r="L116" i="7"/>
  <c r="K116" i="7"/>
  <c r="L115" i="7"/>
  <c r="K115" i="7"/>
  <c r="P114" i="7"/>
  <c r="T114" i="7" s="1"/>
  <c r="U114" i="7" s="1"/>
  <c r="L114" i="7"/>
  <c r="K114" i="7"/>
  <c r="L113" i="7"/>
  <c r="K113" i="7"/>
  <c r="L112" i="7"/>
  <c r="K112" i="7"/>
  <c r="P111" i="7"/>
  <c r="L111" i="7"/>
  <c r="K111" i="7"/>
  <c r="L110" i="7"/>
  <c r="K110" i="7"/>
  <c r="L109" i="7"/>
  <c r="K109" i="7"/>
  <c r="P108" i="7"/>
  <c r="T108" i="7" s="1"/>
  <c r="U108" i="7" s="1"/>
  <c r="L108" i="7"/>
  <c r="K108" i="7"/>
  <c r="L107" i="7"/>
  <c r="K107" i="7"/>
  <c r="L106" i="7"/>
  <c r="K106" i="7"/>
  <c r="P105" i="7"/>
  <c r="T105" i="7" s="1"/>
  <c r="U105" i="7" s="1"/>
  <c r="L105" i="7"/>
  <c r="K105" i="7"/>
  <c r="L104" i="7"/>
  <c r="K104" i="7"/>
  <c r="L103" i="7"/>
  <c r="K103" i="7"/>
  <c r="P102" i="7"/>
  <c r="T102" i="7" s="1"/>
  <c r="U102" i="7" s="1"/>
  <c r="L102" i="7"/>
  <c r="K102" i="7"/>
  <c r="L101" i="7"/>
  <c r="K101" i="7"/>
  <c r="L100" i="7"/>
  <c r="K100" i="7"/>
  <c r="P99" i="7"/>
  <c r="T99" i="7" s="1"/>
  <c r="U99" i="7" s="1"/>
  <c r="L99" i="7"/>
  <c r="K99" i="7"/>
  <c r="L98" i="7"/>
  <c r="K98" i="7"/>
  <c r="L97" i="7"/>
  <c r="K97" i="7"/>
  <c r="P96" i="7"/>
  <c r="T96" i="7" s="1"/>
  <c r="U96" i="7" s="1"/>
  <c r="L96" i="7"/>
  <c r="K96" i="7"/>
  <c r="L95" i="7"/>
  <c r="K95" i="7"/>
  <c r="L94" i="7"/>
  <c r="K94" i="7"/>
  <c r="P93" i="7"/>
  <c r="T93" i="7" s="1"/>
  <c r="U93" i="7" s="1"/>
  <c r="L93" i="7"/>
  <c r="K93" i="7"/>
  <c r="L92" i="7"/>
  <c r="K92" i="7"/>
  <c r="L91" i="7"/>
  <c r="K91" i="7"/>
  <c r="P90" i="7"/>
  <c r="T90" i="7" s="1"/>
  <c r="U90" i="7" s="1"/>
  <c r="L90" i="7"/>
  <c r="K90" i="7"/>
  <c r="L89" i="7"/>
  <c r="K89" i="7"/>
  <c r="L88" i="7"/>
  <c r="K88" i="7"/>
  <c r="P87" i="7"/>
  <c r="T87" i="7" s="1"/>
  <c r="U87" i="7" s="1"/>
  <c r="L87" i="7"/>
  <c r="K87" i="7"/>
  <c r="L86" i="7"/>
  <c r="K86" i="7"/>
  <c r="L85" i="7"/>
  <c r="K85" i="7"/>
  <c r="P84" i="7"/>
  <c r="T84" i="7" s="1"/>
  <c r="U84" i="7" s="1"/>
  <c r="L84" i="7"/>
  <c r="K84" i="7"/>
  <c r="L83" i="7"/>
  <c r="K83" i="7"/>
  <c r="L82" i="7"/>
  <c r="K82" i="7"/>
  <c r="P81" i="7"/>
  <c r="T81" i="7" s="1"/>
  <c r="U81" i="7" s="1"/>
  <c r="L81" i="7"/>
  <c r="K81" i="7"/>
  <c r="L80" i="7"/>
  <c r="K80" i="7"/>
  <c r="L79" i="7"/>
  <c r="K79" i="7"/>
  <c r="P78" i="7"/>
  <c r="T78" i="7" s="1"/>
  <c r="U78" i="7" s="1"/>
  <c r="L78" i="7"/>
  <c r="K78" i="7"/>
  <c r="L77" i="7"/>
  <c r="K77" i="7"/>
  <c r="L76" i="7"/>
  <c r="K76" i="7"/>
  <c r="P75" i="7"/>
  <c r="T75" i="7" s="1"/>
  <c r="U75" i="7" s="1"/>
  <c r="L75" i="7"/>
  <c r="K75" i="7"/>
  <c r="L74" i="7"/>
  <c r="K74" i="7"/>
  <c r="L73" i="7"/>
  <c r="K73" i="7"/>
  <c r="P72" i="7"/>
  <c r="T72" i="7" s="1"/>
  <c r="U72" i="7" s="1"/>
  <c r="L72" i="7"/>
  <c r="K72" i="7"/>
  <c r="L71" i="7"/>
  <c r="K71" i="7"/>
  <c r="L70" i="7"/>
  <c r="K70" i="7"/>
  <c r="P69" i="7"/>
  <c r="T69" i="7" s="1"/>
  <c r="U69" i="7" s="1"/>
  <c r="L69" i="7"/>
  <c r="K69" i="7"/>
  <c r="L68" i="7"/>
  <c r="K68" i="7"/>
  <c r="L67" i="7"/>
  <c r="K67" i="7"/>
  <c r="P66" i="7"/>
  <c r="T66" i="7" s="1"/>
  <c r="U66" i="7" s="1"/>
  <c r="L66" i="7"/>
  <c r="K66" i="7"/>
  <c r="L65" i="7"/>
  <c r="K65" i="7"/>
  <c r="L64" i="7"/>
  <c r="K64" i="7"/>
  <c r="P63" i="7"/>
  <c r="T63" i="7" s="1"/>
  <c r="U63" i="7" s="1"/>
  <c r="L63" i="7"/>
  <c r="K63" i="7"/>
  <c r="L62" i="7"/>
  <c r="K62" i="7"/>
  <c r="L61" i="7"/>
  <c r="K61" i="7"/>
  <c r="P60" i="7"/>
  <c r="T60" i="7" s="1"/>
  <c r="U60" i="7" s="1"/>
  <c r="L60" i="7"/>
  <c r="K60" i="7"/>
  <c r="L59" i="7"/>
  <c r="K59" i="7"/>
  <c r="L58" i="7"/>
  <c r="K58" i="7"/>
  <c r="P57" i="7"/>
  <c r="T57" i="7" s="1"/>
  <c r="U57" i="7" s="1"/>
  <c r="L57" i="7"/>
  <c r="K57" i="7"/>
  <c r="L56" i="7"/>
  <c r="K56" i="7"/>
  <c r="L55" i="7"/>
  <c r="K55" i="7"/>
  <c r="P54" i="7"/>
  <c r="T54" i="7" s="1"/>
  <c r="U54" i="7" s="1"/>
  <c r="L54" i="7"/>
  <c r="K54" i="7"/>
  <c r="L53" i="7"/>
  <c r="K53" i="7"/>
  <c r="L52" i="7"/>
  <c r="K52" i="7"/>
  <c r="P51" i="7"/>
  <c r="T51" i="7" s="1"/>
  <c r="U51" i="7" s="1"/>
  <c r="L51" i="7"/>
  <c r="K51" i="7"/>
  <c r="L50" i="7"/>
  <c r="K50" i="7"/>
  <c r="L49" i="7"/>
  <c r="K49" i="7"/>
  <c r="P48" i="7"/>
  <c r="T48" i="7" s="1"/>
  <c r="U48" i="7" s="1"/>
  <c r="L48" i="7"/>
  <c r="K48" i="7"/>
  <c r="L47" i="7"/>
  <c r="K47" i="7"/>
  <c r="L46" i="7"/>
  <c r="K46" i="7"/>
  <c r="P45" i="7"/>
  <c r="T45" i="7" s="1"/>
  <c r="U45" i="7" s="1"/>
  <c r="L45" i="7"/>
  <c r="K45" i="7"/>
  <c r="L44" i="7"/>
  <c r="K44" i="7"/>
  <c r="L43" i="7"/>
  <c r="K43" i="7"/>
  <c r="P42" i="7"/>
  <c r="T42" i="7" s="1"/>
  <c r="U42" i="7" s="1"/>
  <c r="L42" i="7"/>
  <c r="K42" i="7"/>
  <c r="L41" i="7"/>
  <c r="K41" i="7"/>
  <c r="L40" i="7"/>
  <c r="K40" i="7"/>
  <c r="P39" i="7"/>
  <c r="T39" i="7" s="1"/>
  <c r="U39" i="7" s="1"/>
  <c r="L39" i="7"/>
  <c r="K39" i="7"/>
  <c r="L38" i="7"/>
  <c r="K38" i="7"/>
  <c r="L37" i="7"/>
  <c r="K37" i="7"/>
  <c r="P36" i="7"/>
  <c r="T36" i="7" s="1"/>
  <c r="U36" i="7" s="1"/>
  <c r="L36" i="7"/>
  <c r="K36" i="7"/>
  <c r="L35" i="7"/>
  <c r="K35" i="7"/>
  <c r="L34" i="7"/>
  <c r="K34" i="7"/>
  <c r="P33" i="7"/>
  <c r="T33" i="7" s="1"/>
  <c r="U33" i="7" s="1"/>
  <c r="L33" i="7"/>
  <c r="K33" i="7"/>
  <c r="L32" i="7"/>
  <c r="K32" i="7"/>
  <c r="L31" i="7"/>
  <c r="K31" i="7"/>
  <c r="P30" i="7"/>
  <c r="T30" i="7" s="1"/>
  <c r="U30" i="7" s="1"/>
  <c r="L30" i="7"/>
  <c r="K30" i="7"/>
  <c r="L29" i="7"/>
  <c r="K29" i="7"/>
  <c r="L28" i="7"/>
  <c r="K28" i="7"/>
  <c r="P27" i="7"/>
  <c r="T27" i="7" s="1"/>
  <c r="U27" i="7" s="1"/>
  <c r="L27" i="7"/>
  <c r="K27" i="7"/>
  <c r="L26" i="7"/>
  <c r="K26" i="7"/>
  <c r="L25" i="7"/>
  <c r="K25" i="7"/>
  <c r="P24" i="7"/>
  <c r="T24" i="7" s="1"/>
  <c r="U24" i="7" s="1"/>
  <c r="L24" i="7"/>
  <c r="K24" i="7"/>
  <c r="L23" i="7"/>
  <c r="K23" i="7"/>
  <c r="L22" i="7"/>
  <c r="K22" i="7"/>
  <c r="P21" i="7"/>
  <c r="T21" i="7" s="1"/>
  <c r="U21" i="7" s="1"/>
  <c r="L21" i="7"/>
  <c r="K21" i="7"/>
  <c r="L20" i="7"/>
  <c r="K20" i="7"/>
  <c r="L19" i="7"/>
  <c r="K19" i="7"/>
  <c r="P18" i="7"/>
  <c r="T18" i="7" s="1"/>
  <c r="U18" i="7" s="1"/>
  <c r="L18" i="7"/>
  <c r="K18" i="7"/>
  <c r="L17" i="7"/>
  <c r="K17" i="7"/>
  <c r="L16" i="7"/>
  <c r="K16" i="7"/>
  <c r="P15" i="7"/>
  <c r="T15" i="7" s="1"/>
  <c r="U15" i="7" s="1"/>
  <c r="L15" i="7"/>
  <c r="K15" i="7"/>
  <c r="L14" i="7"/>
  <c r="K14" i="7"/>
  <c r="L13" i="7"/>
  <c r="K13" i="7"/>
  <c r="P12" i="7"/>
  <c r="T12" i="7" s="1"/>
  <c r="U12" i="7" s="1"/>
  <c r="L12" i="7"/>
  <c r="K12" i="7"/>
  <c r="L11" i="7"/>
  <c r="K11" i="7"/>
  <c r="L10" i="7"/>
  <c r="K10" i="7"/>
  <c r="P9" i="7"/>
  <c r="T9" i="7" s="1"/>
  <c r="U9" i="7" s="1"/>
  <c r="L9" i="7"/>
  <c r="K9" i="7"/>
  <c r="L8" i="7"/>
  <c r="K8" i="7"/>
  <c r="L7" i="7"/>
  <c r="K7" i="7"/>
  <c r="P6" i="7"/>
  <c r="T6" i="7" s="1"/>
  <c r="U6" i="7" s="1"/>
  <c r="L6" i="7"/>
  <c r="K6" i="7"/>
  <c r="L5" i="7"/>
  <c r="K5" i="7"/>
  <c r="L4" i="7"/>
  <c r="K4" i="7"/>
  <c r="P3" i="7"/>
  <c r="T3" i="7" s="1"/>
  <c r="U3" i="7" s="1"/>
  <c r="L3" i="7"/>
  <c r="K3" i="7"/>
  <c r="L545" i="6"/>
  <c r="K545" i="6"/>
  <c r="L544" i="6"/>
  <c r="K544" i="6"/>
  <c r="L543" i="6"/>
  <c r="K543" i="6"/>
  <c r="L542" i="6"/>
  <c r="K542" i="6"/>
  <c r="L541" i="6"/>
  <c r="K541" i="6"/>
  <c r="L540" i="6"/>
  <c r="K540" i="6"/>
  <c r="L539" i="6"/>
  <c r="K539" i="6"/>
  <c r="L538" i="6"/>
  <c r="K538" i="6"/>
  <c r="L537" i="6"/>
  <c r="K537" i="6"/>
  <c r="L536" i="6"/>
  <c r="K536" i="6"/>
  <c r="L535" i="6"/>
  <c r="K535" i="6"/>
  <c r="L534" i="6"/>
  <c r="K534" i="6"/>
  <c r="L533" i="6"/>
  <c r="K533" i="6"/>
  <c r="L532" i="6"/>
  <c r="K532" i="6"/>
  <c r="L531" i="6"/>
  <c r="K531" i="6"/>
  <c r="L530" i="6"/>
  <c r="K530" i="6"/>
  <c r="L529" i="6"/>
  <c r="K529" i="6"/>
  <c r="L528" i="6"/>
  <c r="K528" i="6"/>
  <c r="L527" i="6"/>
  <c r="K527" i="6"/>
  <c r="L526" i="6"/>
  <c r="K526" i="6"/>
  <c r="L525" i="6"/>
  <c r="K525" i="6"/>
  <c r="L524" i="6"/>
  <c r="K524" i="6"/>
  <c r="L523" i="6"/>
  <c r="K523" i="6"/>
  <c r="L522" i="6"/>
  <c r="K522" i="6"/>
  <c r="L521" i="6"/>
  <c r="K521" i="6"/>
  <c r="L520" i="6"/>
  <c r="K520" i="6"/>
  <c r="L519" i="6"/>
  <c r="K519" i="6"/>
  <c r="L518" i="6"/>
  <c r="K518" i="6"/>
  <c r="L517" i="6"/>
  <c r="K517" i="6"/>
  <c r="L516" i="6"/>
  <c r="K516" i="6"/>
  <c r="L515" i="6"/>
  <c r="K515" i="6"/>
  <c r="L514" i="6"/>
  <c r="K514" i="6"/>
  <c r="L513" i="6"/>
  <c r="K513" i="6"/>
  <c r="L512" i="6"/>
  <c r="K512" i="6"/>
  <c r="L511" i="6"/>
  <c r="K511" i="6"/>
  <c r="L510" i="6"/>
  <c r="K510" i="6"/>
  <c r="L509" i="6"/>
  <c r="K509" i="6"/>
  <c r="L508" i="6"/>
  <c r="K508" i="6"/>
  <c r="L507" i="6"/>
  <c r="K507" i="6"/>
  <c r="L506" i="6"/>
  <c r="K506" i="6"/>
  <c r="L505" i="6"/>
  <c r="K505" i="6"/>
  <c r="L504" i="6"/>
  <c r="K504" i="6"/>
  <c r="L503" i="6"/>
  <c r="K503" i="6"/>
  <c r="L502" i="6"/>
  <c r="K502" i="6"/>
  <c r="L501" i="6"/>
  <c r="K501" i="6"/>
  <c r="L500" i="6"/>
  <c r="K500" i="6"/>
  <c r="L499" i="6"/>
  <c r="K499" i="6"/>
  <c r="L498" i="6"/>
  <c r="K498" i="6"/>
  <c r="L497" i="6"/>
  <c r="K497" i="6"/>
  <c r="L496" i="6"/>
  <c r="K496" i="6"/>
  <c r="L495" i="6"/>
  <c r="K495" i="6"/>
  <c r="L494" i="6"/>
  <c r="K494" i="6"/>
  <c r="L493" i="6"/>
  <c r="K493" i="6"/>
  <c r="L492" i="6"/>
  <c r="K492" i="6"/>
  <c r="L491" i="6"/>
  <c r="K491" i="6"/>
  <c r="L490" i="6"/>
  <c r="K490" i="6"/>
  <c r="L489" i="6"/>
  <c r="K489" i="6"/>
  <c r="L488" i="6"/>
  <c r="K488" i="6"/>
  <c r="L487" i="6"/>
  <c r="K487" i="6"/>
  <c r="L486" i="6"/>
  <c r="K486" i="6"/>
  <c r="L485" i="6"/>
  <c r="K485" i="6"/>
  <c r="L484" i="6"/>
  <c r="K484" i="6"/>
  <c r="L483" i="6"/>
  <c r="K483" i="6"/>
  <c r="L482" i="6"/>
  <c r="K482" i="6"/>
  <c r="L481" i="6"/>
  <c r="K481" i="6"/>
  <c r="L480" i="6"/>
  <c r="K480" i="6"/>
  <c r="L479" i="6"/>
  <c r="K479" i="6"/>
  <c r="L478" i="6"/>
  <c r="K478" i="6"/>
  <c r="L477" i="6"/>
  <c r="K477" i="6"/>
  <c r="L476" i="6"/>
  <c r="K476" i="6"/>
  <c r="L475" i="6"/>
  <c r="K475" i="6"/>
  <c r="L474" i="6"/>
  <c r="K474" i="6"/>
  <c r="L473" i="6"/>
  <c r="K473" i="6"/>
  <c r="L472" i="6"/>
  <c r="K472" i="6"/>
  <c r="P471" i="6"/>
  <c r="T471" i="6" s="1"/>
  <c r="U471" i="6" s="1"/>
  <c r="L471" i="6"/>
  <c r="K471" i="6"/>
  <c r="L470" i="6"/>
  <c r="K470" i="6"/>
  <c r="L469" i="6"/>
  <c r="K469" i="6"/>
  <c r="P468" i="6"/>
  <c r="T468" i="6" s="1"/>
  <c r="U468" i="6" s="1"/>
  <c r="L468" i="6"/>
  <c r="K468" i="6"/>
  <c r="L467" i="6"/>
  <c r="K467" i="6"/>
  <c r="L466" i="6"/>
  <c r="K466" i="6"/>
  <c r="P465" i="6"/>
  <c r="T465" i="6" s="1"/>
  <c r="U465" i="6" s="1"/>
  <c r="L465" i="6"/>
  <c r="K465" i="6"/>
  <c r="L464" i="6"/>
  <c r="K464" i="6"/>
  <c r="L463" i="6"/>
  <c r="K463" i="6"/>
  <c r="P462" i="6"/>
  <c r="L462" i="6"/>
  <c r="K462" i="6"/>
  <c r="L461" i="6"/>
  <c r="K461" i="6"/>
  <c r="L460" i="6"/>
  <c r="K460" i="6"/>
  <c r="P459" i="6"/>
  <c r="T459" i="6" s="1"/>
  <c r="U459" i="6" s="1"/>
  <c r="L459" i="6"/>
  <c r="K459" i="6"/>
  <c r="L458" i="6"/>
  <c r="K458" i="6"/>
  <c r="L457" i="6"/>
  <c r="K457" i="6"/>
  <c r="P456" i="6"/>
  <c r="T456" i="6" s="1"/>
  <c r="U456" i="6" s="1"/>
  <c r="L456" i="6"/>
  <c r="K456" i="6"/>
  <c r="L455" i="6"/>
  <c r="K455" i="6"/>
  <c r="L454" i="6"/>
  <c r="K454" i="6"/>
  <c r="P453" i="6"/>
  <c r="T453" i="6" s="1"/>
  <c r="U453" i="6" s="1"/>
  <c r="L453" i="6"/>
  <c r="K453" i="6"/>
  <c r="L452" i="6"/>
  <c r="K452" i="6"/>
  <c r="L451" i="6"/>
  <c r="K451" i="6"/>
  <c r="P450" i="6"/>
  <c r="T450" i="6" s="1"/>
  <c r="U450" i="6" s="1"/>
  <c r="L450" i="6"/>
  <c r="K450" i="6"/>
  <c r="L449" i="6"/>
  <c r="K449" i="6"/>
  <c r="L448" i="6"/>
  <c r="K448" i="6"/>
  <c r="P447" i="6"/>
  <c r="T447" i="6" s="1"/>
  <c r="U447" i="6" s="1"/>
  <c r="L447" i="6"/>
  <c r="K447" i="6"/>
  <c r="L446" i="6"/>
  <c r="K446" i="6"/>
  <c r="L445" i="6"/>
  <c r="K445" i="6"/>
  <c r="P444" i="6"/>
  <c r="T444" i="6" s="1"/>
  <c r="U444" i="6" s="1"/>
  <c r="L444" i="6"/>
  <c r="K444" i="6"/>
  <c r="L443" i="6"/>
  <c r="K443" i="6"/>
  <c r="L442" i="6"/>
  <c r="K442" i="6"/>
  <c r="P441" i="6"/>
  <c r="T441" i="6" s="1"/>
  <c r="U441" i="6" s="1"/>
  <c r="L441" i="6"/>
  <c r="K441" i="6"/>
  <c r="L440" i="6"/>
  <c r="K440" i="6"/>
  <c r="L439" i="6"/>
  <c r="K439" i="6"/>
  <c r="P438" i="6"/>
  <c r="T438" i="6" s="1"/>
  <c r="U438" i="6" s="1"/>
  <c r="L438" i="6"/>
  <c r="K438" i="6"/>
  <c r="L437" i="6"/>
  <c r="K437" i="6"/>
  <c r="L436" i="6"/>
  <c r="K436" i="6"/>
  <c r="P435" i="6"/>
  <c r="T435" i="6" s="1"/>
  <c r="U435" i="6" s="1"/>
  <c r="L435" i="6"/>
  <c r="K435" i="6"/>
  <c r="L434" i="6"/>
  <c r="K434" i="6"/>
  <c r="L433" i="6"/>
  <c r="K433" i="6"/>
  <c r="P432" i="6"/>
  <c r="T432" i="6" s="1"/>
  <c r="U432" i="6" s="1"/>
  <c r="L432" i="6"/>
  <c r="K432" i="6"/>
  <c r="L431" i="6"/>
  <c r="K431" i="6"/>
  <c r="L430" i="6"/>
  <c r="K430" i="6"/>
  <c r="P429" i="6"/>
  <c r="T429" i="6" s="1"/>
  <c r="U429" i="6" s="1"/>
  <c r="L429" i="6"/>
  <c r="K429" i="6"/>
  <c r="L428" i="6"/>
  <c r="K428" i="6"/>
  <c r="L427" i="6"/>
  <c r="K427" i="6"/>
  <c r="P426" i="6"/>
  <c r="L426" i="6"/>
  <c r="K426" i="6"/>
  <c r="L425" i="6"/>
  <c r="K425" i="6"/>
  <c r="L424" i="6"/>
  <c r="K424" i="6"/>
  <c r="P423" i="6"/>
  <c r="T423" i="6" s="1"/>
  <c r="U423" i="6" s="1"/>
  <c r="L423" i="6"/>
  <c r="K423" i="6"/>
  <c r="L422" i="6"/>
  <c r="K422" i="6"/>
  <c r="L421" i="6"/>
  <c r="K421" i="6"/>
  <c r="P420" i="6"/>
  <c r="T420" i="6" s="1"/>
  <c r="U420" i="6" s="1"/>
  <c r="L420" i="6"/>
  <c r="K420" i="6"/>
  <c r="L419" i="6"/>
  <c r="K419" i="6"/>
  <c r="L418" i="6"/>
  <c r="K418" i="6"/>
  <c r="P417" i="6"/>
  <c r="T417" i="6" s="1"/>
  <c r="U417" i="6" s="1"/>
  <c r="L417" i="6"/>
  <c r="K417" i="6"/>
  <c r="L416" i="6"/>
  <c r="K416" i="6"/>
  <c r="L415" i="6"/>
  <c r="K415" i="6"/>
  <c r="P414" i="6"/>
  <c r="T414" i="6" s="1"/>
  <c r="U414" i="6" s="1"/>
  <c r="L414" i="6"/>
  <c r="K414" i="6"/>
  <c r="L413" i="6"/>
  <c r="K413" i="6"/>
  <c r="L412" i="6"/>
  <c r="K412" i="6"/>
  <c r="P411" i="6"/>
  <c r="T411" i="6" s="1"/>
  <c r="U411" i="6" s="1"/>
  <c r="L411" i="6"/>
  <c r="K411" i="6"/>
  <c r="L410" i="6"/>
  <c r="K410" i="6"/>
  <c r="L409" i="6"/>
  <c r="K409" i="6"/>
  <c r="P408" i="6"/>
  <c r="L408" i="6"/>
  <c r="K408" i="6"/>
  <c r="L407" i="6"/>
  <c r="K407" i="6"/>
  <c r="L406" i="6"/>
  <c r="K406" i="6"/>
  <c r="P405" i="6"/>
  <c r="T405" i="6" s="1"/>
  <c r="U405" i="6" s="1"/>
  <c r="L405" i="6"/>
  <c r="K405" i="6"/>
  <c r="L404" i="6"/>
  <c r="K404" i="6"/>
  <c r="L403" i="6"/>
  <c r="K403" i="6"/>
  <c r="P402" i="6"/>
  <c r="T402" i="6" s="1"/>
  <c r="U402" i="6" s="1"/>
  <c r="L402" i="6"/>
  <c r="K402" i="6"/>
  <c r="L401" i="6"/>
  <c r="K401" i="6"/>
  <c r="L400" i="6"/>
  <c r="K400" i="6"/>
  <c r="P399" i="6"/>
  <c r="L399" i="6"/>
  <c r="K399" i="6"/>
  <c r="L398" i="6"/>
  <c r="K398" i="6"/>
  <c r="L397" i="6"/>
  <c r="K397" i="6"/>
  <c r="P396" i="6"/>
  <c r="T396" i="6" s="1"/>
  <c r="U396" i="6" s="1"/>
  <c r="L396" i="6"/>
  <c r="K396" i="6"/>
  <c r="L395" i="6"/>
  <c r="K395" i="6"/>
  <c r="L394" i="6"/>
  <c r="K394" i="6"/>
  <c r="P393" i="6"/>
  <c r="L393" i="6"/>
  <c r="K393" i="6"/>
  <c r="L392" i="6"/>
  <c r="K392" i="6"/>
  <c r="L391" i="6"/>
  <c r="K391" i="6"/>
  <c r="P390" i="6"/>
  <c r="T390" i="6" s="1"/>
  <c r="U390" i="6" s="1"/>
  <c r="L390" i="6"/>
  <c r="K390" i="6"/>
  <c r="L389" i="6"/>
  <c r="K389" i="6"/>
  <c r="L388" i="6"/>
  <c r="K388" i="6"/>
  <c r="P387" i="6"/>
  <c r="T387" i="6" s="1"/>
  <c r="U387" i="6" s="1"/>
  <c r="L387" i="6"/>
  <c r="K387" i="6"/>
  <c r="L386" i="6"/>
  <c r="K386" i="6"/>
  <c r="L385" i="6"/>
  <c r="K385" i="6"/>
  <c r="P384" i="6"/>
  <c r="L384" i="6"/>
  <c r="K384" i="6"/>
  <c r="L383" i="6"/>
  <c r="K383" i="6"/>
  <c r="L382" i="6"/>
  <c r="K382" i="6"/>
  <c r="P381" i="6"/>
  <c r="T381" i="6" s="1"/>
  <c r="U381" i="6" s="1"/>
  <c r="L381" i="6"/>
  <c r="K381" i="6"/>
  <c r="L380" i="6"/>
  <c r="K380" i="6"/>
  <c r="L379" i="6"/>
  <c r="K379" i="6"/>
  <c r="P378" i="6"/>
  <c r="T378" i="6" s="1"/>
  <c r="U378" i="6" s="1"/>
  <c r="L378" i="6"/>
  <c r="K378" i="6"/>
  <c r="L377" i="6"/>
  <c r="K377" i="6"/>
  <c r="L376" i="6"/>
  <c r="K376" i="6"/>
  <c r="P375" i="6"/>
  <c r="T375" i="6" s="1"/>
  <c r="U375" i="6" s="1"/>
  <c r="L375" i="6"/>
  <c r="K375" i="6"/>
  <c r="L374" i="6"/>
  <c r="K374" i="6"/>
  <c r="L373" i="6"/>
  <c r="K373" i="6"/>
  <c r="P372" i="6"/>
  <c r="T372" i="6" s="1"/>
  <c r="U372" i="6" s="1"/>
  <c r="L372" i="6"/>
  <c r="K372" i="6"/>
  <c r="L371" i="6"/>
  <c r="K371" i="6"/>
  <c r="L370" i="6"/>
  <c r="K370" i="6"/>
  <c r="P369" i="6"/>
  <c r="T369" i="6" s="1"/>
  <c r="U369" i="6" s="1"/>
  <c r="L369" i="6"/>
  <c r="K369" i="6"/>
  <c r="L368" i="6"/>
  <c r="K368" i="6"/>
  <c r="L367" i="6"/>
  <c r="K367" i="6"/>
  <c r="P366" i="6"/>
  <c r="T366" i="6" s="1"/>
  <c r="U366" i="6" s="1"/>
  <c r="L366" i="6"/>
  <c r="K366" i="6"/>
  <c r="L365" i="6"/>
  <c r="K365" i="6"/>
  <c r="L364" i="6"/>
  <c r="K364" i="6"/>
  <c r="P363" i="6"/>
  <c r="T363" i="6" s="1"/>
  <c r="U363" i="6" s="1"/>
  <c r="L363" i="6"/>
  <c r="K363" i="6"/>
  <c r="L362" i="6"/>
  <c r="K362" i="6"/>
  <c r="L361" i="6"/>
  <c r="K361" i="6"/>
  <c r="P360" i="6"/>
  <c r="T360" i="6" s="1"/>
  <c r="U360" i="6" s="1"/>
  <c r="L360" i="6"/>
  <c r="K360" i="6"/>
  <c r="L359" i="6"/>
  <c r="K359" i="6"/>
  <c r="L358" i="6"/>
  <c r="K358" i="6"/>
  <c r="P357" i="6"/>
  <c r="T357" i="6" s="1"/>
  <c r="U357" i="6" s="1"/>
  <c r="L357" i="6"/>
  <c r="K357" i="6"/>
  <c r="L356" i="6"/>
  <c r="K356" i="6"/>
  <c r="L355" i="6"/>
  <c r="K355" i="6"/>
  <c r="P354" i="6"/>
  <c r="L354" i="6"/>
  <c r="K354" i="6"/>
  <c r="L353" i="6"/>
  <c r="K353" i="6"/>
  <c r="L352" i="6"/>
  <c r="K352" i="6"/>
  <c r="P351" i="6"/>
  <c r="T351" i="6" s="1"/>
  <c r="U351" i="6" s="1"/>
  <c r="L351" i="6"/>
  <c r="K351" i="6"/>
  <c r="L350" i="6"/>
  <c r="K350" i="6"/>
  <c r="L349" i="6"/>
  <c r="K349" i="6"/>
  <c r="P348" i="6"/>
  <c r="T348" i="6" s="1"/>
  <c r="U348" i="6" s="1"/>
  <c r="L348" i="6"/>
  <c r="K348" i="6"/>
  <c r="L347" i="6"/>
  <c r="K347" i="6"/>
  <c r="L346" i="6"/>
  <c r="K346" i="6"/>
  <c r="P345" i="6"/>
  <c r="L345" i="6"/>
  <c r="K345" i="6"/>
  <c r="L344" i="6"/>
  <c r="K344" i="6"/>
  <c r="L343" i="6"/>
  <c r="K343" i="6"/>
  <c r="P342" i="6"/>
  <c r="L342" i="6"/>
  <c r="K342" i="6"/>
  <c r="L341" i="6"/>
  <c r="K341" i="6"/>
  <c r="L340" i="6"/>
  <c r="K340" i="6"/>
  <c r="P339" i="6"/>
  <c r="L339" i="6"/>
  <c r="K339" i="6"/>
  <c r="L338" i="6"/>
  <c r="K338" i="6"/>
  <c r="L337" i="6"/>
  <c r="K337" i="6"/>
  <c r="P336" i="6"/>
  <c r="L336" i="6"/>
  <c r="K336" i="6"/>
  <c r="L335" i="6"/>
  <c r="K335" i="6"/>
  <c r="L334" i="6"/>
  <c r="K334" i="6"/>
  <c r="P333" i="6"/>
  <c r="T333" i="6" s="1"/>
  <c r="U333" i="6" s="1"/>
  <c r="L333" i="6"/>
  <c r="K333" i="6"/>
  <c r="L332" i="6"/>
  <c r="K332" i="6"/>
  <c r="L331" i="6"/>
  <c r="K331" i="6"/>
  <c r="P330" i="6"/>
  <c r="L330" i="6"/>
  <c r="K330" i="6"/>
  <c r="L329" i="6"/>
  <c r="K329" i="6"/>
  <c r="L328" i="6"/>
  <c r="K328" i="6"/>
  <c r="P327" i="6"/>
  <c r="L327" i="6"/>
  <c r="K327" i="6"/>
  <c r="L326" i="6"/>
  <c r="K326" i="6"/>
  <c r="L325" i="6"/>
  <c r="K325" i="6"/>
  <c r="P324" i="6"/>
  <c r="L324" i="6"/>
  <c r="K324" i="6"/>
  <c r="L323" i="6"/>
  <c r="K323" i="6"/>
  <c r="L322" i="6"/>
  <c r="K322" i="6"/>
  <c r="P321" i="6"/>
  <c r="L321" i="6"/>
  <c r="K321" i="6"/>
  <c r="L320" i="6"/>
  <c r="K320" i="6"/>
  <c r="L319" i="6"/>
  <c r="K319" i="6"/>
  <c r="P318" i="6"/>
  <c r="L318" i="6"/>
  <c r="K318" i="6"/>
  <c r="L317" i="6"/>
  <c r="K317" i="6"/>
  <c r="L316" i="6"/>
  <c r="K316" i="6"/>
  <c r="P315" i="6"/>
  <c r="L315" i="6"/>
  <c r="K315" i="6"/>
  <c r="L314" i="6"/>
  <c r="K314" i="6"/>
  <c r="L313" i="6"/>
  <c r="K313" i="6"/>
  <c r="P312" i="6"/>
  <c r="L312" i="6"/>
  <c r="K312" i="6"/>
  <c r="L311" i="6"/>
  <c r="K311" i="6"/>
  <c r="L310" i="6"/>
  <c r="K310" i="6"/>
  <c r="P309" i="6"/>
  <c r="L309" i="6"/>
  <c r="K309" i="6"/>
  <c r="L308" i="6"/>
  <c r="K308" i="6"/>
  <c r="L307" i="6"/>
  <c r="K307" i="6"/>
  <c r="P306" i="6"/>
  <c r="L306" i="6"/>
  <c r="K306" i="6"/>
  <c r="L305" i="6"/>
  <c r="K305" i="6"/>
  <c r="L304" i="6"/>
  <c r="K304" i="6"/>
  <c r="P303" i="6"/>
  <c r="L303" i="6"/>
  <c r="K303" i="6"/>
  <c r="L302" i="6"/>
  <c r="K302" i="6"/>
  <c r="L301" i="6"/>
  <c r="K301" i="6"/>
  <c r="P300" i="6"/>
  <c r="L300" i="6"/>
  <c r="K300" i="6"/>
  <c r="L299" i="6"/>
  <c r="K299" i="6"/>
  <c r="L298" i="6"/>
  <c r="K298" i="6"/>
  <c r="P297" i="6"/>
  <c r="L297" i="6"/>
  <c r="K297" i="6"/>
  <c r="L296" i="6"/>
  <c r="K296" i="6"/>
  <c r="L295" i="6"/>
  <c r="K295" i="6"/>
  <c r="P294" i="6"/>
  <c r="L294" i="6"/>
  <c r="K294" i="6"/>
  <c r="L293" i="6"/>
  <c r="K293" i="6"/>
  <c r="L292" i="6"/>
  <c r="K292" i="6"/>
  <c r="P291" i="6"/>
  <c r="L291" i="6"/>
  <c r="K291" i="6"/>
  <c r="L290" i="6"/>
  <c r="K290" i="6"/>
  <c r="L289" i="6"/>
  <c r="K289" i="6"/>
  <c r="P288" i="6"/>
  <c r="L288" i="6"/>
  <c r="K288" i="6"/>
  <c r="L287" i="6"/>
  <c r="K287" i="6"/>
  <c r="L286" i="6"/>
  <c r="K286" i="6"/>
  <c r="P285" i="6"/>
  <c r="L285" i="6"/>
  <c r="K285" i="6"/>
  <c r="L284" i="6"/>
  <c r="K284" i="6"/>
  <c r="L283" i="6"/>
  <c r="K283" i="6"/>
  <c r="P282" i="6"/>
  <c r="L282" i="6"/>
  <c r="K282" i="6"/>
  <c r="L281" i="6"/>
  <c r="K281" i="6"/>
  <c r="L280" i="6"/>
  <c r="K280" i="6"/>
  <c r="P279" i="6"/>
  <c r="L279" i="6"/>
  <c r="K279" i="6"/>
  <c r="L278" i="6"/>
  <c r="K278" i="6"/>
  <c r="L277" i="6"/>
  <c r="K277" i="6"/>
  <c r="P276" i="6"/>
  <c r="L276" i="6"/>
  <c r="K276" i="6"/>
  <c r="L275" i="6"/>
  <c r="K275" i="6"/>
  <c r="L274" i="6"/>
  <c r="K274" i="6"/>
  <c r="P273" i="6"/>
  <c r="L273" i="6"/>
  <c r="K273" i="6"/>
  <c r="L272" i="6"/>
  <c r="K272" i="6"/>
  <c r="L271" i="6"/>
  <c r="K271" i="6"/>
  <c r="P270" i="6"/>
  <c r="L270" i="6"/>
  <c r="K270" i="6"/>
  <c r="L269" i="6"/>
  <c r="K269" i="6"/>
  <c r="L268" i="6"/>
  <c r="K268" i="6"/>
  <c r="P267" i="6"/>
  <c r="L267" i="6"/>
  <c r="K267" i="6"/>
  <c r="L266" i="6"/>
  <c r="K266" i="6"/>
  <c r="L265" i="6"/>
  <c r="K265" i="6"/>
  <c r="P264" i="6"/>
  <c r="L264" i="6"/>
  <c r="K264" i="6"/>
  <c r="L263" i="6"/>
  <c r="K263" i="6"/>
  <c r="L262" i="6"/>
  <c r="K262" i="6"/>
  <c r="P261" i="6"/>
  <c r="T261" i="6" s="1"/>
  <c r="U261" i="6" s="1"/>
  <c r="L261" i="6"/>
  <c r="K261" i="6"/>
  <c r="L260" i="6"/>
  <c r="K260" i="6"/>
  <c r="L259" i="6"/>
  <c r="K259" i="6"/>
  <c r="P258" i="6"/>
  <c r="T258" i="6" s="1"/>
  <c r="U258" i="6" s="1"/>
  <c r="L258" i="6"/>
  <c r="K258" i="6"/>
  <c r="L257" i="6"/>
  <c r="K257" i="6"/>
  <c r="L256" i="6"/>
  <c r="K256" i="6"/>
  <c r="P255" i="6"/>
  <c r="T255" i="6" s="1"/>
  <c r="U255" i="6" s="1"/>
  <c r="L255" i="6"/>
  <c r="K255" i="6"/>
  <c r="L254" i="6"/>
  <c r="K254" i="6"/>
  <c r="L253" i="6"/>
  <c r="K253" i="6"/>
  <c r="P252" i="6"/>
  <c r="T252" i="6" s="1"/>
  <c r="U252" i="6" s="1"/>
  <c r="L252" i="6"/>
  <c r="K252" i="6"/>
  <c r="L251" i="6"/>
  <c r="K251" i="6"/>
  <c r="L250" i="6"/>
  <c r="K250" i="6"/>
  <c r="P249" i="6"/>
  <c r="L249" i="6"/>
  <c r="K249" i="6"/>
  <c r="L248" i="6"/>
  <c r="K248" i="6"/>
  <c r="L247" i="6"/>
  <c r="K247" i="6"/>
  <c r="P246" i="6"/>
  <c r="L246" i="6"/>
  <c r="K246" i="6"/>
  <c r="L245" i="6"/>
  <c r="K245" i="6"/>
  <c r="L244" i="6"/>
  <c r="K244" i="6"/>
  <c r="P243" i="6"/>
  <c r="L243" i="6"/>
  <c r="K243" i="6"/>
  <c r="L242" i="6"/>
  <c r="K242" i="6"/>
  <c r="L241" i="6"/>
  <c r="K241" i="6"/>
  <c r="P240" i="6"/>
  <c r="T240" i="6" s="1"/>
  <c r="U240" i="6" s="1"/>
  <c r="L240" i="6"/>
  <c r="K240" i="6"/>
  <c r="L239" i="6"/>
  <c r="K239" i="6"/>
  <c r="L238" i="6"/>
  <c r="K238" i="6"/>
  <c r="P237" i="6"/>
  <c r="L237" i="6"/>
  <c r="K237" i="6"/>
  <c r="L236" i="6"/>
  <c r="K236" i="6"/>
  <c r="L235" i="6"/>
  <c r="K235" i="6"/>
  <c r="P234" i="6"/>
  <c r="L234" i="6"/>
  <c r="K234" i="6"/>
  <c r="L233" i="6"/>
  <c r="K233" i="6"/>
  <c r="L232" i="6"/>
  <c r="K232" i="6"/>
  <c r="P231" i="6"/>
  <c r="L231" i="6"/>
  <c r="K231" i="6"/>
  <c r="L230" i="6"/>
  <c r="K230" i="6"/>
  <c r="L229" i="6"/>
  <c r="K229" i="6"/>
  <c r="P228" i="6"/>
  <c r="L228" i="6"/>
  <c r="K228" i="6"/>
  <c r="L227" i="6"/>
  <c r="K227" i="6"/>
  <c r="L226" i="6"/>
  <c r="K226" i="6"/>
  <c r="P225" i="6"/>
  <c r="L225" i="6"/>
  <c r="K225" i="6"/>
  <c r="L224" i="6"/>
  <c r="K224" i="6"/>
  <c r="L223" i="6"/>
  <c r="K223" i="6"/>
  <c r="P222" i="6"/>
  <c r="L222" i="6"/>
  <c r="K222" i="6"/>
  <c r="L221" i="6"/>
  <c r="K221" i="6"/>
  <c r="L220" i="6"/>
  <c r="K220" i="6"/>
  <c r="P219" i="6"/>
  <c r="L219" i="6"/>
  <c r="K219" i="6"/>
  <c r="L218" i="6"/>
  <c r="K218" i="6"/>
  <c r="L217" i="6"/>
  <c r="K217" i="6"/>
  <c r="P216" i="6"/>
  <c r="L216" i="6"/>
  <c r="K216" i="6"/>
  <c r="L215" i="6"/>
  <c r="K215" i="6"/>
  <c r="L214" i="6"/>
  <c r="K214" i="6"/>
  <c r="P213" i="6"/>
  <c r="T213" i="6" s="1"/>
  <c r="U213" i="6" s="1"/>
  <c r="L213" i="6"/>
  <c r="K213" i="6"/>
  <c r="L212" i="6"/>
  <c r="K212" i="6"/>
  <c r="L211" i="6"/>
  <c r="K211" i="6"/>
  <c r="P210" i="6"/>
  <c r="L210" i="6"/>
  <c r="K210" i="6"/>
  <c r="L209" i="6"/>
  <c r="K209" i="6"/>
  <c r="L208" i="6"/>
  <c r="K208" i="6"/>
  <c r="P207" i="6"/>
  <c r="T207" i="6" s="1"/>
  <c r="U207" i="6" s="1"/>
  <c r="L207" i="6"/>
  <c r="K207" i="6"/>
  <c r="L206" i="6"/>
  <c r="K206" i="6"/>
  <c r="L205" i="6"/>
  <c r="K205" i="6"/>
  <c r="P204" i="6"/>
  <c r="T204" i="6" s="1"/>
  <c r="U204" i="6" s="1"/>
  <c r="L204" i="6"/>
  <c r="K204" i="6"/>
  <c r="L203" i="6"/>
  <c r="K203" i="6"/>
  <c r="L202" i="6"/>
  <c r="K202" i="6"/>
  <c r="P201" i="6"/>
  <c r="T201" i="6" s="1"/>
  <c r="U201" i="6" s="1"/>
  <c r="L201" i="6"/>
  <c r="K201" i="6"/>
  <c r="L200" i="6"/>
  <c r="K200" i="6"/>
  <c r="L199" i="6"/>
  <c r="K199" i="6"/>
  <c r="P198" i="6"/>
  <c r="L198" i="6"/>
  <c r="K198" i="6"/>
  <c r="L197" i="6"/>
  <c r="K197" i="6"/>
  <c r="L196" i="6"/>
  <c r="K196" i="6"/>
  <c r="P195" i="6"/>
  <c r="L195" i="6"/>
  <c r="K195" i="6"/>
  <c r="L194" i="6"/>
  <c r="K194" i="6"/>
  <c r="L193" i="6"/>
  <c r="K193" i="6"/>
  <c r="P192" i="6"/>
  <c r="L192" i="6"/>
  <c r="K192" i="6"/>
  <c r="L191" i="6"/>
  <c r="K191" i="6"/>
  <c r="L190" i="6"/>
  <c r="K190" i="6"/>
  <c r="P189" i="6"/>
  <c r="L189" i="6"/>
  <c r="K189" i="6"/>
  <c r="L188" i="6"/>
  <c r="K188" i="6"/>
  <c r="L187" i="6"/>
  <c r="K187" i="6"/>
  <c r="P186" i="6"/>
  <c r="T186" i="6" s="1"/>
  <c r="U186" i="6" s="1"/>
  <c r="L186" i="6"/>
  <c r="K186" i="6"/>
  <c r="L185" i="6"/>
  <c r="K185" i="6"/>
  <c r="L184" i="6"/>
  <c r="K184" i="6"/>
  <c r="P183" i="6"/>
  <c r="T183" i="6" s="1"/>
  <c r="U183" i="6" s="1"/>
  <c r="L183" i="6"/>
  <c r="K183" i="6"/>
  <c r="L182" i="6"/>
  <c r="K182" i="6"/>
  <c r="L181" i="6"/>
  <c r="K181" i="6"/>
  <c r="P180" i="6"/>
  <c r="T180" i="6" s="1"/>
  <c r="U180" i="6" s="1"/>
  <c r="L180" i="6"/>
  <c r="K180" i="6"/>
  <c r="L179" i="6"/>
  <c r="K179" i="6"/>
  <c r="L178" i="6"/>
  <c r="K178" i="6"/>
  <c r="P177" i="6"/>
  <c r="L177" i="6"/>
  <c r="K177" i="6"/>
  <c r="L176" i="6"/>
  <c r="K176" i="6"/>
  <c r="L175" i="6"/>
  <c r="K175" i="6"/>
  <c r="P174" i="6"/>
  <c r="L174" i="6"/>
  <c r="K174" i="6"/>
  <c r="L173" i="6"/>
  <c r="K173" i="6"/>
  <c r="L172" i="6"/>
  <c r="K172" i="6"/>
  <c r="P171" i="6"/>
  <c r="L171" i="6"/>
  <c r="K171" i="6"/>
  <c r="L170" i="6"/>
  <c r="K170" i="6"/>
  <c r="L169" i="6"/>
  <c r="K169" i="6"/>
  <c r="P168" i="6"/>
  <c r="L168" i="6"/>
  <c r="K168" i="6"/>
  <c r="L167" i="6"/>
  <c r="K167" i="6"/>
  <c r="L166" i="6"/>
  <c r="K166" i="6"/>
  <c r="P165" i="6"/>
  <c r="L165" i="6"/>
  <c r="K165" i="6"/>
  <c r="L164" i="6"/>
  <c r="K164" i="6"/>
  <c r="L163" i="6"/>
  <c r="K163" i="6"/>
  <c r="P162" i="6"/>
  <c r="T162" i="6" s="1"/>
  <c r="U162" i="6" s="1"/>
  <c r="L162" i="6"/>
  <c r="K162" i="6"/>
  <c r="L161" i="6"/>
  <c r="K161" i="6"/>
  <c r="L160" i="6"/>
  <c r="K160" i="6"/>
  <c r="P159" i="6"/>
  <c r="T159" i="6" s="1"/>
  <c r="U159" i="6" s="1"/>
  <c r="L159" i="6"/>
  <c r="K159" i="6"/>
  <c r="L158" i="6"/>
  <c r="K158" i="6"/>
  <c r="L157" i="6"/>
  <c r="K157" i="6"/>
  <c r="P156" i="6"/>
  <c r="T156" i="6" s="1"/>
  <c r="U156" i="6" s="1"/>
  <c r="L156" i="6"/>
  <c r="K156" i="6"/>
  <c r="L155" i="6"/>
  <c r="K155" i="6"/>
  <c r="L154" i="6"/>
  <c r="K154" i="6"/>
  <c r="P153" i="6"/>
  <c r="L153" i="6"/>
  <c r="K153" i="6"/>
  <c r="L152" i="6"/>
  <c r="K152" i="6"/>
  <c r="L151" i="6"/>
  <c r="K151" i="6"/>
  <c r="P150" i="6"/>
  <c r="L150" i="6"/>
  <c r="K150" i="6"/>
  <c r="L149" i="6"/>
  <c r="K149" i="6"/>
  <c r="L148" i="6"/>
  <c r="K148" i="6"/>
  <c r="P147" i="6"/>
  <c r="L147" i="6"/>
  <c r="K147" i="6"/>
  <c r="L146" i="6"/>
  <c r="K146" i="6"/>
  <c r="L145" i="6"/>
  <c r="K145" i="6"/>
  <c r="P144" i="6"/>
  <c r="T144" i="6" s="1"/>
  <c r="U144" i="6" s="1"/>
  <c r="L144" i="6"/>
  <c r="K144" i="6"/>
  <c r="L143" i="6"/>
  <c r="K143" i="6"/>
  <c r="L142" i="6"/>
  <c r="K142" i="6"/>
  <c r="P141" i="6"/>
  <c r="L141" i="6"/>
  <c r="K141" i="6"/>
  <c r="L140" i="6"/>
  <c r="K140" i="6"/>
  <c r="L139" i="6"/>
  <c r="K139" i="6"/>
  <c r="P138" i="6"/>
  <c r="L138" i="6"/>
  <c r="K138" i="6"/>
  <c r="L137" i="6"/>
  <c r="K137" i="6"/>
  <c r="L136" i="6"/>
  <c r="K136" i="6"/>
  <c r="P135" i="6"/>
  <c r="T135" i="6" s="1"/>
  <c r="U135" i="6" s="1"/>
  <c r="L135" i="6"/>
  <c r="K135" i="6"/>
  <c r="L134" i="6"/>
  <c r="K134" i="6"/>
  <c r="L133" i="6"/>
  <c r="K133" i="6"/>
  <c r="P132" i="6"/>
  <c r="T132" i="6" s="1"/>
  <c r="U132" i="6" s="1"/>
  <c r="L132" i="6"/>
  <c r="K132" i="6"/>
  <c r="L131" i="6"/>
  <c r="K131" i="6"/>
  <c r="L130" i="6"/>
  <c r="K130" i="6"/>
  <c r="P129" i="6"/>
  <c r="T129" i="6" s="1"/>
  <c r="U129" i="6" s="1"/>
  <c r="L129" i="6"/>
  <c r="K129" i="6"/>
  <c r="L128" i="6"/>
  <c r="K128" i="6"/>
  <c r="L127" i="6"/>
  <c r="K127" i="6"/>
  <c r="P126" i="6"/>
  <c r="T126" i="6" s="1"/>
  <c r="U126" i="6" s="1"/>
  <c r="L126" i="6"/>
  <c r="K126" i="6"/>
  <c r="L125" i="6"/>
  <c r="K125" i="6"/>
  <c r="L124" i="6"/>
  <c r="K124" i="6"/>
  <c r="P123" i="6"/>
  <c r="T123" i="6" s="1"/>
  <c r="U123" i="6" s="1"/>
  <c r="L123" i="6"/>
  <c r="K123" i="6"/>
  <c r="L122" i="6"/>
  <c r="K122" i="6"/>
  <c r="L121" i="6"/>
  <c r="K121" i="6"/>
  <c r="P120" i="6"/>
  <c r="T120" i="6" s="1"/>
  <c r="U120" i="6" s="1"/>
  <c r="L120" i="6"/>
  <c r="K120" i="6"/>
  <c r="L119" i="6"/>
  <c r="K119" i="6"/>
  <c r="L118" i="6"/>
  <c r="K118" i="6"/>
  <c r="P117" i="6"/>
  <c r="T117" i="6" s="1"/>
  <c r="U117" i="6" s="1"/>
  <c r="L117" i="6"/>
  <c r="K117" i="6"/>
  <c r="L116" i="6"/>
  <c r="K116" i="6"/>
  <c r="L115" i="6"/>
  <c r="K115" i="6"/>
  <c r="P114" i="6"/>
  <c r="T114" i="6" s="1"/>
  <c r="U114" i="6" s="1"/>
  <c r="L114" i="6"/>
  <c r="K114" i="6"/>
  <c r="L113" i="6"/>
  <c r="K113" i="6"/>
  <c r="L112" i="6"/>
  <c r="K112" i="6"/>
  <c r="P111" i="6"/>
  <c r="L111" i="6"/>
  <c r="K111" i="6"/>
  <c r="L110" i="6"/>
  <c r="K110" i="6"/>
  <c r="L109" i="6"/>
  <c r="K109" i="6"/>
  <c r="P108" i="6"/>
  <c r="T108" i="6" s="1"/>
  <c r="U108" i="6" s="1"/>
  <c r="L108" i="6"/>
  <c r="K108" i="6"/>
  <c r="L107" i="6"/>
  <c r="K107" i="6"/>
  <c r="L106" i="6"/>
  <c r="K106" i="6"/>
  <c r="P105" i="6"/>
  <c r="T105" i="6" s="1"/>
  <c r="U105" i="6" s="1"/>
  <c r="L105" i="6"/>
  <c r="K105" i="6"/>
  <c r="L104" i="6"/>
  <c r="K104" i="6"/>
  <c r="L103" i="6"/>
  <c r="K103" i="6"/>
  <c r="P102" i="6"/>
  <c r="T102" i="6" s="1"/>
  <c r="U102" i="6" s="1"/>
  <c r="L102" i="6"/>
  <c r="K102" i="6"/>
  <c r="L101" i="6"/>
  <c r="K101" i="6"/>
  <c r="L100" i="6"/>
  <c r="K100" i="6"/>
  <c r="P99" i="6"/>
  <c r="T99" i="6" s="1"/>
  <c r="U99" i="6" s="1"/>
  <c r="L99" i="6"/>
  <c r="K99" i="6"/>
  <c r="L98" i="6"/>
  <c r="K98" i="6"/>
  <c r="L97" i="6"/>
  <c r="K97" i="6"/>
  <c r="P96" i="6"/>
  <c r="T96" i="6" s="1"/>
  <c r="U96" i="6" s="1"/>
  <c r="L96" i="6"/>
  <c r="K96" i="6"/>
  <c r="L95" i="6"/>
  <c r="K95" i="6"/>
  <c r="L94" i="6"/>
  <c r="K94" i="6"/>
  <c r="P93" i="6"/>
  <c r="T93" i="6" s="1"/>
  <c r="U93" i="6" s="1"/>
  <c r="L93" i="6"/>
  <c r="K93" i="6"/>
  <c r="L92" i="6"/>
  <c r="K92" i="6"/>
  <c r="L91" i="6"/>
  <c r="K91" i="6"/>
  <c r="P90" i="6"/>
  <c r="T90" i="6" s="1"/>
  <c r="U90" i="6" s="1"/>
  <c r="L90" i="6"/>
  <c r="K90" i="6"/>
  <c r="L89" i="6"/>
  <c r="K89" i="6"/>
  <c r="L88" i="6"/>
  <c r="K88" i="6"/>
  <c r="P87" i="6"/>
  <c r="T87" i="6" s="1"/>
  <c r="U87" i="6" s="1"/>
  <c r="L87" i="6"/>
  <c r="K87" i="6"/>
  <c r="L86" i="6"/>
  <c r="K86" i="6"/>
  <c r="L85" i="6"/>
  <c r="K85" i="6"/>
  <c r="P84" i="6"/>
  <c r="L84" i="6"/>
  <c r="K84" i="6"/>
  <c r="L83" i="6"/>
  <c r="K83" i="6"/>
  <c r="L82" i="6"/>
  <c r="K82" i="6"/>
  <c r="P81" i="6"/>
  <c r="T81" i="6" s="1"/>
  <c r="U81" i="6" s="1"/>
  <c r="L81" i="6"/>
  <c r="K81" i="6"/>
  <c r="L80" i="6"/>
  <c r="K80" i="6"/>
  <c r="L79" i="6"/>
  <c r="K79" i="6"/>
  <c r="P78" i="6"/>
  <c r="T78" i="6" s="1"/>
  <c r="U78" i="6" s="1"/>
  <c r="L78" i="6"/>
  <c r="K78" i="6"/>
  <c r="L77" i="6"/>
  <c r="K77" i="6"/>
  <c r="L76" i="6"/>
  <c r="K76" i="6"/>
  <c r="P75" i="6"/>
  <c r="L75" i="6"/>
  <c r="K75" i="6"/>
  <c r="L74" i="6"/>
  <c r="K74" i="6"/>
  <c r="L73" i="6"/>
  <c r="K73" i="6"/>
  <c r="P72" i="6"/>
  <c r="T72" i="6" s="1"/>
  <c r="U72" i="6" s="1"/>
  <c r="L72" i="6"/>
  <c r="K72" i="6"/>
  <c r="L71" i="6"/>
  <c r="K71" i="6"/>
  <c r="L70" i="6"/>
  <c r="K70" i="6"/>
  <c r="P69" i="6"/>
  <c r="T69" i="6" s="1"/>
  <c r="U69" i="6" s="1"/>
  <c r="L69" i="6"/>
  <c r="K69" i="6"/>
  <c r="L68" i="6"/>
  <c r="K68" i="6"/>
  <c r="L67" i="6"/>
  <c r="K67" i="6"/>
  <c r="P66" i="6"/>
  <c r="T66" i="6" s="1"/>
  <c r="U66" i="6" s="1"/>
  <c r="L66" i="6"/>
  <c r="K66" i="6"/>
  <c r="L65" i="6"/>
  <c r="K65" i="6"/>
  <c r="L64" i="6"/>
  <c r="K64" i="6"/>
  <c r="P63" i="6"/>
  <c r="T63" i="6" s="1"/>
  <c r="U63" i="6" s="1"/>
  <c r="L63" i="6"/>
  <c r="K63" i="6"/>
  <c r="L62" i="6"/>
  <c r="K62" i="6"/>
  <c r="L61" i="6"/>
  <c r="K61" i="6"/>
  <c r="P60" i="6"/>
  <c r="T60" i="6" s="1"/>
  <c r="U60" i="6" s="1"/>
  <c r="L60" i="6"/>
  <c r="K60" i="6"/>
  <c r="L59" i="6"/>
  <c r="K59" i="6"/>
  <c r="L58" i="6"/>
  <c r="K58" i="6"/>
  <c r="P57" i="6"/>
  <c r="T57" i="6" s="1"/>
  <c r="U57" i="6" s="1"/>
  <c r="L57" i="6"/>
  <c r="K57" i="6"/>
  <c r="L56" i="6"/>
  <c r="K56" i="6"/>
  <c r="L55" i="6"/>
  <c r="K55" i="6"/>
  <c r="P54" i="6"/>
  <c r="T54" i="6" s="1"/>
  <c r="U54" i="6" s="1"/>
  <c r="L54" i="6"/>
  <c r="K54" i="6"/>
  <c r="L53" i="6"/>
  <c r="K53" i="6"/>
  <c r="L52" i="6"/>
  <c r="K52" i="6"/>
  <c r="P51" i="6"/>
  <c r="T51" i="6" s="1"/>
  <c r="U51" i="6" s="1"/>
  <c r="L51" i="6"/>
  <c r="K51" i="6"/>
  <c r="L50" i="6"/>
  <c r="K50" i="6"/>
  <c r="L49" i="6"/>
  <c r="K49" i="6"/>
  <c r="P48" i="6"/>
  <c r="T48" i="6" s="1"/>
  <c r="U48" i="6" s="1"/>
  <c r="L48" i="6"/>
  <c r="K48" i="6"/>
  <c r="L47" i="6"/>
  <c r="K47" i="6"/>
  <c r="L46" i="6"/>
  <c r="K46" i="6"/>
  <c r="P45" i="6"/>
  <c r="T45" i="6" s="1"/>
  <c r="U45" i="6" s="1"/>
  <c r="L45" i="6"/>
  <c r="K45" i="6"/>
  <c r="L44" i="6"/>
  <c r="K44" i="6"/>
  <c r="L43" i="6"/>
  <c r="K43" i="6"/>
  <c r="P42" i="6"/>
  <c r="L42" i="6"/>
  <c r="K42" i="6"/>
  <c r="L41" i="6"/>
  <c r="K41" i="6"/>
  <c r="L40" i="6"/>
  <c r="K40" i="6"/>
  <c r="P39" i="6"/>
  <c r="L39" i="6"/>
  <c r="K39" i="6"/>
  <c r="L38" i="6"/>
  <c r="K38" i="6"/>
  <c r="L37" i="6"/>
  <c r="K37" i="6"/>
  <c r="P36" i="6"/>
  <c r="L36" i="6"/>
  <c r="K36" i="6"/>
  <c r="L35" i="6"/>
  <c r="K35" i="6"/>
  <c r="L34" i="6"/>
  <c r="K34" i="6"/>
  <c r="P33" i="6"/>
  <c r="T33" i="6" s="1"/>
  <c r="U33" i="6" s="1"/>
  <c r="L33" i="6"/>
  <c r="K33" i="6"/>
  <c r="L32" i="6"/>
  <c r="K32" i="6"/>
  <c r="L31" i="6"/>
  <c r="K31" i="6"/>
  <c r="P30" i="6"/>
  <c r="T30" i="6" s="1"/>
  <c r="U30" i="6" s="1"/>
  <c r="L30" i="6"/>
  <c r="K30" i="6"/>
  <c r="L29" i="6"/>
  <c r="K29" i="6"/>
  <c r="L28" i="6"/>
  <c r="K28" i="6"/>
  <c r="P27" i="6"/>
  <c r="T27" i="6" s="1"/>
  <c r="U27" i="6" s="1"/>
  <c r="L27" i="6"/>
  <c r="K27" i="6"/>
  <c r="L26" i="6"/>
  <c r="K26" i="6"/>
  <c r="L25" i="6"/>
  <c r="K25" i="6"/>
  <c r="P24" i="6"/>
  <c r="T24" i="6" s="1"/>
  <c r="U24" i="6" s="1"/>
  <c r="L24" i="6"/>
  <c r="K24" i="6"/>
  <c r="L23" i="6"/>
  <c r="K23" i="6"/>
  <c r="L22" i="6"/>
  <c r="K22" i="6"/>
  <c r="P21" i="6"/>
  <c r="T21" i="6" s="1"/>
  <c r="U21" i="6" s="1"/>
  <c r="L21" i="6"/>
  <c r="K21" i="6"/>
  <c r="L20" i="6"/>
  <c r="K20" i="6"/>
  <c r="L19" i="6"/>
  <c r="K19" i="6"/>
  <c r="P18" i="6"/>
  <c r="T18" i="6" s="1"/>
  <c r="U18" i="6" s="1"/>
  <c r="L18" i="6"/>
  <c r="K18" i="6"/>
  <c r="L17" i="6"/>
  <c r="K17" i="6"/>
  <c r="L16" i="6"/>
  <c r="K16" i="6"/>
  <c r="P15" i="6"/>
  <c r="T15" i="6" s="1"/>
  <c r="U15" i="6" s="1"/>
  <c r="L15" i="6"/>
  <c r="K15" i="6"/>
  <c r="L14" i="6"/>
  <c r="K14" i="6"/>
  <c r="L13" i="6"/>
  <c r="K13" i="6"/>
  <c r="P12" i="6"/>
  <c r="T12" i="6" s="1"/>
  <c r="U12" i="6" s="1"/>
  <c r="L12" i="6"/>
  <c r="K12" i="6"/>
  <c r="L11" i="6"/>
  <c r="K11" i="6"/>
  <c r="L10" i="6"/>
  <c r="K10" i="6"/>
  <c r="P9" i="6"/>
  <c r="T9" i="6" s="1"/>
  <c r="U9" i="6" s="1"/>
  <c r="L9" i="6"/>
  <c r="K9" i="6"/>
  <c r="L8" i="6"/>
  <c r="K8" i="6"/>
  <c r="L7" i="6"/>
  <c r="K7" i="6"/>
  <c r="P6" i="6"/>
  <c r="T6" i="6" s="1"/>
  <c r="U6" i="6" s="1"/>
  <c r="L6" i="6"/>
  <c r="K6" i="6"/>
  <c r="L5" i="6"/>
  <c r="K5" i="6"/>
  <c r="L4" i="6"/>
  <c r="K4" i="6"/>
  <c r="P3" i="6"/>
  <c r="T3" i="6" s="1"/>
  <c r="U3" i="6" s="1"/>
  <c r="L3" i="6"/>
  <c r="K3" i="6"/>
  <c r="N302" i="5"/>
  <c r="M302" i="5"/>
  <c r="N301" i="5"/>
  <c r="M301" i="5"/>
  <c r="N300" i="5"/>
  <c r="M300" i="5"/>
  <c r="N299" i="5"/>
  <c r="M299" i="5"/>
  <c r="N298" i="5"/>
  <c r="M298" i="5"/>
  <c r="N297" i="5"/>
  <c r="M297" i="5"/>
  <c r="N296" i="5"/>
  <c r="M296" i="5"/>
  <c r="N295" i="5"/>
  <c r="M295" i="5"/>
  <c r="N294" i="5"/>
  <c r="M294" i="5"/>
  <c r="N293" i="5"/>
  <c r="M293" i="5"/>
  <c r="N292" i="5"/>
  <c r="M292" i="5"/>
  <c r="N291" i="5"/>
  <c r="M291" i="5"/>
  <c r="N290" i="5"/>
  <c r="M290" i="5"/>
  <c r="N289" i="5"/>
  <c r="M289" i="5"/>
  <c r="N288" i="5"/>
  <c r="M288" i="5"/>
  <c r="N287" i="5"/>
  <c r="M287" i="5"/>
  <c r="N286" i="5"/>
  <c r="M286" i="5"/>
  <c r="N285" i="5"/>
  <c r="M285" i="5"/>
  <c r="N284" i="5"/>
  <c r="M284" i="5"/>
  <c r="N283" i="5"/>
  <c r="M283" i="5"/>
  <c r="N282" i="5"/>
  <c r="M282" i="5"/>
  <c r="N281" i="5"/>
  <c r="M281" i="5"/>
  <c r="N280" i="5"/>
  <c r="M280" i="5"/>
  <c r="N279" i="5"/>
  <c r="M279" i="5"/>
  <c r="N278" i="5"/>
  <c r="M278" i="5"/>
  <c r="N277" i="5"/>
  <c r="M277" i="5"/>
  <c r="N276" i="5"/>
  <c r="M276" i="5"/>
  <c r="N275" i="5"/>
  <c r="M275" i="5"/>
  <c r="N274" i="5"/>
  <c r="M274" i="5"/>
  <c r="N273" i="5"/>
  <c r="M273" i="5"/>
  <c r="N272" i="5"/>
  <c r="M272" i="5"/>
  <c r="N271" i="5"/>
  <c r="M271" i="5"/>
  <c r="N270" i="5"/>
  <c r="M270" i="5"/>
  <c r="N269" i="5"/>
  <c r="M269" i="5"/>
  <c r="N268" i="5"/>
  <c r="M268" i="5"/>
  <c r="N267" i="5"/>
  <c r="M267" i="5"/>
  <c r="N266" i="5"/>
  <c r="M266" i="5"/>
  <c r="N265" i="5"/>
  <c r="M265" i="5"/>
  <c r="N264" i="5"/>
  <c r="M264" i="5"/>
  <c r="N263" i="5"/>
  <c r="M263" i="5"/>
  <c r="N262" i="5"/>
  <c r="M262" i="5"/>
  <c r="N261" i="5"/>
  <c r="M261" i="5"/>
  <c r="N260" i="5"/>
  <c r="M260" i="5"/>
  <c r="N259" i="5"/>
  <c r="M259" i="5"/>
  <c r="N258" i="5"/>
  <c r="M258" i="5"/>
  <c r="N257" i="5"/>
  <c r="M257" i="5"/>
  <c r="N256" i="5"/>
  <c r="M256" i="5"/>
  <c r="N255" i="5"/>
  <c r="M255" i="5"/>
  <c r="N254" i="5"/>
  <c r="M254" i="5"/>
  <c r="N253" i="5"/>
  <c r="M253" i="5"/>
  <c r="N252" i="5"/>
  <c r="M252" i="5"/>
  <c r="N251" i="5"/>
  <c r="M251" i="5"/>
  <c r="N250" i="5"/>
  <c r="M250" i="5"/>
  <c r="N249" i="5"/>
  <c r="M249" i="5"/>
  <c r="N248" i="5"/>
  <c r="M248" i="5"/>
  <c r="N247" i="5"/>
  <c r="M247" i="5"/>
  <c r="N246" i="5"/>
  <c r="M246" i="5"/>
  <c r="N245" i="5"/>
  <c r="M245" i="5"/>
  <c r="N244" i="5"/>
  <c r="M244" i="5"/>
  <c r="N243" i="5"/>
  <c r="M243" i="5"/>
  <c r="N242" i="5"/>
  <c r="M242" i="5"/>
  <c r="N241" i="5"/>
  <c r="M241" i="5"/>
  <c r="N240" i="5"/>
  <c r="M240" i="5"/>
  <c r="N239" i="5"/>
  <c r="M239" i="5"/>
  <c r="N238" i="5"/>
  <c r="M238" i="5"/>
  <c r="N237" i="5"/>
  <c r="M237" i="5"/>
  <c r="N236" i="5"/>
  <c r="M236" i="5"/>
  <c r="N235" i="5"/>
  <c r="M235" i="5"/>
  <c r="N234" i="5"/>
  <c r="M234" i="5"/>
  <c r="N233" i="5"/>
  <c r="M233" i="5"/>
  <c r="N232" i="5"/>
  <c r="M232" i="5"/>
  <c r="N231" i="5"/>
  <c r="M231" i="5"/>
  <c r="N230" i="5"/>
  <c r="M230" i="5"/>
  <c r="N229" i="5"/>
  <c r="M229" i="5"/>
  <c r="N228" i="5"/>
  <c r="M228" i="5"/>
  <c r="N227" i="5"/>
  <c r="M227" i="5"/>
  <c r="N226" i="5"/>
  <c r="M226" i="5"/>
  <c r="N225" i="5"/>
  <c r="M225" i="5"/>
  <c r="N224" i="5"/>
  <c r="M224" i="5"/>
  <c r="N223" i="5"/>
  <c r="M223" i="5"/>
  <c r="N222" i="5"/>
  <c r="M222" i="5"/>
  <c r="N221" i="5"/>
  <c r="M221" i="5"/>
  <c r="N220" i="5"/>
  <c r="M220" i="5"/>
  <c r="N219" i="5"/>
  <c r="M219" i="5"/>
  <c r="N218" i="5"/>
  <c r="M218" i="5"/>
  <c r="N217" i="5"/>
  <c r="M217" i="5"/>
  <c r="N216" i="5"/>
  <c r="M216" i="5"/>
  <c r="N215" i="5"/>
  <c r="M215" i="5"/>
  <c r="N214" i="5"/>
  <c r="M214" i="5"/>
  <c r="N213" i="5"/>
  <c r="M213" i="5"/>
  <c r="N212" i="5"/>
  <c r="M212" i="5"/>
  <c r="N211" i="5"/>
  <c r="M211" i="5"/>
  <c r="N210" i="5"/>
  <c r="M210" i="5"/>
  <c r="N209" i="5"/>
  <c r="M209" i="5"/>
  <c r="N208" i="5"/>
  <c r="M208" i="5"/>
  <c r="N207" i="5"/>
  <c r="M207" i="5"/>
  <c r="N206" i="5"/>
  <c r="M206" i="5"/>
  <c r="N205" i="5"/>
  <c r="M205" i="5"/>
  <c r="N204" i="5"/>
  <c r="M204" i="5"/>
  <c r="N203" i="5"/>
  <c r="M203" i="5"/>
  <c r="N202" i="5"/>
  <c r="M202" i="5"/>
  <c r="N201" i="5"/>
  <c r="M201" i="5"/>
  <c r="N200" i="5"/>
  <c r="M200" i="5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N3" i="5"/>
  <c r="M3" i="5"/>
  <c r="AD73" i="4"/>
  <c r="W72" i="2" s="1"/>
  <c r="AD72" i="4"/>
  <c r="W74" i="2" s="1"/>
  <c r="P70" i="4"/>
  <c r="M75" i="2" s="1"/>
  <c r="AD58" i="4"/>
  <c r="W63" i="2" s="1"/>
  <c r="AD53" i="4"/>
  <c r="W56" i="2" s="1"/>
  <c r="AD52" i="4"/>
  <c r="W55" i="2" s="1"/>
  <c r="AD50" i="4"/>
  <c r="W43" i="2" s="1"/>
  <c r="P49" i="4"/>
  <c r="M46" i="2" s="1"/>
  <c r="B49" i="4"/>
  <c r="AR42" i="4"/>
  <c r="AD42" i="4"/>
  <c r="W39" i="2" s="1"/>
  <c r="P42" i="4"/>
  <c r="M43" i="2" s="1"/>
  <c r="AD36" i="4"/>
  <c r="W40" i="2" s="1"/>
  <c r="AD30" i="4"/>
  <c r="W31" i="2" s="1"/>
  <c r="AD27" i="4"/>
  <c r="W27" i="2" s="1"/>
  <c r="P26" i="4"/>
  <c r="M27" i="2" s="1"/>
  <c r="AR25" i="4"/>
  <c r="C67" i="2" s="1"/>
  <c r="P25" i="4"/>
  <c r="M26" i="2" s="1"/>
  <c r="P24" i="4"/>
  <c r="M25" i="2" s="1"/>
  <c r="B24" i="4"/>
  <c r="C27" i="2" s="1"/>
  <c r="P23" i="4"/>
  <c r="M28" i="2" s="1"/>
  <c r="AD22" i="4"/>
  <c r="W22" i="2" s="1"/>
  <c r="AR21" i="4"/>
  <c r="C68" i="2" s="1"/>
  <c r="P19" i="4"/>
  <c r="M21" i="2" s="1"/>
  <c r="AR15" i="4"/>
  <c r="C58" i="2" s="1"/>
  <c r="B15" i="4"/>
  <c r="C13" i="2" s="1"/>
  <c r="AD13" i="4"/>
  <c r="W13" i="2" s="1"/>
  <c r="B13" i="4"/>
  <c r="C14" i="2" s="1"/>
  <c r="AR12" i="4"/>
  <c r="C57" i="2" s="1"/>
  <c r="P12" i="4"/>
  <c r="M16" i="2" s="1"/>
  <c r="P11" i="4"/>
  <c r="M14" i="2" s="1"/>
  <c r="AD10" i="4"/>
  <c r="W11" i="2" s="1"/>
  <c r="B10" i="4"/>
  <c r="C16" i="2" s="1"/>
  <c r="P9" i="4"/>
  <c r="M13" i="2" s="1"/>
  <c r="AR8" i="4"/>
  <c r="C52" i="2" s="1"/>
  <c r="P5" i="4"/>
  <c r="M7" i="2" s="1"/>
  <c r="AD4" i="4"/>
  <c r="W5" i="2" s="1"/>
  <c r="AG11" i="2"/>
  <c r="AG10" i="2"/>
  <c r="AG9" i="2"/>
  <c r="AG8" i="2"/>
  <c r="AG7" i="2"/>
  <c r="AG6" i="2"/>
  <c r="AH5" i="2"/>
  <c r="AG5" i="2"/>
  <c r="AH4" i="2"/>
  <c r="AG4" i="2"/>
  <c r="AH3" i="2"/>
  <c r="AG3" i="2"/>
  <c r="AH2" i="2"/>
  <c r="B2" i="2"/>
  <c r="B44" i="1"/>
  <c r="B1" i="4"/>
  <c r="F40" i="1"/>
  <c r="E40" i="1"/>
  <c r="D40" i="1"/>
  <c r="C40" i="1"/>
  <c r="B40" i="1"/>
  <c r="A40" i="1"/>
  <c r="F36" i="1"/>
  <c r="E36" i="1"/>
  <c r="D36" i="1"/>
  <c r="C36" i="1"/>
  <c r="B36" i="1"/>
  <c r="J34" i="1"/>
  <c r="I34" i="1"/>
  <c r="H34" i="1"/>
  <c r="G34" i="1"/>
  <c r="F34" i="1"/>
  <c r="E34" i="1"/>
  <c r="D34" i="1"/>
  <c r="C34" i="1"/>
  <c r="B34" i="1"/>
  <c r="J32" i="1"/>
  <c r="I32" i="1"/>
  <c r="H32" i="1"/>
  <c r="G32" i="1"/>
  <c r="F32" i="1"/>
  <c r="E32" i="1"/>
  <c r="D32" i="1"/>
  <c r="C32" i="1"/>
  <c r="B32" i="1"/>
  <c r="K30" i="1"/>
  <c r="J30" i="1"/>
  <c r="I30" i="1"/>
  <c r="H30" i="1"/>
  <c r="G30" i="1"/>
  <c r="F30" i="1"/>
  <c r="E30" i="1"/>
  <c r="D30" i="1"/>
  <c r="C30" i="1"/>
  <c r="B30" i="1"/>
  <c r="D49" i="4" l="1"/>
  <c r="R100" i="4"/>
  <c r="AD93" i="4"/>
  <c r="AF93" i="4" s="1"/>
  <c r="P64" i="4"/>
  <c r="M79" i="2" s="1"/>
  <c r="AR45" i="4"/>
  <c r="AD64" i="4"/>
  <c r="W70" i="2" s="1"/>
  <c r="AR5" i="4"/>
  <c r="C50" i="2" s="1"/>
  <c r="AR6" i="4"/>
  <c r="C51" i="2" s="1"/>
  <c r="AD28" i="4"/>
  <c r="W30" i="2" s="1"/>
  <c r="B17" i="4"/>
  <c r="C20" i="2" s="1"/>
  <c r="AR26" i="4"/>
  <c r="C69" i="2" s="1"/>
  <c r="AD74" i="4"/>
  <c r="W80" i="2" s="1"/>
  <c r="AR29" i="4"/>
  <c r="C71" i="2" s="1"/>
  <c r="B14" i="4"/>
  <c r="C18" i="2" s="1"/>
  <c r="H18" i="2" s="1"/>
  <c r="AR19" i="4"/>
  <c r="B47" i="4"/>
  <c r="D47" i="4" s="1"/>
  <c r="B45" i="4"/>
  <c r="P69" i="4"/>
  <c r="M70" i="2" s="1"/>
  <c r="AD80" i="4"/>
  <c r="W62" i="2" s="1"/>
  <c r="B35" i="4"/>
  <c r="C39" i="2" s="1"/>
  <c r="AR49" i="4"/>
  <c r="BC49" i="4" s="1"/>
  <c r="AD9" i="4"/>
  <c r="W12" i="2" s="1"/>
  <c r="P54" i="4"/>
  <c r="M58" i="2" s="1"/>
  <c r="AR22" i="4"/>
  <c r="C66" i="2" s="1"/>
  <c r="P60" i="4"/>
  <c r="M77" i="2" s="1"/>
  <c r="AR36" i="4"/>
  <c r="C83" i="2" s="1"/>
  <c r="J402" i="8"/>
  <c r="J267" i="8"/>
  <c r="I366" i="8"/>
  <c r="J441" i="8"/>
  <c r="J114" i="8"/>
  <c r="J219" i="8"/>
  <c r="J57" i="8"/>
  <c r="J132" i="8"/>
  <c r="J162" i="8"/>
  <c r="J207" i="8"/>
  <c r="J387" i="8"/>
  <c r="I462" i="8"/>
  <c r="J426" i="8"/>
  <c r="J15" i="8"/>
  <c r="I30" i="8"/>
  <c r="J105" i="8"/>
  <c r="J249" i="8"/>
  <c r="J210" i="8"/>
  <c r="J285" i="8"/>
  <c r="J315" i="8"/>
  <c r="J462" i="8"/>
  <c r="J450" i="8"/>
  <c r="I78" i="8"/>
  <c r="J303" i="8"/>
  <c r="J408" i="8"/>
  <c r="I318" i="8"/>
  <c r="J141" i="8"/>
  <c r="J9" i="8"/>
  <c r="J3" i="8"/>
  <c r="J420" i="8"/>
  <c r="J333" i="8"/>
  <c r="J414" i="8"/>
  <c r="I183" i="8"/>
  <c r="J63" i="8"/>
  <c r="J258" i="8"/>
  <c r="J51" i="8"/>
  <c r="J189" i="8"/>
  <c r="J324" i="8"/>
  <c r="I33" i="8"/>
  <c r="J321" i="8"/>
  <c r="J378" i="8"/>
  <c r="J93" i="8"/>
  <c r="J396" i="8"/>
  <c r="I375" i="8"/>
  <c r="I15" i="8"/>
  <c r="I6" i="8"/>
  <c r="J330" i="8"/>
  <c r="J399" i="8"/>
  <c r="J129" i="8"/>
  <c r="J411" i="8"/>
  <c r="I132" i="8"/>
  <c r="J192" i="8"/>
  <c r="J375" i="8"/>
  <c r="J429" i="8"/>
  <c r="J42" i="8"/>
  <c r="J363" i="8"/>
  <c r="I228" i="8"/>
  <c r="I360" i="8"/>
  <c r="I399" i="8"/>
  <c r="J381" i="8"/>
  <c r="J24" i="8"/>
  <c r="J276" i="8"/>
  <c r="J291" i="8"/>
  <c r="I459" i="8"/>
  <c r="J147" i="8"/>
  <c r="J300" i="8"/>
  <c r="I369" i="8"/>
  <c r="J27" i="8"/>
  <c r="J6" i="8"/>
  <c r="J33" i="8"/>
  <c r="J126" i="8"/>
  <c r="I129" i="8"/>
  <c r="J225" i="8"/>
  <c r="I381" i="8"/>
  <c r="J390" i="8"/>
  <c r="I429" i="8"/>
  <c r="J255" i="8"/>
  <c r="J12" i="8"/>
  <c r="I180" i="8"/>
  <c r="I387" i="8"/>
  <c r="J366" i="8"/>
  <c r="J327" i="8"/>
  <c r="J195" i="8"/>
  <c r="I240" i="8"/>
  <c r="I342" i="8"/>
  <c r="I258" i="8"/>
  <c r="J72" i="8"/>
  <c r="J120" i="8"/>
  <c r="I294" i="8"/>
  <c r="J201" i="8"/>
  <c r="J183" i="8"/>
  <c r="J384" i="8"/>
  <c r="J21" i="8"/>
  <c r="J54" i="8"/>
  <c r="I102" i="8"/>
  <c r="I291" i="8"/>
  <c r="I264" i="8"/>
  <c r="I225" i="8"/>
  <c r="I222" i="8"/>
  <c r="J96" i="8"/>
  <c r="I396" i="8"/>
  <c r="I12" i="8"/>
  <c r="J180" i="8"/>
  <c r="J423" i="8"/>
  <c r="I201" i="8"/>
  <c r="I72" i="8"/>
  <c r="J312" i="8"/>
  <c r="J246" i="8"/>
  <c r="J135" i="8"/>
  <c r="I144" i="8"/>
  <c r="J153" i="8"/>
  <c r="I21" i="8"/>
  <c r="I312" i="8"/>
  <c r="J351" i="8"/>
  <c r="I177" i="8"/>
  <c r="I60" i="8"/>
  <c r="AV25" i="4" s="1"/>
  <c r="J237" i="8"/>
  <c r="J306" i="8"/>
  <c r="J279" i="8"/>
  <c r="J444" i="8"/>
  <c r="I204" i="8"/>
  <c r="I18" i="8"/>
  <c r="I171" i="8"/>
  <c r="J78" i="8"/>
  <c r="J270" i="8"/>
  <c r="I273" i="8"/>
  <c r="J453" i="8"/>
  <c r="I354" i="8"/>
  <c r="J186" i="8"/>
  <c r="J87" i="8"/>
  <c r="I45" i="8"/>
  <c r="J222" i="8"/>
  <c r="I288" i="8"/>
  <c r="I339" i="8"/>
  <c r="J288" i="8"/>
  <c r="I120" i="8"/>
  <c r="J177" i="8"/>
  <c r="I57" i="8"/>
  <c r="I90" i="8"/>
  <c r="J123" i="8"/>
  <c r="I417" i="8"/>
  <c r="I336" i="8"/>
  <c r="I36" i="8"/>
  <c r="I345" i="8"/>
  <c r="I300" i="8"/>
  <c r="J117" i="8"/>
  <c r="J111" i="8"/>
  <c r="J144" i="8"/>
  <c r="I402" i="8"/>
  <c r="I303" i="8"/>
  <c r="I135" i="8"/>
  <c r="I189" i="8"/>
  <c r="J465" i="8"/>
  <c r="I66" i="8"/>
  <c r="I216" i="8"/>
  <c r="J30" i="8"/>
  <c r="I156" i="8"/>
  <c r="J66" i="8"/>
  <c r="J294" i="8"/>
  <c r="I99" i="8"/>
  <c r="I333" i="8"/>
  <c r="I330" i="8"/>
  <c r="J18" i="8"/>
  <c r="J36" i="8"/>
  <c r="I255" i="8"/>
  <c r="I9" i="8"/>
  <c r="I348" i="8"/>
  <c r="I309" i="8"/>
  <c r="I279" i="8"/>
  <c r="I270" i="8"/>
  <c r="I174" i="8"/>
  <c r="J468" i="8"/>
  <c r="J168" i="8"/>
  <c r="J282" i="8"/>
  <c r="I81" i="8"/>
  <c r="J309" i="8"/>
  <c r="I390" i="8"/>
  <c r="J264" i="8"/>
  <c r="J204" i="8"/>
  <c r="J216" i="8"/>
  <c r="I315" i="8"/>
  <c r="I159" i="8"/>
  <c r="I450" i="8"/>
  <c r="J369" i="8"/>
  <c r="I147" i="8"/>
  <c r="J372" i="8"/>
  <c r="J159" i="8"/>
  <c r="I117" i="8"/>
  <c r="J198" i="8"/>
  <c r="J231" i="8"/>
  <c r="I186" i="8"/>
  <c r="J174" i="8"/>
  <c r="J234" i="8"/>
  <c r="J336" i="8"/>
  <c r="I465" i="8"/>
  <c r="I285" i="8"/>
  <c r="I54" i="8"/>
  <c r="I198" i="8"/>
  <c r="I195" i="8"/>
  <c r="J84" i="8"/>
  <c r="I63" i="8"/>
  <c r="J354" i="8"/>
  <c r="J240" i="8"/>
  <c r="I444" i="8"/>
  <c r="J405" i="8"/>
  <c r="I414" i="8"/>
  <c r="J339" i="8"/>
  <c r="J432" i="8"/>
  <c r="I138" i="8"/>
  <c r="I357" i="8"/>
  <c r="I306" i="8"/>
  <c r="I162" i="8"/>
  <c r="I207" i="8"/>
  <c r="I210" i="8"/>
  <c r="I153" i="8"/>
  <c r="J150" i="8"/>
  <c r="I423" i="8"/>
  <c r="I456" i="8"/>
  <c r="I48" i="8"/>
  <c r="I39" i="8"/>
  <c r="J417" i="8"/>
  <c r="I411" i="8"/>
  <c r="J45" i="8"/>
  <c r="J342" i="8"/>
  <c r="J75" i="8"/>
  <c r="J102" i="8"/>
  <c r="J261" i="8"/>
  <c r="I237" i="8"/>
  <c r="I93" i="8"/>
  <c r="I192" i="8"/>
  <c r="J69" i="8"/>
  <c r="I327" i="8"/>
  <c r="I141" i="8"/>
  <c r="I87" i="8"/>
  <c r="I105" i="8"/>
  <c r="I372" i="8"/>
  <c r="I393" i="8"/>
  <c r="I114" i="8"/>
  <c r="I438" i="8"/>
  <c r="J345" i="8"/>
  <c r="I219" i="8"/>
  <c r="I441" i="8"/>
  <c r="J273" i="8"/>
  <c r="I213" i="8"/>
  <c r="J243" i="8"/>
  <c r="I468" i="8"/>
  <c r="I420" i="8"/>
  <c r="I165" i="8"/>
  <c r="I276" i="8"/>
  <c r="J438" i="8"/>
  <c r="I246" i="8"/>
  <c r="I252" i="8"/>
  <c r="I42" i="8"/>
  <c r="I267" i="8"/>
  <c r="J357" i="8"/>
  <c r="J99" i="8"/>
  <c r="I297" i="8"/>
  <c r="I249" i="8"/>
  <c r="I426" i="8"/>
  <c r="I384" i="8"/>
  <c r="J156" i="8"/>
  <c r="J348" i="8"/>
  <c r="I150" i="8"/>
  <c r="I378" i="8"/>
  <c r="I27" i="8"/>
  <c r="I234" i="8"/>
  <c r="I231" i="8"/>
  <c r="J360" i="8"/>
  <c r="I324" i="8"/>
  <c r="I24" i="8"/>
  <c r="J165" i="8"/>
  <c r="J447" i="8"/>
  <c r="I321" i="8"/>
  <c r="I111" i="8"/>
  <c r="J297" i="8"/>
  <c r="I243" i="8"/>
  <c r="J90" i="8"/>
  <c r="J81" i="8"/>
  <c r="I447" i="8"/>
  <c r="I408" i="8"/>
  <c r="I405" i="8"/>
  <c r="J171" i="8"/>
  <c r="J108" i="8"/>
  <c r="I51" i="8"/>
  <c r="I69" i="8"/>
  <c r="I453" i="8"/>
  <c r="I435" i="8"/>
  <c r="I351" i="8"/>
  <c r="I96" i="8"/>
  <c r="J228" i="8"/>
  <c r="I3" i="8"/>
  <c r="J252" i="8"/>
  <c r="J60" i="8"/>
  <c r="AW25" i="4" s="1"/>
  <c r="J48" i="8"/>
  <c r="J213" i="8"/>
  <c r="J435" i="8"/>
  <c r="I84" i="8"/>
  <c r="J318" i="8"/>
  <c r="I363" i="8"/>
  <c r="I108" i="8"/>
  <c r="J393" i="8"/>
  <c r="I168" i="8"/>
  <c r="I261" i="8"/>
  <c r="I123" i="8"/>
  <c r="J138" i="8"/>
  <c r="I126" i="8"/>
  <c r="I75" i="8"/>
  <c r="I282" i="8"/>
  <c r="I432" i="8"/>
  <c r="J459" i="8"/>
  <c r="J39" i="8"/>
  <c r="J456" i="8"/>
  <c r="M45" i="7"/>
  <c r="N60" i="7"/>
  <c r="O75" i="7"/>
  <c r="M93" i="7"/>
  <c r="N108" i="7"/>
  <c r="O123" i="7"/>
  <c r="M141" i="7"/>
  <c r="M189" i="7"/>
  <c r="AH73" i="4" s="1"/>
  <c r="N300" i="7"/>
  <c r="O315" i="7"/>
  <c r="N348" i="7"/>
  <c r="O363" i="7"/>
  <c r="M429" i="7"/>
  <c r="M525" i="7"/>
  <c r="N540" i="7"/>
  <c r="O555" i="7"/>
  <c r="N588" i="7"/>
  <c r="O603" i="7"/>
  <c r="M621" i="7"/>
  <c r="N636" i="7"/>
  <c r="O651" i="7"/>
  <c r="M669" i="7"/>
  <c r="N684" i="7"/>
  <c r="O672" i="7"/>
  <c r="O186" i="7"/>
  <c r="M588" i="7"/>
  <c r="M30" i="7"/>
  <c r="N45" i="7"/>
  <c r="O60" i="7"/>
  <c r="M78" i="7"/>
  <c r="N93" i="7"/>
  <c r="O108" i="7"/>
  <c r="M126" i="7"/>
  <c r="N141" i="7"/>
  <c r="N189" i="7"/>
  <c r="M270" i="7"/>
  <c r="O300" i="7"/>
  <c r="M318" i="7"/>
  <c r="O348" i="7"/>
  <c r="M366" i="7"/>
  <c r="N429" i="7"/>
  <c r="N525" i="7"/>
  <c r="O540" i="7"/>
  <c r="M558" i="7"/>
  <c r="O588" i="7"/>
  <c r="M606" i="7"/>
  <c r="N621" i="7"/>
  <c r="O636" i="7"/>
  <c r="M654" i="7"/>
  <c r="N669" i="7"/>
  <c r="O684" i="7"/>
  <c r="M642" i="7"/>
  <c r="M348" i="7"/>
  <c r="N30" i="7"/>
  <c r="O45" i="7"/>
  <c r="M63" i="7"/>
  <c r="AH27" i="4" s="1"/>
  <c r="N78" i="7"/>
  <c r="O93" i="7"/>
  <c r="N126" i="7"/>
  <c r="O141" i="7"/>
  <c r="O189" i="7"/>
  <c r="M207" i="7"/>
  <c r="N270" i="7"/>
  <c r="N318" i="7"/>
  <c r="N366" i="7"/>
  <c r="O429" i="7"/>
  <c r="M447" i="7"/>
  <c r="M495" i="7"/>
  <c r="O525" i="7"/>
  <c r="N558" i="7"/>
  <c r="M591" i="7"/>
  <c r="N606" i="7"/>
  <c r="O621" i="7"/>
  <c r="M639" i="7"/>
  <c r="N654" i="7"/>
  <c r="O669" i="7"/>
  <c r="M687" i="7"/>
  <c r="N690" i="7"/>
  <c r="O30" i="7"/>
  <c r="M48" i="7"/>
  <c r="N63" i="7"/>
  <c r="AI27" i="4" s="1"/>
  <c r="O78" i="7"/>
  <c r="M96" i="7"/>
  <c r="O126" i="7"/>
  <c r="M144" i="7"/>
  <c r="N207" i="7"/>
  <c r="O270" i="7"/>
  <c r="O318" i="7"/>
  <c r="O366" i="7"/>
  <c r="M432" i="7"/>
  <c r="N447" i="7"/>
  <c r="M480" i="7"/>
  <c r="N495" i="7"/>
  <c r="M528" i="7"/>
  <c r="O558" i="7"/>
  <c r="M576" i="7"/>
  <c r="N591" i="7"/>
  <c r="O606" i="7"/>
  <c r="M624" i="7"/>
  <c r="N639" i="7"/>
  <c r="O654" i="7"/>
  <c r="M672" i="7"/>
  <c r="N687" i="7"/>
  <c r="M690" i="7"/>
  <c r="M33" i="7"/>
  <c r="N48" i="7"/>
  <c r="O63" i="7"/>
  <c r="M81" i="7"/>
  <c r="N96" i="7"/>
  <c r="M129" i="7"/>
  <c r="N144" i="7"/>
  <c r="O207" i="7"/>
  <c r="M369" i="7"/>
  <c r="N432" i="7"/>
  <c r="O447" i="7"/>
  <c r="N480" i="7"/>
  <c r="O495" i="7"/>
  <c r="M513" i="7"/>
  <c r="N528" i="7"/>
  <c r="M561" i="7"/>
  <c r="N576" i="7"/>
  <c r="O591" i="7"/>
  <c r="M609" i="7"/>
  <c r="N624" i="7"/>
  <c r="O639" i="7"/>
  <c r="M657" i="7"/>
  <c r="N672" i="7"/>
  <c r="O687" i="7"/>
  <c r="O330" i="7"/>
  <c r="N33" i="7"/>
  <c r="O48" i="7"/>
  <c r="M66" i="7"/>
  <c r="N81" i="7"/>
  <c r="O96" i="7"/>
  <c r="M114" i="7"/>
  <c r="N129" i="7"/>
  <c r="O144" i="7"/>
  <c r="M162" i="7"/>
  <c r="M210" i="7"/>
  <c r="N369" i="7"/>
  <c r="O432" i="7"/>
  <c r="O480" i="7"/>
  <c r="M498" i="7"/>
  <c r="N513" i="7"/>
  <c r="O528" i="7"/>
  <c r="M546" i="7"/>
  <c r="N561" i="7"/>
  <c r="O576" i="7"/>
  <c r="M594" i="7"/>
  <c r="N609" i="7"/>
  <c r="O624" i="7"/>
  <c r="N657" i="7"/>
  <c r="N603" i="7"/>
  <c r="O33" i="7"/>
  <c r="M51" i="7"/>
  <c r="N66" i="7"/>
  <c r="O81" i="7"/>
  <c r="M99" i="7"/>
  <c r="N114" i="7"/>
  <c r="O129" i="7"/>
  <c r="N162" i="7"/>
  <c r="N210" i="7"/>
  <c r="M339" i="7"/>
  <c r="O369" i="7"/>
  <c r="M435" i="7"/>
  <c r="N498" i="7"/>
  <c r="O513" i="7"/>
  <c r="M531" i="7"/>
  <c r="N546" i="7"/>
  <c r="O561" i="7"/>
  <c r="M579" i="7"/>
  <c r="N594" i="7"/>
  <c r="O609" i="7"/>
  <c r="M627" i="7"/>
  <c r="N642" i="7"/>
  <c r="O657" i="7"/>
  <c r="M675" i="7"/>
  <c r="M36" i="7"/>
  <c r="N51" i="7"/>
  <c r="O66" i="7"/>
  <c r="M84" i="7"/>
  <c r="N99" i="7"/>
  <c r="O114" i="7"/>
  <c r="M132" i="7"/>
  <c r="O162" i="7"/>
  <c r="M180" i="7"/>
  <c r="O210" i="7"/>
  <c r="N339" i="7"/>
  <c r="N435" i="7"/>
  <c r="O498" i="7"/>
  <c r="M516" i="7"/>
  <c r="N531" i="7"/>
  <c r="O546" i="7"/>
  <c r="N579" i="7"/>
  <c r="O594" i="7"/>
  <c r="M612" i="7"/>
  <c r="N627" i="7"/>
  <c r="O642" i="7"/>
  <c r="M660" i="7"/>
  <c r="N675" i="7"/>
  <c r="O690" i="7"/>
  <c r="O615" i="7"/>
  <c r="M540" i="7"/>
  <c r="O618" i="7"/>
  <c r="M684" i="7"/>
  <c r="N36" i="7"/>
  <c r="O51" i="7"/>
  <c r="M69" i="7"/>
  <c r="N84" i="7"/>
  <c r="AI29" i="4" s="1"/>
  <c r="O99" i="7"/>
  <c r="N132" i="7"/>
  <c r="N180" i="7"/>
  <c r="M309" i="7"/>
  <c r="O339" i="7"/>
  <c r="O435" i="7"/>
  <c r="M453" i="7"/>
  <c r="N516" i="7"/>
  <c r="O531" i="7"/>
  <c r="M549" i="7"/>
  <c r="O579" i="7"/>
  <c r="M597" i="7"/>
  <c r="N612" i="7"/>
  <c r="O627" i="7"/>
  <c r="M645" i="7"/>
  <c r="N660" i="7"/>
  <c r="O675" i="7"/>
  <c r="N600" i="7"/>
  <c r="M636" i="7"/>
  <c r="O36" i="7"/>
  <c r="M54" i="7"/>
  <c r="N69" i="7"/>
  <c r="O84" i="7"/>
  <c r="M102" i="7"/>
  <c r="O132" i="7"/>
  <c r="O180" i="7"/>
  <c r="M246" i="7"/>
  <c r="N309" i="7"/>
  <c r="M342" i="7"/>
  <c r="N453" i="7"/>
  <c r="O516" i="7"/>
  <c r="M534" i="7"/>
  <c r="N549" i="7"/>
  <c r="M582" i="7"/>
  <c r="N597" i="7"/>
  <c r="O612" i="7"/>
  <c r="M630" i="7"/>
  <c r="N645" i="7"/>
  <c r="O660" i="7"/>
  <c r="M678" i="7"/>
  <c r="O663" i="7"/>
  <c r="M39" i="7"/>
  <c r="N54" i="7"/>
  <c r="O69" i="7"/>
  <c r="M87" i="7"/>
  <c r="N102" i="7"/>
  <c r="M135" i="7"/>
  <c r="M183" i="7"/>
  <c r="N246" i="7"/>
  <c r="O309" i="7"/>
  <c r="N342" i="7"/>
  <c r="O453" i="7"/>
  <c r="M519" i="7"/>
  <c r="N534" i="7"/>
  <c r="O549" i="7"/>
  <c r="N582" i="7"/>
  <c r="O597" i="7"/>
  <c r="M615" i="7"/>
  <c r="N630" i="7"/>
  <c r="O645" i="7"/>
  <c r="M663" i="7"/>
  <c r="N678" i="7"/>
  <c r="M633" i="7"/>
  <c r="M300" i="7"/>
  <c r="N39" i="7"/>
  <c r="O54" i="7"/>
  <c r="M72" i="7"/>
  <c r="N87" i="7"/>
  <c r="O102" i="7"/>
  <c r="M120" i="7"/>
  <c r="N135" i="7"/>
  <c r="N183" i="7"/>
  <c r="O246" i="7"/>
  <c r="M312" i="7"/>
  <c r="O342" i="7"/>
  <c r="M360" i="7"/>
  <c r="M504" i="7"/>
  <c r="N519" i="7"/>
  <c r="O534" i="7"/>
  <c r="M552" i="7"/>
  <c r="O582" i="7"/>
  <c r="M600" i="7"/>
  <c r="N615" i="7"/>
  <c r="O630" i="7"/>
  <c r="M648" i="7"/>
  <c r="N663" i="7"/>
  <c r="O678" i="7"/>
  <c r="M681" i="7"/>
  <c r="N315" i="7"/>
  <c r="O39" i="7"/>
  <c r="M57" i="7"/>
  <c r="N72" i="7"/>
  <c r="O87" i="7"/>
  <c r="M105" i="7"/>
  <c r="N120" i="7"/>
  <c r="O135" i="7"/>
  <c r="O183" i="7"/>
  <c r="M249" i="7"/>
  <c r="N312" i="7"/>
  <c r="N360" i="7"/>
  <c r="N504" i="7"/>
  <c r="O519" i="7"/>
  <c r="M537" i="7"/>
  <c r="N552" i="7"/>
  <c r="M585" i="7"/>
  <c r="N648" i="7"/>
  <c r="M42" i="7"/>
  <c r="N57" i="7"/>
  <c r="O72" i="7"/>
  <c r="M90" i="7"/>
  <c r="N105" i="7"/>
  <c r="O120" i="7"/>
  <c r="AJ39" i="4" s="1"/>
  <c r="M186" i="7"/>
  <c r="N249" i="7"/>
  <c r="O312" i="7"/>
  <c r="M330" i="7"/>
  <c r="O360" i="7"/>
  <c r="O504" i="7"/>
  <c r="M522" i="7"/>
  <c r="N537" i="7"/>
  <c r="O552" i="7"/>
  <c r="N585" i="7"/>
  <c r="O600" i="7"/>
  <c r="M618" i="7"/>
  <c r="N633" i="7"/>
  <c r="O648" i="7"/>
  <c r="M666" i="7"/>
  <c r="N681" i="7"/>
  <c r="O666" i="7"/>
  <c r="N42" i="7"/>
  <c r="O57" i="7"/>
  <c r="M75" i="7"/>
  <c r="N90" i="7"/>
  <c r="O105" i="7"/>
  <c r="M123" i="7"/>
  <c r="N186" i="7"/>
  <c r="O249" i="7"/>
  <c r="M315" i="7"/>
  <c r="N330" i="7"/>
  <c r="M363" i="7"/>
  <c r="N522" i="7"/>
  <c r="O537" i="7"/>
  <c r="M555" i="7"/>
  <c r="O585" i="7"/>
  <c r="M603" i="7"/>
  <c r="N618" i="7"/>
  <c r="O633" i="7"/>
  <c r="M651" i="7"/>
  <c r="N666" i="7"/>
  <c r="O681" i="7"/>
  <c r="O42" i="7"/>
  <c r="AJ14" i="4" s="1"/>
  <c r="M60" i="7"/>
  <c r="N75" i="7"/>
  <c r="O90" i="7"/>
  <c r="M108" i="7"/>
  <c r="N123" i="7"/>
  <c r="N363" i="7"/>
  <c r="O522" i="7"/>
  <c r="N555" i="7"/>
  <c r="N651" i="7"/>
  <c r="O27" i="6"/>
  <c r="M45" i="6"/>
  <c r="N60" i="6"/>
  <c r="M93" i="6"/>
  <c r="N108" i="6"/>
  <c r="O123" i="6"/>
  <c r="N156" i="6"/>
  <c r="U54" i="4" s="1"/>
  <c r="N204" i="6"/>
  <c r="N252" i="6"/>
  <c r="M333" i="6"/>
  <c r="N348" i="6"/>
  <c r="O363" i="6"/>
  <c r="M381" i="6"/>
  <c r="N396" i="6"/>
  <c r="O411" i="6"/>
  <c r="M429" i="6"/>
  <c r="N444" i="6"/>
  <c r="O459" i="6"/>
  <c r="M477" i="6"/>
  <c r="N492" i="6"/>
  <c r="O507" i="6"/>
  <c r="M525" i="6"/>
  <c r="M60" i="6"/>
  <c r="T24" i="4" s="1"/>
  <c r="M348" i="6"/>
  <c r="O474" i="6"/>
  <c r="M30" i="6"/>
  <c r="N45" i="6"/>
  <c r="O60" i="6"/>
  <c r="M78" i="6"/>
  <c r="N93" i="6"/>
  <c r="O108" i="6"/>
  <c r="M126" i="6"/>
  <c r="O156" i="6"/>
  <c r="O204" i="6"/>
  <c r="O252" i="6"/>
  <c r="N333" i="6"/>
  <c r="O348" i="6"/>
  <c r="M366" i="6"/>
  <c r="N381" i="6"/>
  <c r="O396" i="6"/>
  <c r="M414" i="6"/>
  <c r="N429" i="6"/>
  <c r="O444" i="6"/>
  <c r="N477" i="6"/>
  <c r="O492" i="6"/>
  <c r="M510" i="6"/>
  <c r="N525" i="6"/>
  <c r="N27" i="6"/>
  <c r="U9" i="4" s="1"/>
  <c r="N30" i="6"/>
  <c r="O45" i="6"/>
  <c r="M63" i="6"/>
  <c r="N78" i="6"/>
  <c r="O93" i="6"/>
  <c r="N126" i="6"/>
  <c r="M159" i="6"/>
  <c r="M207" i="6"/>
  <c r="M255" i="6"/>
  <c r="O333" i="6"/>
  <c r="M351" i="6"/>
  <c r="N366" i="6"/>
  <c r="O381" i="6"/>
  <c r="N414" i="6"/>
  <c r="O429" i="6"/>
  <c r="M447" i="6"/>
  <c r="O477" i="6"/>
  <c r="M495" i="6"/>
  <c r="N510" i="6"/>
  <c r="O525" i="6"/>
  <c r="O90" i="6"/>
  <c r="N363" i="6"/>
  <c r="O30" i="6"/>
  <c r="M48" i="6"/>
  <c r="N63" i="6"/>
  <c r="O78" i="6"/>
  <c r="M96" i="6"/>
  <c r="O126" i="6"/>
  <c r="M144" i="6"/>
  <c r="N159" i="6"/>
  <c r="N207" i="6"/>
  <c r="M240" i="6"/>
  <c r="N255" i="6"/>
  <c r="N351" i="6"/>
  <c r="O366" i="6"/>
  <c r="O414" i="6"/>
  <c r="M432" i="6"/>
  <c r="N447" i="6"/>
  <c r="M480" i="6"/>
  <c r="N495" i="6"/>
  <c r="O510" i="6"/>
  <c r="M33" i="6"/>
  <c r="N48" i="6"/>
  <c r="O63" i="6"/>
  <c r="M81" i="6"/>
  <c r="N96" i="6"/>
  <c r="M129" i="6"/>
  <c r="N144" i="6"/>
  <c r="U44" i="4" s="1"/>
  <c r="O159" i="6"/>
  <c r="O207" i="6"/>
  <c r="N240" i="6"/>
  <c r="O255" i="6"/>
  <c r="O351" i="6"/>
  <c r="M369" i="6"/>
  <c r="M417" i="6"/>
  <c r="N432" i="6"/>
  <c r="O447" i="6"/>
  <c r="M465" i="6"/>
  <c r="N480" i="6"/>
  <c r="O495" i="6"/>
  <c r="M513" i="6"/>
  <c r="O522" i="6"/>
  <c r="N33" i="6"/>
  <c r="O48" i="6"/>
  <c r="V15" i="4" s="1"/>
  <c r="M66" i="6"/>
  <c r="N81" i="6"/>
  <c r="O96" i="6"/>
  <c r="M114" i="6"/>
  <c r="N129" i="6"/>
  <c r="O144" i="6"/>
  <c r="M162" i="6"/>
  <c r="T45" i="4" s="1"/>
  <c r="O240" i="6"/>
  <c r="M258" i="6"/>
  <c r="N369" i="6"/>
  <c r="M402" i="6"/>
  <c r="N417" i="6"/>
  <c r="O432" i="6"/>
  <c r="M450" i="6"/>
  <c r="N465" i="6"/>
  <c r="O480" i="6"/>
  <c r="M498" i="6"/>
  <c r="N513" i="6"/>
  <c r="M108" i="6"/>
  <c r="M444" i="6"/>
  <c r="O33" i="6"/>
  <c r="M51" i="6"/>
  <c r="N66" i="6"/>
  <c r="U25" i="4" s="1"/>
  <c r="O81" i="6"/>
  <c r="M99" i="6"/>
  <c r="N114" i="6"/>
  <c r="O129" i="6"/>
  <c r="N162" i="6"/>
  <c r="N258" i="6"/>
  <c r="O369" i="6"/>
  <c r="M387" i="6"/>
  <c r="N402" i="6"/>
  <c r="O417" i="6"/>
  <c r="M435" i="6"/>
  <c r="N450" i="6"/>
  <c r="O465" i="6"/>
  <c r="M483" i="6"/>
  <c r="N498" i="6"/>
  <c r="O513" i="6"/>
  <c r="M252" i="6"/>
  <c r="N51" i="6"/>
  <c r="O66" i="6"/>
  <c r="N99" i="6"/>
  <c r="O114" i="6"/>
  <c r="M132" i="6"/>
  <c r="O162" i="6"/>
  <c r="M180" i="6"/>
  <c r="O258" i="6"/>
  <c r="M372" i="6"/>
  <c r="N387" i="6"/>
  <c r="O402" i="6"/>
  <c r="M420" i="6"/>
  <c r="N435" i="6"/>
  <c r="O450" i="6"/>
  <c r="M468" i="6"/>
  <c r="N483" i="6"/>
  <c r="O498" i="6"/>
  <c r="M516" i="6"/>
  <c r="N411" i="6"/>
  <c r="M21" i="6"/>
  <c r="O51" i="6"/>
  <c r="M69" i="6"/>
  <c r="O99" i="6"/>
  <c r="M117" i="6"/>
  <c r="T37" i="4" s="1"/>
  <c r="N132" i="6"/>
  <c r="N180" i="6"/>
  <c r="M213" i="6"/>
  <c r="M261" i="6"/>
  <c r="M357" i="6"/>
  <c r="N372" i="6"/>
  <c r="O387" i="6"/>
  <c r="M405" i="6"/>
  <c r="N420" i="6"/>
  <c r="O435" i="6"/>
  <c r="M453" i="6"/>
  <c r="N468" i="6"/>
  <c r="O483" i="6"/>
  <c r="M501" i="6"/>
  <c r="N516" i="6"/>
  <c r="N123" i="6"/>
  <c r="M492" i="6"/>
  <c r="N21" i="6"/>
  <c r="M54" i="6"/>
  <c r="N69" i="6"/>
  <c r="M102" i="6"/>
  <c r="N117" i="6"/>
  <c r="O132" i="6"/>
  <c r="V46" i="4" s="1"/>
  <c r="O180" i="6"/>
  <c r="N213" i="6"/>
  <c r="N261" i="6"/>
  <c r="N357" i="6"/>
  <c r="O372" i="6"/>
  <c r="M390" i="6"/>
  <c r="N405" i="6"/>
  <c r="O420" i="6"/>
  <c r="M438" i="6"/>
  <c r="N453" i="6"/>
  <c r="O468" i="6"/>
  <c r="M486" i="6"/>
  <c r="N501" i="6"/>
  <c r="O516" i="6"/>
  <c r="O21" i="6"/>
  <c r="N54" i="6"/>
  <c r="O69" i="6"/>
  <c r="M87" i="6"/>
  <c r="N102" i="6"/>
  <c r="O117" i="6"/>
  <c r="M135" i="6"/>
  <c r="M183" i="6"/>
  <c r="O213" i="6"/>
  <c r="O261" i="6"/>
  <c r="O357" i="6"/>
  <c r="M375" i="6"/>
  <c r="N390" i="6"/>
  <c r="O405" i="6"/>
  <c r="M423" i="6"/>
  <c r="N438" i="6"/>
  <c r="O453" i="6"/>
  <c r="M471" i="6"/>
  <c r="N486" i="6"/>
  <c r="O501" i="6"/>
  <c r="M519" i="6"/>
  <c r="O186" i="6"/>
  <c r="N459" i="6"/>
  <c r="M24" i="6"/>
  <c r="O54" i="6"/>
  <c r="M72" i="6"/>
  <c r="N87" i="6"/>
  <c r="O102" i="6"/>
  <c r="M120" i="6"/>
  <c r="N135" i="6"/>
  <c r="N183" i="6"/>
  <c r="M360" i="6"/>
  <c r="N375" i="6"/>
  <c r="O390" i="6"/>
  <c r="N423" i="6"/>
  <c r="O438" i="6"/>
  <c r="M456" i="6"/>
  <c r="N471" i="6"/>
  <c r="O486" i="6"/>
  <c r="M504" i="6"/>
  <c r="N519" i="6"/>
  <c r="O378" i="6"/>
  <c r="N24" i="6"/>
  <c r="U8" i="4" s="1"/>
  <c r="M57" i="6"/>
  <c r="N72" i="6"/>
  <c r="O87" i="6"/>
  <c r="M105" i="6"/>
  <c r="N120" i="6"/>
  <c r="O135" i="6"/>
  <c r="O183" i="6"/>
  <c r="V63" i="4" s="1"/>
  <c r="M201" i="6"/>
  <c r="N360" i="6"/>
  <c r="O375" i="6"/>
  <c r="O423" i="6"/>
  <c r="M441" i="6"/>
  <c r="N456" i="6"/>
  <c r="O471" i="6"/>
  <c r="M489" i="6"/>
  <c r="N504" i="6"/>
  <c r="O519" i="6"/>
  <c r="M204" i="6"/>
  <c r="O24" i="6"/>
  <c r="N57" i="6"/>
  <c r="O72" i="6"/>
  <c r="M90" i="6"/>
  <c r="N105" i="6"/>
  <c r="O120" i="6"/>
  <c r="M186" i="6"/>
  <c r="N201" i="6"/>
  <c r="O360" i="6"/>
  <c r="M378" i="6"/>
  <c r="N441" i="6"/>
  <c r="O456" i="6"/>
  <c r="M474" i="6"/>
  <c r="N489" i="6"/>
  <c r="O504" i="6"/>
  <c r="M522" i="6"/>
  <c r="M156" i="6"/>
  <c r="N507" i="6"/>
  <c r="M27" i="6"/>
  <c r="O57" i="6"/>
  <c r="N90" i="6"/>
  <c r="O105" i="6"/>
  <c r="M123" i="6"/>
  <c r="N186" i="6"/>
  <c r="O201" i="6"/>
  <c r="M363" i="6"/>
  <c r="N378" i="6"/>
  <c r="M411" i="6"/>
  <c r="O441" i="6"/>
  <c r="M459" i="6"/>
  <c r="N474" i="6"/>
  <c r="O489" i="6"/>
  <c r="M507" i="6"/>
  <c r="N522" i="6"/>
  <c r="M396" i="6"/>
  <c r="M18" i="6"/>
  <c r="N18" i="6"/>
  <c r="U10" i="4" s="1"/>
  <c r="O18" i="6"/>
  <c r="AD43" i="4"/>
  <c r="P71" i="4"/>
  <c r="M59" i="2" s="1"/>
  <c r="B20" i="4"/>
  <c r="C24" i="2" s="1"/>
  <c r="AD48" i="4"/>
  <c r="W48" i="2" s="1"/>
  <c r="P76" i="4"/>
  <c r="B29" i="4"/>
  <c r="C31" i="2" s="1"/>
  <c r="P56" i="4"/>
  <c r="AD91" i="4"/>
  <c r="AF91" i="4" s="1"/>
  <c r="P30" i="4"/>
  <c r="M32" i="2" s="1"/>
  <c r="AR46" i="4"/>
  <c r="AS46" i="4" s="1"/>
  <c r="B9" i="4"/>
  <c r="C15" i="2" s="1"/>
  <c r="B4" i="4"/>
  <c r="P33" i="4"/>
  <c r="M34" i="2" s="1"/>
  <c r="P50" i="4"/>
  <c r="B27" i="4"/>
  <c r="C30" i="2" s="1"/>
  <c r="AD66" i="4"/>
  <c r="W64" i="2" s="1"/>
  <c r="AD54" i="4"/>
  <c r="B7" i="4"/>
  <c r="C7" i="2" s="1"/>
  <c r="B12" i="4"/>
  <c r="C12" i="2" s="1"/>
  <c r="H12" i="2" s="1"/>
  <c r="AR14" i="4"/>
  <c r="AD51" i="4"/>
  <c r="W41" i="2" s="1"/>
  <c r="AD99" i="4"/>
  <c r="P102" i="4"/>
  <c r="BY102" i="4" s="1"/>
  <c r="P58" i="4"/>
  <c r="M62" i="2" s="1"/>
  <c r="R62" i="2" s="1"/>
  <c r="AD38" i="4"/>
  <c r="AR13" i="4"/>
  <c r="AT26" i="4"/>
  <c r="P63" i="4"/>
  <c r="M67" i="2" s="1"/>
  <c r="AD102" i="4"/>
  <c r="B50" i="4"/>
  <c r="P21" i="4"/>
  <c r="P27" i="4"/>
  <c r="B22" i="4"/>
  <c r="C23" i="2" s="1"/>
  <c r="P51" i="4"/>
  <c r="M53" i="2" s="1"/>
  <c r="B33" i="4"/>
  <c r="C36" i="2" s="1"/>
  <c r="AR28" i="4"/>
  <c r="C79" i="2" s="1"/>
  <c r="AD94" i="4"/>
  <c r="Q16" i="4"/>
  <c r="R18" i="2"/>
  <c r="AD57" i="4"/>
  <c r="W58" i="2" s="1"/>
  <c r="P86" i="4"/>
  <c r="BY86" i="4" s="1"/>
  <c r="P91" i="4"/>
  <c r="AR23" i="4"/>
  <c r="AD45" i="4"/>
  <c r="AR17" i="4"/>
  <c r="C63" i="2" s="1"/>
  <c r="AR20" i="4"/>
  <c r="AD49" i="4"/>
  <c r="W50" i="2" s="1"/>
  <c r="AR3" i="4"/>
  <c r="C48" i="2" s="1"/>
  <c r="H48" i="2" s="1"/>
  <c r="AD23" i="4"/>
  <c r="W23" i="2" s="1"/>
  <c r="B6" i="4"/>
  <c r="AD35" i="4"/>
  <c r="W36" i="2" s="1"/>
  <c r="P39" i="4"/>
  <c r="B21" i="4"/>
  <c r="C22" i="2" s="1"/>
  <c r="P53" i="4"/>
  <c r="AD62" i="4"/>
  <c r="W75" i="2" s="1"/>
  <c r="AD67" i="4"/>
  <c r="W71" i="2" s="1"/>
  <c r="AD100" i="4"/>
  <c r="AF100" i="4" s="1"/>
  <c r="AR48" i="4"/>
  <c r="AT48" i="4" s="1"/>
  <c r="B46" i="4"/>
  <c r="P73" i="4"/>
  <c r="M76" i="2" s="1"/>
  <c r="B32" i="4"/>
  <c r="C34" i="2" s="1"/>
  <c r="AR40" i="4"/>
  <c r="AT40" i="4" s="1"/>
  <c r="AD11" i="4"/>
  <c r="W15" i="2" s="1"/>
  <c r="AB15" i="2" s="1"/>
  <c r="P22" i="4"/>
  <c r="B11" i="4"/>
  <c r="C11" i="2" s="1"/>
  <c r="AD68" i="4"/>
  <c r="P87" i="4"/>
  <c r="BY87" i="4" s="1"/>
  <c r="AR51" i="4"/>
  <c r="AT51" i="4" s="1"/>
  <c r="P43" i="4"/>
  <c r="M45" i="2" s="1"/>
  <c r="AD33" i="4"/>
  <c r="AD95" i="4"/>
  <c r="AF95" i="4" s="1"/>
  <c r="P85" i="4"/>
  <c r="BY85" i="4" s="1"/>
  <c r="P67" i="4"/>
  <c r="M51" i="2" s="1"/>
  <c r="AD90" i="4"/>
  <c r="AD88" i="4"/>
  <c r="AR16" i="4"/>
  <c r="C62" i="2" s="1"/>
  <c r="P95" i="4"/>
  <c r="R95" i="4" s="1"/>
  <c r="AR10" i="4"/>
  <c r="B37" i="4"/>
  <c r="C37" i="2" s="1"/>
  <c r="P55" i="4"/>
  <c r="P82" i="4"/>
  <c r="M82" i="2" s="1"/>
  <c r="R82" i="2" s="1"/>
  <c r="P94" i="4"/>
  <c r="B40" i="4"/>
  <c r="C42" i="2" s="1"/>
  <c r="B39" i="4"/>
  <c r="C43" i="2" s="1"/>
  <c r="AB12" i="2"/>
  <c r="AB7" i="2"/>
  <c r="AB39" i="2"/>
  <c r="AD18" i="4"/>
  <c r="W21" i="2" s="1"/>
  <c r="P72" i="4"/>
  <c r="B16" i="4"/>
  <c r="C17" i="2" s="1"/>
  <c r="P101" i="4"/>
  <c r="R8" i="2"/>
  <c r="H55" i="2"/>
  <c r="R31" i="2"/>
  <c r="P47" i="4"/>
  <c r="M52" i="2" s="1"/>
  <c r="AD7" i="4"/>
  <c r="W10" i="2" s="1"/>
  <c r="R30" i="2"/>
  <c r="R26" i="2"/>
  <c r="AD46" i="4"/>
  <c r="W47" i="2" s="1"/>
  <c r="B23" i="4"/>
  <c r="C25" i="2" s="1"/>
  <c r="AD61" i="4"/>
  <c r="AD69" i="4"/>
  <c r="W84" i="2" s="1"/>
  <c r="AD76" i="4"/>
  <c r="W78" i="2" s="1"/>
  <c r="P79" i="4"/>
  <c r="P92" i="4"/>
  <c r="Q92" i="4" s="1"/>
  <c r="H56" i="2"/>
  <c r="R28" i="2"/>
  <c r="H16" i="2"/>
  <c r="H68" i="2"/>
  <c r="B42" i="4"/>
  <c r="C41" i="2" s="1"/>
  <c r="B43" i="4"/>
  <c r="D43" i="4" s="1"/>
  <c r="R11" i="2"/>
  <c r="AB40" i="2"/>
  <c r="AR27" i="4"/>
  <c r="C75" i="2" s="1"/>
  <c r="H75" i="2" s="1"/>
  <c r="P93" i="4"/>
  <c r="Q93" i="4" s="1"/>
  <c r="H44" i="2"/>
  <c r="AR33" i="4"/>
  <c r="C81" i="2" s="1"/>
  <c r="AD29" i="4"/>
  <c r="AD37" i="4"/>
  <c r="W45" i="2" s="1"/>
  <c r="AD41" i="4"/>
  <c r="W46" i="2" s="1"/>
  <c r="R38" i="2"/>
  <c r="AB83" i="2"/>
  <c r="AR30" i="4"/>
  <c r="C73" i="2" s="1"/>
  <c r="AD87" i="4"/>
  <c r="AE87" i="4" s="1"/>
  <c r="B30" i="4"/>
  <c r="C33" i="2" s="1"/>
  <c r="B34" i="4"/>
  <c r="C35" i="2" s="1"/>
  <c r="AD26" i="4"/>
  <c r="W28" i="2" s="1"/>
  <c r="R27" i="2"/>
  <c r="AD32" i="4"/>
  <c r="B31" i="4"/>
  <c r="C32" i="2" s="1"/>
  <c r="AB11" i="2"/>
  <c r="AB23" i="2"/>
  <c r="P66" i="4"/>
  <c r="M63" i="2" s="1"/>
  <c r="P90" i="4"/>
  <c r="R14" i="2"/>
  <c r="B18" i="4"/>
  <c r="H72" i="2"/>
  <c r="AB6" i="2"/>
  <c r="P98" i="4"/>
  <c r="R7" i="2"/>
  <c r="H52" i="2"/>
  <c r="R84" i="2"/>
  <c r="AR43" i="4"/>
  <c r="BC43" i="4" s="1"/>
  <c r="B38" i="4"/>
  <c r="C40" i="2" s="1"/>
  <c r="AA16" i="4"/>
  <c r="B28" i="4"/>
  <c r="AR44" i="4"/>
  <c r="BC44" i="4" s="1"/>
  <c r="AD65" i="4"/>
  <c r="AD92" i="4"/>
  <c r="AR35" i="4"/>
  <c r="C82" i="2" s="1"/>
  <c r="AR47" i="4"/>
  <c r="BC47" i="4" s="1"/>
  <c r="AD24" i="4"/>
  <c r="W29" i="2" s="1"/>
  <c r="P34" i="4"/>
  <c r="M41" i="2" s="1"/>
  <c r="P41" i="4"/>
  <c r="BC39" i="4"/>
  <c r="AS6" i="4"/>
  <c r="H51" i="2"/>
  <c r="AA52" i="4"/>
  <c r="AB46" i="2"/>
  <c r="AA54" i="4"/>
  <c r="AA28" i="4"/>
  <c r="R25" i="2"/>
  <c r="AO19" i="4"/>
  <c r="AA49" i="4"/>
  <c r="AD89" i="4"/>
  <c r="AF89" i="4" s="1"/>
  <c r="R10" i="4"/>
  <c r="M15" i="4"/>
  <c r="AF28" i="4"/>
  <c r="AB63" i="2"/>
  <c r="R71" i="4"/>
  <c r="D25" i="4"/>
  <c r="P45" i="4"/>
  <c r="M54" i="2" s="1"/>
  <c r="P32" i="4"/>
  <c r="AE74" i="4"/>
  <c r="AO20" i="4"/>
  <c r="AB24" i="2"/>
  <c r="AA29" i="4"/>
  <c r="R54" i="2"/>
  <c r="Q60" i="4"/>
  <c r="P80" i="4"/>
  <c r="M81" i="2" s="1"/>
  <c r="R16" i="4"/>
  <c r="S16" i="4" s="1"/>
  <c r="AA26" i="4"/>
  <c r="P61" i="4"/>
  <c r="BY75" i="4"/>
  <c r="AD14" i="4"/>
  <c r="P17" i="4"/>
  <c r="M20" i="2" s="1"/>
  <c r="AD47" i="4"/>
  <c r="W49" i="2" s="1"/>
  <c r="P44" i="4"/>
  <c r="AR18" i="4"/>
  <c r="C61" i="2" s="1"/>
  <c r="AD63" i="4"/>
  <c r="AD75" i="4"/>
  <c r="W66" i="2" s="1"/>
  <c r="P81" i="4"/>
  <c r="AO15" i="4"/>
  <c r="BC25" i="4"/>
  <c r="P7" i="4"/>
  <c r="AF16" i="4"/>
  <c r="AS26" i="4"/>
  <c r="AU26" i="4" s="1"/>
  <c r="B36" i="4"/>
  <c r="C38" i="2" s="1"/>
  <c r="P89" i="4"/>
  <c r="BY89" i="4" s="1"/>
  <c r="BC5" i="4"/>
  <c r="H50" i="2"/>
  <c r="BC29" i="4"/>
  <c r="AA35" i="4"/>
  <c r="AO50" i="4"/>
  <c r="M7" i="4"/>
  <c r="M22" i="4"/>
  <c r="BY76" i="4"/>
  <c r="P65" i="4"/>
  <c r="AF64" i="4"/>
  <c r="AO77" i="4"/>
  <c r="AD81" i="4"/>
  <c r="W77" i="2" s="1"/>
  <c r="AR32" i="4"/>
  <c r="AA8" i="4"/>
  <c r="R15" i="2"/>
  <c r="AT12" i="4"/>
  <c r="H57" i="2"/>
  <c r="BC26" i="4"/>
  <c r="AR31" i="4"/>
  <c r="C76" i="2" s="1"/>
  <c r="R14" i="4"/>
  <c r="P18" i="4"/>
  <c r="M17" i="2" s="1"/>
  <c r="AD55" i="4"/>
  <c r="W61" i="2" s="1"/>
  <c r="AR52" i="4"/>
  <c r="AS52" i="4" s="1"/>
  <c r="D9" i="4"/>
  <c r="H8" i="2"/>
  <c r="P48" i="4"/>
  <c r="M48" i="2" s="1"/>
  <c r="R48" i="2" s="1"/>
  <c r="P83" i="4"/>
  <c r="R83" i="4" s="1"/>
  <c r="B8" i="4"/>
  <c r="C8" i="4" s="1"/>
  <c r="P31" i="4"/>
  <c r="M33" i="2" s="1"/>
  <c r="P62" i="4"/>
  <c r="P74" i="4"/>
  <c r="M66" i="2" s="1"/>
  <c r="AF45" i="4"/>
  <c r="R11" i="4"/>
  <c r="R12" i="2"/>
  <c r="AE3" i="4"/>
  <c r="AB5" i="2"/>
  <c r="H26" i="2"/>
  <c r="AA37" i="4"/>
  <c r="AE53" i="4"/>
  <c r="AB44" i="2"/>
  <c r="R33" i="4"/>
  <c r="B19" i="4"/>
  <c r="C21" i="2" s="1"/>
  <c r="BC23" i="4"/>
  <c r="P99" i="4"/>
  <c r="R99" i="4" s="1"/>
  <c r="AD86" i="4"/>
  <c r="AF86" i="4" s="1"/>
  <c r="P78" i="4"/>
  <c r="M83" i="2" s="1"/>
  <c r="B44" i="4"/>
  <c r="D44" i="4" s="1"/>
  <c r="BC34" i="4"/>
  <c r="H66" i="2"/>
  <c r="AB22" i="2"/>
  <c r="AB74" i="2"/>
  <c r="Q77" i="4"/>
  <c r="Q19" i="4"/>
  <c r="M24" i="4"/>
  <c r="BY70" i="4"/>
  <c r="AD78" i="4"/>
  <c r="M602" i="9"/>
  <c r="M650" i="9"/>
  <c r="M603" i="9"/>
  <c r="B46" i="1"/>
  <c r="AO17" i="4"/>
  <c r="R41" i="4"/>
  <c r="AF17" i="4"/>
  <c r="BY77" i="4"/>
  <c r="AE17" i="4"/>
  <c r="R46" i="4"/>
  <c r="AA46" i="4"/>
  <c r="AO10" i="4"/>
  <c r="AA60" i="4"/>
  <c r="BY60" i="4"/>
  <c r="H7" i="2"/>
  <c r="AF9" i="4"/>
  <c r="AO9" i="4"/>
  <c r="AE38" i="4"/>
  <c r="BY63" i="4"/>
  <c r="D4" i="4"/>
  <c r="C12" i="4"/>
  <c r="AO60" i="4"/>
  <c r="AO52" i="4"/>
  <c r="AF36" i="4"/>
  <c r="AO72" i="4"/>
  <c r="AS8" i="4"/>
  <c r="AA15" i="4"/>
  <c r="AT8" i="4"/>
  <c r="Q26" i="4"/>
  <c r="Q45" i="4"/>
  <c r="AA11" i="4"/>
  <c r="R26" i="4"/>
  <c r="R77" i="4"/>
  <c r="Q88" i="4"/>
  <c r="S88" i="4" s="1"/>
  <c r="AE101" i="4"/>
  <c r="AG101" i="4" s="1"/>
  <c r="AS24" i="4"/>
  <c r="AT6" i="4"/>
  <c r="AF3" i="4"/>
  <c r="BC6" i="4"/>
  <c r="AA10" i="4"/>
  <c r="AT24" i="4"/>
  <c r="C5" i="2"/>
  <c r="AO3" i="4"/>
  <c r="BC24" i="4"/>
  <c r="AO43" i="4"/>
  <c r="AO7" i="4"/>
  <c r="AS4" i="4"/>
  <c r="BC4" i="4"/>
  <c r="H49" i="2"/>
  <c r="AT4" i="4"/>
  <c r="AE8" i="4"/>
  <c r="AO8" i="4"/>
  <c r="AF65" i="4"/>
  <c r="R3" i="4"/>
  <c r="M5" i="2"/>
  <c r="R5" i="2" s="1"/>
  <c r="AF61" i="4"/>
  <c r="AO61" i="4"/>
  <c r="AE61" i="4"/>
  <c r="AF96" i="4"/>
  <c r="Q29" i="4"/>
  <c r="M6" i="2"/>
  <c r="R6" i="2" s="1"/>
  <c r="AE10" i="4"/>
  <c r="Q12" i="4"/>
  <c r="AA12" i="4"/>
  <c r="AA24" i="4"/>
  <c r="R24" i="4"/>
  <c r="Q24" i="4"/>
  <c r="AD79" i="4"/>
  <c r="BY88" i="4"/>
  <c r="AD21" i="4"/>
  <c r="AR37" i="4"/>
  <c r="C84" i="2" s="1"/>
  <c r="BY57" i="4"/>
  <c r="Q46" i="4"/>
  <c r="AD82" i="4"/>
  <c r="W76" i="2" s="1"/>
  <c r="AS50" i="4"/>
  <c r="AT50" i="4"/>
  <c r="BY71" i="4"/>
  <c r="Q97" i="4"/>
  <c r="P36" i="4"/>
  <c r="AA20" i="4"/>
  <c r="C7" i="4"/>
  <c r="Q5" i="4"/>
  <c r="C15" i="4"/>
  <c r="AO66" i="4"/>
  <c r="AD59" i="4"/>
  <c r="Q33" i="4"/>
  <c r="R20" i="4"/>
  <c r="AO22" i="4"/>
  <c r="AA33" i="4"/>
  <c r="Q7" i="4"/>
  <c r="C13" i="4"/>
  <c r="BC22" i="4"/>
  <c r="AT22" i="4"/>
  <c r="AE48" i="4"/>
  <c r="AE51" i="4"/>
  <c r="AF53" i="4"/>
  <c r="AA63" i="4"/>
  <c r="Q76" i="4"/>
  <c r="P38" i="4"/>
  <c r="M44" i="2" s="1"/>
  <c r="AD71" i="4"/>
  <c r="W68" i="2" s="1"/>
  <c r="P84" i="4"/>
  <c r="R84" i="4" s="1"/>
  <c r="Q28" i="4"/>
  <c r="AT38" i="4"/>
  <c r="D11" i="4"/>
  <c r="C11" i="4"/>
  <c r="AA5" i="4"/>
  <c r="M11" i="4"/>
  <c r="D13" i="4"/>
  <c r="AF20" i="4"/>
  <c r="AS22" i="4"/>
  <c r="AF41" i="4"/>
  <c r="AF44" i="4"/>
  <c r="AF51" i="4"/>
  <c r="Q63" i="4"/>
  <c r="R76" i="4"/>
  <c r="M5" i="4"/>
  <c r="D5" i="4"/>
  <c r="C5" i="4"/>
  <c r="D7" i="4"/>
  <c r="AA7" i="4"/>
  <c r="AA9" i="4"/>
  <c r="Q9" i="4"/>
  <c r="M13" i="4"/>
  <c r="Q54" i="4"/>
  <c r="R63" i="4"/>
  <c r="AO76" i="4"/>
  <c r="AF76" i="4"/>
  <c r="M20" i="4"/>
  <c r="C20" i="4"/>
  <c r="Q20" i="4"/>
  <c r="R28" i="4"/>
  <c r="R9" i="4"/>
  <c r="Q11" i="4"/>
  <c r="S11" i="4" s="1"/>
  <c r="C25" i="4"/>
  <c r="AO36" i="4"/>
  <c r="BC41" i="4"/>
  <c r="AT41" i="4"/>
  <c r="C47" i="4"/>
  <c r="E47" i="4" s="1"/>
  <c r="P68" i="4"/>
  <c r="M80" i="2" s="1"/>
  <c r="AE76" i="4"/>
  <c r="R5" i="4"/>
  <c r="AE15" i="4"/>
  <c r="M25" i="4"/>
  <c r="R45" i="4"/>
  <c r="AA45" i="4"/>
  <c r="R60" i="4"/>
  <c r="S60" i="4" s="1"/>
  <c r="AF72" i="4"/>
  <c r="AE72" i="4"/>
  <c r="AS7" i="4"/>
  <c r="AA47" i="4"/>
  <c r="R47" i="4"/>
  <c r="M26" i="4"/>
  <c r="D26" i="4"/>
  <c r="C26" i="4"/>
  <c r="AD6" i="4"/>
  <c r="W8" i="2" s="1"/>
  <c r="AF55" i="4"/>
  <c r="AO55" i="4"/>
  <c r="AE64" i="4"/>
  <c r="R73" i="4"/>
  <c r="R19" i="4"/>
  <c r="BC13" i="4"/>
  <c r="AO45" i="4"/>
  <c r="AT25" i="4"/>
  <c r="R29" i="4"/>
  <c r="Q52" i="4"/>
  <c r="C3" i="4"/>
  <c r="R8" i="4"/>
  <c r="C10" i="4"/>
  <c r="AS11" i="4"/>
  <c r="AF19" i="4"/>
  <c r="C22" i="4"/>
  <c r="AO32" i="4"/>
  <c r="Q37" i="4"/>
  <c r="BC45" i="4"/>
  <c r="R52" i="4"/>
  <c r="AF73" i="4"/>
  <c r="AO73" i="4"/>
  <c r="AD12" i="4"/>
  <c r="P59" i="4"/>
  <c r="M49" i="2" s="1"/>
  <c r="AA4" i="4"/>
  <c r="Q4" i="4"/>
  <c r="S4" i="4" s="1"/>
  <c r="AA6" i="4"/>
  <c r="Q6" i="4"/>
  <c r="Q8" i="4"/>
  <c r="AE19" i="4"/>
  <c r="AE27" i="4"/>
  <c r="D3" i="4"/>
  <c r="AF4" i="4"/>
  <c r="M12" i="4"/>
  <c r="D12" i="4"/>
  <c r="D22" i="4"/>
  <c r="C24" i="4"/>
  <c r="AS27" i="4"/>
  <c r="AS34" i="4"/>
  <c r="AD40" i="4"/>
  <c r="W42" i="2" s="1"/>
  <c r="R43" i="4"/>
  <c r="AA43" i="4"/>
  <c r="P96" i="4"/>
  <c r="Q96" i="4" s="1"/>
  <c r="D6" i="4"/>
  <c r="AT7" i="4"/>
  <c r="AS13" i="4"/>
  <c r="AO64" i="4"/>
  <c r="R6" i="4"/>
  <c r="AE16" i="4"/>
  <c r="AO16" i="4"/>
  <c r="D24" i="4"/>
  <c r="AT27" i="4"/>
  <c r="AT34" i="4"/>
  <c r="AD83" i="4"/>
  <c r="AF83" i="4" s="1"/>
  <c r="C49" i="4"/>
  <c r="E49" i="4" s="1"/>
  <c r="AE68" i="4"/>
  <c r="N531" i="6"/>
  <c r="M531" i="6"/>
  <c r="V468" i="6"/>
  <c r="S468" i="6" s="1"/>
  <c r="V444" i="6"/>
  <c r="S444" i="6" s="1"/>
  <c r="V471" i="6"/>
  <c r="S471" i="6" s="1"/>
  <c r="O540" i="6"/>
  <c r="N540" i="6"/>
  <c r="M540" i="6"/>
  <c r="O534" i="6"/>
  <c r="N534" i="6"/>
  <c r="M534" i="6"/>
  <c r="O528" i="6"/>
  <c r="N528" i="6"/>
  <c r="V456" i="6"/>
  <c r="S456" i="6" s="1"/>
  <c r="V432" i="6"/>
  <c r="S432" i="6" s="1"/>
  <c r="M528" i="6"/>
  <c r="M543" i="6"/>
  <c r="O537" i="6"/>
  <c r="V462" i="6"/>
  <c r="S462" i="6" s="1"/>
  <c r="T462" i="6" s="1"/>
  <c r="U462" i="6" s="1"/>
  <c r="N537" i="6"/>
  <c r="M537" i="6"/>
  <c r="O531" i="6"/>
  <c r="V465" i="6"/>
  <c r="S465" i="6" s="1"/>
  <c r="O543" i="6"/>
  <c r="V441" i="6"/>
  <c r="S441" i="6" s="1"/>
  <c r="N543" i="6"/>
  <c r="V459" i="6"/>
  <c r="S459" i="6" s="1"/>
  <c r="V408" i="6"/>
  <c r="S408" i="6" s="1"/>
  <c r="T408" i="6" s="1"/>
  <c r="U408" i="6" s="1"/>
  <c r="V384" i="6"/>
  <c r="S384" i="6" s="1"/>
  <c r="T384" i="6" s="1"/>
  <c r="U384" i="6" s="1"/>
  <c r="V360" i="6"/>
  <c r="S360" i="6" s="1"/>
  <c r="V336" i="6"/>
  <c r="S336" i="6" s="1"/>
  <c r="T336" i="6" s="1"/>
  <c r="U336" i="6" s="1"/>
  <c r="M336" i="6" s="1"/>
  <c r="V312" i="6"/>
  <c r="S312" i="6" s="1"/>
  <c r="T312" i="6" s="1"/>
  <c r="U312" i="6" s="1"/>
  <c r="M312" i="6" s="1"/>
  <c r="V450" i="6"/>
  <c r="S450" i="6" s="1"/>
  <c r="V420" i="6"/>
  <c r="S420" i="6" s="1"/>
  <c r="V396" i="6"/>
  <c r="S396" i="6" s="1"/>
  <c r="V372" i="6"/>
  <c r="S372" i="6" s="1"/>
  <c r="V348" i="6"/>
  <c r="S348" i="6" s="1"/>
  <c r="V324" i="6"/>
  <c r="S324" i="6" s="1"/>
  <c r="T324" i="6" s="1"/>
  <c r="U324" i="6" s="1"/>
  <c r="N324" i="6" s="1"/>
  <c r="V300" i="6"/>
  <c r="S300" i="6" s="1"/>
  <c r="T300" i="6" s="1"/>
  <c r="U300" i="6" s="1"/>
  <c r="N300" i="6" s="1"/>
  <c r="V288" i="6"/>
  <c r="S288" i="6" s="1"/>
  <c r="T288" i="6" s="1"/>
  <c r="U288" i="6" s="1"/>
  <c r="M288" i="6" s="1"/>
  <c r="V273" i="6"/>
  <c r="S273" i="6" s="1"/>
  <c r="T273" i="6" s="1"/>
  <c r="U273" i="6" s="1"/>
  <c r="M273" i="6" s="1"/>
  <c r="V231" i="6"/>
  <c r="S231" i="6" s="1"/>
  <c r="T231" i="6" s="1"/>
  <c r="U231" i="6" s="1"/>
  <c r="V204" i="6"/>
  <c r="S204" i="6" s="1"/>
  <c r="V192" i="6"/>
  <c r="S192" i="6" s="1"/>
  <c r="T192" i="6" s="1"/>
  <c r="U192" i="6" s="1"/>
  <c r="M192" i="6" s="1"/>
  <c r="V261" i="6"/>
  <c r="S261" i="6" s="1"/>
  <c r="V153" i="6"/>
  <c r="S153" i="6" s="1"/>
  <c r="T153" i="6" s="1"/>
  <c r="U153" i="6" s="1"/>
  <c r="O153" i="6" s="1"/>
  <c r="V129" i="6"/>
  <c r="S129" i="6" s="1"/>
  <c r="V105" i="6"/>
  <c r="S105" i="6" s="1"/>
  <c r="V81" i="6"/>
  <c r="S81" i="6" s="1"/>
  <c r="V57" i="6"/>
  <c r="S57" i="6" s="1"/>
  <c r="V33" i="6"/>
  <c r="S33" i="6" s="1"/>
  <c r="V9" i="6"/>
  <c r="S9" i="6" s="1"/>
  <c r="V411" i="6"/>
  <c r="S411" i="6" s="1"/>
  <c r="V387" i="6"/>
  <c r="S387" i="6" s="1"/>
  <c r="V363" i="6"/>
  <c r="S363" i="6" s="1"/>
  <c r="V339" i="6"/>
  <c r="S339" i="6" s="1"/>
  <c r="T339" i="6" s="1"/>
  <c r="U339" i="6" s="1"/>
  <c r="O339" i="6" s="1"/>
  <c r="V315" i="6"/>
  <c r="S315" i="6" s="1"/>
  <c r="V177" i="6"/>
  <c r="S177" i="6" s="1"/>
  <c r="T177" i="6" s="1"/>
  <c r="U177" i="6" s="1"/>
  <c r="O3" i="6"/>
  <c r="V291" i="6"/>
  <c r="S291" i="6" s="1"/>
  <c r="T291" i="6" s="1"/>
  <c r="U291" i="6" s="1"/>
  <c r="M291" i="6" s="1"/>
  <c r="V435" i="6"/>
  <c r="S435" i="6" s="1"/>
  <c r="V276" i="6"/>
  <c r="S276" i="6" s="1"/>
  <c r="T276" i="6" s="1"/>
  <c r="U276" i="6" s="1"/>
  <c r="V264" i="6"/>
  <c r="S264" i="6" s="1"/>
  <c r="T264" i="6" s="1"/>
  <c r="U264" i="6" s="1"/>
  <c r="V249" i="6"/>
  <c r="S249" i="6" s="1"/>
  <c r="T249" i="6" s="1"/>
  <c r="U249" i="6" s="1"/>
  <c r="M249" i="6" s="1"/>
  <c r="V207" i="6"/>
  <c r="S207" i="6" s="1"/>
  <c r="O6" i="6"/>
  <c r="V4" i="4" s="1"/>
  <c r="M3" i="6"/>
  <c r="V453" i="6"/>
  <c r="S453" i="6" s="1"/>
  <c r="V423" i="6"/>
  <c r="S423" i="6" s="1"/>
  <c r="V399" i="6"/>
  <c r="S399" i="6" s="1"/>
  <c r="T399" i="6" s="1"/>
  <c r="U399" i="6" s="1"/>
  <c r="V375" i="6"/>
  <c r="S375" i="6" s="1"/>
  <c r="V351" i="6"/>
  <c r="S351" i="6" s="1"/>
  <c r="V327" i="6"/>
  <c r="S327" i="6" s="1"/>
  <c r="T327" i="6" s="1"/>
  <c r="U327" i="6" s="1"/>
  <c r="M327" i="6" s="1"/>
  <c r="V303" i="6"/>
  <c r="S303" i="6" s="1"/>
  <c r="T303" i="6" s="1"/>
  <c r="U303" i="6" s="1"/>
  <c r="M303" i="6" s="1"/>
  <c r="V237" i="6"/>
  <c r="S237" i="6" s="1"/>
  <c r="T237" i="6" s="1"/>
  <c r="U237" i="6" s="1"/>
  <c r="N237" i="6" s="1"/>
  <c r="U60" i="4" s="1"/>
  <c r="V180" i="6"/>
  <c r="S180" i="6" s="1"/>
  <c r="V159" i="6"/>
  <c r="S159" i="6" s="1"/>
  <c r="V135" i="6"/>
  <c r="S135" i="6" s="1"/>
  <c r="V111" i="6"/>
  <c r="S111" i="6" s="1"/>
  <c r="T111" i="6" s="1"/>
  <c r="U111" i="6" s="1"/>
  <c r="V87" i="6"/>
  <c r="S87" i="6" s="1"/>
  <c r="V63" i="6"/>
  <c r="S63" i="6" s="1"/>
  <c r="V39" i="6"/>
  <c r="S39" i="6" s="1"/>
  <c r="T39" i="6" s="1"/>
  <c r="U39" i="6" s="1"/>
  <c r="M39" i="6" s="1"/>
  <c r="V414" i="6"/>
  <c r="S414" i="6" s="1"/>
  <c r="V390" i="6"/>
  <c r="S390" i="6" s="1"/>
  <c r="V426" i="6"/>
  <c r="S426" i="6" s="1"/>
  <c r="T426" i="6" s="1"/>
  <c r="U426" i="6" s="1"/>
  <c r="V402" i="6"/>
  <c r="S402" i="6" s="1"/>
  <c r="V378" i="6"/>
  <c r="S378" i="6" s="1"/>
  <c r="V354" i="6"/>
  <c r="S354" i="6" s="1"/>
  <c r="T354" i="6" s="1"/>
  <c r="U354" i="6" s="1"/>
  <c r="V330" i="6"/>
  <c r="S330" i="6" s="1"/>
  <c r="T330" i="6" s="1"/>
  <c r="U330" i="6" s="1"/>
  <c r="V306" i="6"/>
  <c r="S306" i="6" s="1"/>
  <c r="V213" i="6"/>
  <c r="S213" i="6" s="1"/>
  <c r="V165" i="6"/>
  <c r="S165" i="6" s="1"/>
  <c r="T165" i="6" s="1"/>
  <c r="U165" i="6" s="1"/>
  <c r="O15" i="6"/>
  <c r="V13" i="4" s="1"/>
  <c r="M12" i="6"/>
  <c r="T5" i="4" s="1"/>
  <c r="V447" i="6"/>
  <c r="S447" i="6" s="1"/>
  <c r="V417" i="6"/>
  <c r="S417" i="6" s="1"/>
  <c r="V393" i="6"/>
  <c r="S393" i="6" s="1"/>
  <c r="T393" i="6" s="1"/>
  <c r="U393" i="6" s="1"/>
  <c r="V369" i="6"/>
  <c r="S369" i="6" s="1"/>
  <c r="V345" i="6"/>
  <c r="S345" i="6" s="1"/>
  <c r="T345" i="6" s="1"/>
  <c r="U345" i="6" s="1"/>
  <c r="M345" i="6" s="1"/>
  <c r="V321" i="6"/>
  <c r="S321" i="6" s="1"/>
  <c r="T321" i="6" s="1"/>
  <c r="U321" i="6" s="1"/>
  <c r="M321" i="6" s="1"/>
  <c r="V282" i="6"/>
  <c r="S282" i="6" s="1"/>
  <c r="T282" i="6" s="1"/>
  <c r="U282" i="6" s="1"/>
  <c r="M282" i="6" s="1"/>
  <c r="V270" i="6"/>
  <c r="S270" i="6" s="1"/>
  <c r="T270" i="6" s="1"/>
  <c r="U270" i="6" s="1"/>
  <c r="M270" i="6" s="1"/>
  <c r="V243" i="6"/>
  <c r="S243" i="6" s="1"/>
  <c r="T243" i="6" s="1"/>
  <c r="U243" i="6" s="1"/>
  <c r="V186" i="6"/>
  <c r="S186" i="6" s="1"/>
  <c r="V429" i="6"/>
  <c r="S429" i="6" s="1"/>
  <c r="V285" i="6"/>
  <c r="S285" i="6" s="1"/>
  <c r="T285" i="6" s="1"/>
  <c r="U285" i="6" s="1"/>
  <c r="M285" i="6" s="1"/>
  <c r="V189" i="6"/>
  <c r="S189" i="6" s="1"/>
  <c r="T189" i="6" s="1"/>
  <c r="U189" i="6" s="1"/>
  <c r="O189" i="6" s="1"/>
  <c r="V171" i="6"/>
  <c r="S171" i="6" s="1"/>
  <c r="T171" i="6" s="1"/>
  <c r="U171" i="6" s="1"/>
  <c r="M171" i="6" s="1"/>
  <c r="V147" i="6"/>
  <c r="S147" i="6" s="1"/>
  <c r="T147" i="6" s="1"/>
  <c r="U147" i="6" s="1"/>
  <c r="M147" i="6" s="1"/>
  <c r="T49" i="4" s="1"/>
  <c r="V123" i="6"/>
  <c r="S123" i="6" s="1"/>
  <c r="V258" i="6"/>
  <c r="S258" i="6" s="1"/>
  <c r="V132" i="6"/>
  <c r="S132" i="6" s="1"/>
  <c r="V78" i="6"/>
  <c r="S78" i="6" s="1"/>
  <c r="V60" i="6"/>
  <c r="S60" i="6" s="1"/>
  <c r="V24" i="6"/>
  <c r="S24" i="6" s="1"/>
  <c r="V294" i="6"/>
  <c r="S294" i="6" s="1"/>
  <c r="T294" i="6" s="1"/>
  <c r="U294" i="6" s="1"/>
  <c r="M294" i="6" s="1"/>
  <c r="V195" i="6"/>
  <c r="S195" i="6" s="1"/>
  <c r="T195" i="6" s="1"/>
  <c r="U195" i="6" s="1"/>
  <c r="M195" i="6" s="1"/>
  <c r="V117" i="6"/>
  <c r="S117" i="6" s="1"/>
  <c r="V15" i="6"/>
  <c r="S15" i="6" s="1"/>
  <c r="V267" i="6"/>
  <c r="S267" i="6" s="1"/>
  <c r="T267" i="6" s="1"/>
  <c r="U267" i="6" s="1"/>
  <c r="N267" i="6" s="1"/>
  <c r="V90" i="6"/>
  <c r="S90" i="6" s="1"/>
  <c r="O12" i="6"/>
  <c r="V5" i="4" s="1"/>
  <c r="N3" i="6"/>
  <c r="V405" i="6"/>
  <c r="S405" i="6" s="1"/>
  <c r="V381" i="6"/>
  <c r="S381" i="6" s="1"/>
  <c r="V174" i="6"/>
  <c r="S174" i="6" s="1"/>
  <c r="T174" i="6" s="1"/>
  <c r="U174" i="6" s="1"/>
  <c r="V150" i="6"/>
  <c r="S150" i="6" s="1"/>
  <c r="T150" i="6" s="1"/>
  <c r="U150" i="6" s="1"/>
  <c r="M150" i="6" s="1"/>
  <c r="V99" i="6"/>
  <c r="S99" i="6" s="1"/>
  <c r="V72" i="6"/>
  <c r="S72" i="6" s="1"/>
  <c r="V45" i="6"/>
  <c r="S45" i="6" s="1"/>
  <c r="N12" i="6"/>
  <c r="U5" i="4" s="1"/>
  <c r="V252" i="6"/>
  <c r="S252" i="6" s="1"/>
  <c r="V225" i="6"/>
  <c r="S225" i="6" s="1"/>
  <c r="T225" i="6" s="1"/>
  <c r="U225" i="6" s="1"/>
  <c r="M225" i="6" s="1"/>
  <c r="V210" i="6"/>
  <c r="S210" i="6" s="1"/>
  <c r="T210" i="6" s="1"/>
  <c r="U210" i="6" s="1"/>
  <c r="M210" i="6" s="1"/>
  <c r="T47" i="4" s="1"/>
  <c r="V108" i="6"/>
  <c r="S108" i="6" s="1"/>
  <c r="V357" i="6"/>
  <c r="S357" i="6" s="1"/>
  <c r="V168" i="6"/>
  <c r="S168" i="6" s="1"/>
  <c r="T168" i="6" s="1"/>
  <c r="U168" i="6" s="1"/>
  <c r="O168" i="6" s="1"/>
  <c r="V144" i="6"/>
  <c r="S144" i="6" s="1"/>
  <c r="V18" i="6"/>
  <c r="S18" i="6" s="1"/>
  <c r="V6" i="6"/>
  <c r="S6" i="6" s="1"/>
  <c r="V246" i="6"/>
  <c r="S246" i="6" s="1"/>
  <c r="T246" i="6" s="1"/>
  <c r="U246" i="6" s="1"/>
  <c r="N246" i="6" s="1"/>
  <c r="V198" i="6"/>
  <c r="S198" i="6" s="1"/>
  <c r="T198" i="6" s="1"/>
  <c r="U198" i="6" s="1"/>
  <c r="M198" i="6" s="1"/>
  <c r="V183" i="6"/>
  <c r="S183" i="6" s="1"/>
  <c r="V126" i="6"/>
  <c r="S126" i="6" s="1"/>
  <c r="V54" i="6"/>
  <c r="S54" i="6" s="1"/>
  <c r="V36" i="6"/>
  <c r="S36" i="6" s="1"/>
  <c r="T36" i="6" s="1"/>
  <c r="U36" i="6" s="1"/>
  <c r="O36" i="6" s="1"/>
  <c r="V27" i="6"/>
  <c r="S27" i="6" s="1"/>
  <c r="N15" i="6"/>
  <c r="V333" i="6"/>
  <c r="S333" i="6" s="1"/>
  <c r="V240" i="6"/>
  <c r="S240" i="6" s="1"/>
  <c r="V219" i="6"/>
  <c r="S219" i="6" s="1"/>
  <c r="T219" i="6" s="1"/>
  <c r="U219" i="6" s="1"/>
  <c r="N219" i="6" s="1"/>
  <c r="V93" i="6"/>
  <c r="S93" i="6" s="1"/>
  <c r="M15" i="6"/>
  <c r="T13" i="4" s="1"/>
  <c r="N6" i="6"/>
  <c r="U4" i="4" s="1"/>
  <c r="V162" i="6"/>
  <c r="S162" i="6" s="1"/>
  <c r="V120" i="6"/>
  <c r="S120" i="6" s="1"/>
  <c r="V66" i="6"/>
  <c r="S66" i="6" s="1"/>
  <c r="M6" i="6"/>
  <c r="T4" i="4" s="1"/>
  <c r="V309" i="6"/>
  <c r="S309" i="6" s="1"/>
  <c r="T309" i="6" s="1"/>
  <c r="U309" i="6" s="1"/>
  <c r="M309" i="6" s="1"/>
  <c r="V297" i="6"/>
  <c r="S297" i="6" s="1"/>
  <c r="V138" i="6"/>
  <c r="S138" i="6" s="1"/>
  <c r="T138" i="6" s="1"/>
  <c r="U138" i="6" s="1"/>
  <c r="V75" i="6"/>
  <c r="S75" i="6" s="1"/>
  <c r="T75" i="6" s="1"/>
  <c r="U75" i="6" s="1"/>
  <c r="O75" i="6" s="1"/>
  <c r="V26" i="4" s="1"/>
  <c r="V48" i="6"/>
  <c r="S48" i="6" s="1"/>
  <c r="V366" i="6"/>
  <c r="S366" i="6" s="1"/>
  <c r="V438" i="6"/>
  <c r="S438" i="6" s="1"/>
  <c r="V228" i="6"/>
  <c r="S228" i="6" s="1"/>
  <c r="T228" i="6" s="1"/>
  <c r="U228" i="6" s="1"/>
  <c r="M228" i="6" s="1"/>
  <c r="V114" i="6"/>
  <c r="S114" i="6" s="1"/>
  <c r="V30" i="6"/>
  <c r="S30" i="6" s="1"/>
  <c r="O9" i="6"/>
  <c r="V6" i="4" s="1"/>
  <c r="V342" i="6"/>
  <c r="S342" i="6" s="1"/>
  <c r="T342" i="6" s="1"/>
  <c r="U342" i="6" s="1"/>
  <c r="M342" i="6" s="1"/>
  <c r="V222" i="6"/>
  <c r="S222" i="6" s="1"/>
  <c r="V96" i="6"/>
  <c r="S96" i="6" s="1"/>
  <c r="V69" i="6"/>
  <c r="S69" i="6" s="1"/>
  <c r="N9" i="6"/>
  <c r="U6" i="4" s="1"/>
  <c r="V201" i="6"/>
  <c r="S201" i="6" s="1"/>
  <c r="V156" i="6"/>
  <c r="S156" i="6" s="1"/>
  <c r="V141" i="6"/>
  <c r="S141" i="6" s="1"/>
  <c r="T141" i="6" s="1"/>
  <c r="U141" i="6" s="1"/>
  <c r="M141" i="6" s="1"/>
  <c r="V42" i="6"/>
  <c r="S42" i="6" s="1"/>
  <c r="T42" i="6" s="1"/>
  <c r="U42" i="6" s="1"/>
  <c r="M42" i="6" s="1"/>
  <c r="T16" i="4" s="1"/>
  <c r="V12" i="6"/>
  <c r="S12" i="6" s="1"/>
  <c r="M9" i="6"/>
  <c r="V318" i="6"/>
  <c r="S318" i="6" s="1"/>
  <c r="T318" i="6" s="1"/>
  <c r="U318" i="6" s="1"/>
  <c r="M318" i="6" s="1"/>
  <c r="V279" i="6"/>
  <c r="S279" i="6" s="1"/>
  <c r="T279" i="6" s="1"/>
  <c r="U279" i="6" s="1"/>
  <c r="M279" i="6" s="1"/>
  <c r="V216" i="6"/>
  <c r="S216" i="6" s="1"/>
  <c r="T216" i="6" s="1"/>
  <c r="U216" i="6" s="1"/>
  <c r="V51" i="6"/>
  <c r="S51" i="6" s="1"/>
  <c r="V3" i="6"/>
  <c r="S3" i="6" s="1"/>
  <c r="V255" i="6"/>
  <c r="S255" i="6" s="1"/>
  <c r="V102" i="6"/>
  <c r="S102" i="6" s="1"/>
  <c r="V84" i="6"/>
  <c r="S84" i="6" s="1"/>
  <c r="T84" i="6" s="1"/>
  <c r="U84" i="6" s="1"/>
  <c r="N84" i="6" s="1"/>
  <c r="V21" i="6"/>
  <c r="S21" i="6" s="1"/>
  <c r="V234" i="6"/>
  <c r="S234" i="6" s="1"/>
  <c r="T234" i="6" s="1"/>
  <c r="U234" i="6" s="1"/>
  <c r="K450" i="8"/>
  <c r="K417" i="8"/>
  <c r="K360" i="8"/>
  <c r="K303" i="8"/>
  <c r="K270" i="8"/>
  <c r="K213" i="8"/>
  <c r="K156" i="8"/>
  <c r="K123" i="8"/>
  <c r="K66" i="8"/>
  <c r="K33" i="8"/>
  <c r="K441" i="8"/>
  <c r="K384" i="8"/>
  <c r="K327" i="8"/>
  <c r="K294" i="8"/>
  <c r="K237" i="8"/>
  <c r="K180" i="8"/>
  <c r="K147" i="8"/>
  <c r="K90" i="8"/>
  <c r="K57" i="8"/>
  <c r="K465" i="8"/>
  <c r="K408" i="8"/>
  <c r="K351" i="8"/>
  <c r="K318" i="8"/>
  <c r="K261" i="8"/>
  <c r="K204" i="8"/>
  <c r="K171" i="8"/>
  <c r="K114" i="8"/>
  <c r="K81" i="8"/>
  <c r="K24" i="8"/>
  <c r="K432" i="8"/>
  <c r="K375" i="8"/>
  <c r="K342" i="8"/>
  <c r="K285" i="8"/>
  <c r="K228" i="8"/>
  <c r="K195" i="8"/>
  <c r="K138" i="8"/>
  <c r="K105" i="8"/>
  <c r="K48" i="8"/>
  <c r="K456" i="8"/>
  <c r="K399" i="8"/>
  <c r="K366" i="8"/>
  <c r="K309" i="8"/>
  <c r="K252" i="8"/>
  <c r="K219" i="8"/>
  <c r="K162" i="8"/>
  <c r="K129" i="8"/>
  <c r="K72" i="8"/>
  <c r="K15" i="8"/>
  <c r="K423" i="8"/>
  <c r="K390" i="8"/>
  <c r="K333" i="8"/>
  <c r="K276" i="8"/>
  <c r="K243" i="8"/>
  <c r="K186" i="8"/>
  <c r="K153" i="8"/>
  <c r="K96" i="8"/>
  <c r="K39" i="8"/>
  <c r="K6" i="8"/>
  <c r="K447" i="8"/>
  <c r="K414" i="8"/>
  <c r="K357" i="8"/>
  <c r="K300" i="8"/>
  <c r="K267" i="8"/>
  <c r="K210" i="8"/>
  <c r="K177" i="8"/>
  <c r="K120" i="8"/>
  <c r="K63" i="8"/>
  <c r="K30" i="8"/>
  <c r="K438" i="8"/>
  <c r="K381" i="8"/>
  <c r="K324" i="8"/>
  <c r="K291" i="8"/>
  <c r="K234" i="8"/>
  <c r="K201" i="8"/>
  <c r="K144" i="8"/>
  <c r="K87" i="8"/>
  <c r="K54" i="8"/>
  <c r="K462" i="8"/>
  <c r="K405" i="8"/>
  <c r="K348" i="8"/>
  <c r="K315" i="8"/>
  <c r="K258" i="8"/>
  <c r="K225" i="8"/>
  <c r="K168" i="8"/>
  <c r="K111" i="8"/>
  <c r="K78" i="8"/>
  <c r="K21" i="8"/>
  <c r="K429" i="8"/>
  <c r="K372" i="8"/>
  <c r="K339" i="8"/>
  <c r="K282" i="8"/>
  <c r="K249" i="8"/>
  <c r="K192" i="8"/>
  <c r="K135" i="8"/>
  <c r="K102" i="8"/>
  <c r="K45" i="8"/>
  <c r="K453" i="8"/>
  <c r="K396" i="8"/>
  <c r="K363" i="8"/>
  <c r="K306" i="8"/>
  <c r="K273" i="8"/>
  <c r="K216" i="8"/>
  <c r="K159" i="8"/>
  <c r="K126" i="8"/>
  <c r="AV49" i="4"/>
  <c r="K69" i="8"/>
  <c r="K12" i="8"/>
  <c r="K420" i="8"/>
  <c r="K387" i="8"/>
  <c r="K330" i="8"/>
  <c r="K297" i="8"/>
  <c r="K240" i="8"/>
  <c r="K183" i="8"/>
  <c r="K150" i="8"/>
  <c r="K93" i="8"/>
  <c r="K36" i="8"/>
  <c r="K3" i="8"/>
  <c r="K444" i="8"/>
  <c r="K411" i="8"/>
  <c r="K354" i="8"/>
  <c r="K321" i="8"/>
  <c r="K264" i="8"/>
  <c r="K207" i="8"/>
  <c r="K174" i="8"/>
  <c r="K117" i="8"/>
  <c r="K60" i="8"/>
  <c r="K27" i="8"/>
  <c r="K468" i="8"/>
  <c r="K435" i="8"/>
  <c r="K378" i="8"/>
  <c r="K345" i="8"/>
  <c r="K288" i="8"/>
  <c r="K231" i="8"/>
  <c r="K198" i="8"/>
  <c r="K141" i="8"/>
  <c r="K84" i="8"/>
  <c r="K51" i="8"/>
  <c r="K426" i="8"/>
  <c r="K369" i="8"/>
  <c r="K312" i="8"/>
  <c r="K9" i="8"/>
  <c r="K108" i="8"/>
  <c r="K393" i="8"/>
  <c r="K279" i="8"/>
  <c r="K222" i="8"/>
  <c r="K165" i="8"/>
  <c r="K336" i="8"/>
  <c r="K18" i="8"/>
  <c r="K75" i="8"/>
  <c r="K402" i="8"/>
  <c r="K246" i="8"/>
  <c r="K132" i="8"/>
  <c r="K459" i="8"/>
  <c r="K189" i="8"/>
  <c r="K42" i="8"/>
  <c r="K255" i="8"/>
  <c r="K99" i="8"/>
  <c r="O285" i="5"/>
  <c r="Q279" i="5"/>
  <c r="P258" i="5"/>
  <c r="O237" i="5"/>
  <c r="Q231" i="5"/>
  <c r="P210" i="5"/>
  <c r="O189" i="5"/>
  <c r="Q183" i="5"/>
  <c r="P162" i="5"/>
  <c r="O141" i="5"/>
  <c r="Q135" i="5"/>
  <c r="P114" i="5"/>
  <c r="O93" i="5"/>
  <c r="Q87" i="5"/>
  <c r="Q300" i="5"/>
  <c r="P279" i="5"/>
  <c r="O258" i="5"/>
  <c r="Q252" i="5"/>
  <c r="P231" i="5"/>
  <c r="O210" i="5"/>
  <c r="Q204" i="5"/>
  <c r="P183" i="5"/>
  <c r="O162" i="5"/>
  <c r="Q156" i="5"/>
  <c r="P135" i="5"/>
  <c r="O114" i="5"/>
  <c r="Q108" i="5"/>
  <c r="P87" i="5"/>
  <c r="O66" i="5"/>
  <c r="Q60" i="5"/>
  <c r="H20" i="4" s="1"/>
  <c r="P39" i="5"/>
  <c r="G10" i="4" s="1"/>
  <c r="P300" i="5"/>
  <c r="O279" i="5"/>
  <c r="Q273" i="5"/>
  <c r="P252" i="5"/>
  <c r="O231" i="5"/>
  <c r="Q225" i="5"/>
  <c r="P204" i="5"/>
  <c r="O183" i="5"/>
  <c r="Q177" i="5"/>
  <c r="P156" i="5"/>
  <c r="O135" i="5"/>
  <c r="Q129" i="5"/>
  <c r="P108" i="5"/>
  <c r="O87" i="5"/>
  <c r="Q81" i="5"/>
  <c r="P60" i="5"/>
  <c r="G20" i="4" s="1"/>
  <c r="O39" i="5"/>
  <c r="Q33" i="5"/>
  <c r="P12" i="5"/>
  <c r="P294" i="5"/>
  <c r="O273" i="5"/>
  <c r="Q267" i="5"/>
  <c r="P246" i="5"/>
  <c r="O225" i="5"/>
  <c r="Q219" i="5"/>
  <c r="P198" i="5"/>
  <c r="Q303" i="5"/>
  <c r="Q297" i="5"/>
  <c r="P276" i="5"/>
  <c r="O255" i="5"/>
  <c r="Q249" i="5"/>
  <c r="P228" i="5"/>
  <c r="O207" i="5"/>
  <c r="Q201" i="5"/>
  <c r="P180" i="5"/>
  <c r="O159" i="5"/>
  <c r="Q153" i="5"/>
  <c r="P132" i="5"/>
  <c r="O288" i="5"/>
  <c r="P282" i="5"/>
  <c r="O264" i="5"/>
  <c r="Q258" i="5"/>
  <c r="P240" i="5"/>
  <c r="Q234" i="5"/>
  <c r="O228" i="5"/>
  <c r="O222" i="5"/>
  <c r="P216" i="5"/>
  <c r="O204" i="5"/>
  <c r="O198" i="5"/>
  <c r="Q192" i="5"/>
  <c r="Q180" i="5"/>
  <c r="Q174" i="5"/>
  <c r="P117" i="5"/>
  <c r="P111" i="5"/>
  <c r="P105" i="5"/>
  <c r="P66" i="5"/>
  <c r="O60" i="5"/>
  <c r="Q54" i="5"/>
  <c r="O27" i="5"/>
  <c r="F13" i="4" s="1"/>
  <c r="Q21" i="5"/>
  <c r="O282" i="5"/>
  <c r="O240" i="5"/>
  <c r="P234" i="5"/>
  <c r="O216" i="5"/>
  <c r="Q210" i="5"/>
  <c r="P192" i="5"/>
  <c r="Q186" i="5"/>
  <c r="O180" i="5"/>
  <c r="P174" i="5"/>
  <c r="O117" i="5"/>
  <c r="O111" i="5"/>
  <c r="O105" i="5"/>
  <c r="Q99" i="5"/>
  <c r="P54" i="5"/>
  <c r="P21" i="5"/>
  <c r="O234" i="5"/>
  <c r="O192" i="5"/>
  <c r="P186" i="5"/>
  <c r="O174" i="5"/>
  <c r="Q168" i="5"/>
  <c r="Q150" i="5"/>
  <c r="P99" i="5"/>
  <c r="O54" i="5"/>
  <c r="Q48" i="5"/>
  <c r="O21" i="5"/>
  <c r="Q15" i="5"/>
  <c r="H7" i="4" s="1"/>
  <c r="O186" i="5"/>
  <c r="P168" i="5"/>
  <c r="O156" i="5"/>
  <c r="P150" i="5"/>
  <c r="O99" i="5"/>
  <c r="Q93" i="5"/>
  <c r="P81" i="5"/>
  <c r="P48" i="5"/>
  <c r="P15" i="5"/>
  <c r="G7" i="4" s="1"/>
  <c r="Q9" i="5"/>
  <c r="O168" i="5"/>
  <c r="Q162" i="5"/>
  <c r="O150" i="5"/>
  <c r="Q144" i="5"/>
  <c r="Q132" i="5"/>
  <c r="Q126" i="5"/>
  <c r="P93" i="5"/>
  <c r="O81" i="5"/>
  <c r="Q75" i="5"/>
  <c r="O48" i="5"/>
  <c r="Q42" i="5"/>
  <c r="H14" i="4" s="1"/>
  <c r="Q36" i="5"/>
  <c r="O15" i="5"/>
  <c r="F7" i="4" s="1"/>
  <c r="P9" i="5"/>
  <c r="Q306" i="5"/>
  <c r="P297" i="5"/>
  <c r="Q291" i="5"/>
  <c r="P144" i="5"/>
  <c r="Q138" i="5"/>
  <c r="O132" i="5"/>
  <c r="P126" i="5"/>
  <c r="P75" i="5"/>
  <c r="P42" i="5"/>
  <c r="G14" i="4" s="1"/>
  <c r="P36" i="5"/>
  <c r="Q30" i="5"/>
  <c r="O9" i="5"/>
  <c r="Q3" i="5"/>
  <c r="H3" i="4" s="1"/>
  <c r="P306" i="5"/>
  <c r="O297" i="5"/>
  <c r="P291" i="5"/>
  <c r="P273" i="5"/>
  <c r="P267" i="5"/>
  <c r="P249" i="5"/>
  <c r="Q243" i="5"/>
  <c r="O144" i="5"/>
  <c r="P138" i="5"/>
  <c r="O126" i="5"/>
  <c r="Q120" i="5"/>
  <c r="O75" i="5"/>
  <c r="Q69" i="5"/>
  <c r="O42" i="5"/>
  <c r="O36" i="5"/>
  <c r="P30" i="5"/>
  <c r="G12" i="4" s="1"/>
  <c r="P3" i="5"/>
  <c r="G3" i="4" s="1"/>
  <c r="O306" i="5"/>
  <c r="O291" i="5"/>
  <c r="Q285" i="5"/>
  <c r="O267" i="5"/>
  <c r="Q261" i="5"/>
  <c r="P303" i="5"/>
  <c r="P285" i="5"/>
  <c r="P261" i="5"/>
  <c r="P255" i="5"/>
  <c r="O243" i="5"/>
  <c r="Q237" i="5"/>
  <c r="O219" i="5"/>
  <c r="Q213" i="5"/>
  <c r="Q207" i="5"/>
  <c r="O201" i="5"/>
  <c r="P195" i="5"/>
  <c r="P177" i="5"/>
  <c r="O120" i="5"/>
  <c r="Q114" i="5"/>
  <c r="O108" i="5"/>
  <c r="Q102" i="5"/>
  <c r="O69" i="5"/>
  <c r="F24" i="4" s="1"/>
  <c r="P63" i="5"/>
  <c r="G26" i="4" s="1"/>
  <c r="P57" i="5"/>
  <c r="G21" i="4" s="1"/>
  <c r="P24" i="5"/>
  <c r="G11" i="4" s="1"/>
  <c r="O303" i="5"/>
  <c r="O261" i="5"/>
  <c r="P237" i="5"/>
  <c r="P213" i="5"/>
  <c r="P207" i="5"/>
  <c r="O195" i="5"/>
  <c r="Q189" i="5"/>
  <c r="O177" i="5"/>
  <c r="Q171" i="5"/>
  <c r="P102" i="5"/>
  <c r="G33" i="4" s="1"/>
  <c r="O63" i="5"/>
  <c r="F26" i="4" s="1"/>
  <c r="O57" i="5"/>
  <c r="Q51" i="5"/>
  <c r="O24" i="5"/>
  <c r="F11" i="4" s="1"/>
  <c r="Q18" i="5"/>
  <c r="O171" i="5"/>
  <c r="Q165" i="5"/>
  <c r="Q159" i="5"/>
  <c r="O153" i="5"/>
  <c r="Q147" i="5"/>
  <c r="P96" i="5"/>
  <c r="Q90" i="5"/>
  <c r="P84" i="5"/>
  <c r="Q78" i="5"/>
  <c r="H31" i="4" s="1"/>
  <c r="O51" i="5"/>
  <c r="Q45" i="5"/>
  <c r="O18" i="5"/>
  <c r="Q12" i="5"/>
  <c r="P165" i="5"/>
  <c r="P159" i="5"/>
  <c r="P147" i="5"/>
  <c r="P129" i="5"/>
  <c r="O96" i="5"/>
  <c r="P90" i="5"/>
  <c r="O84" i="5"/>
  <c r="P78" i="5"/>
  <c r="P45" i="5"/>
  <c r="O12" i="5"/>
  <c r="F5" i="4" s="1"/>
  <c r="Q6" i="5"/>
  <c r="Q294" i="5"/>
  <c r="Q270" i="5"/>
  <c r="O165" i="5"/>
  <c r="O147" i="5"/>
  <c r="Q141" i="5"/>
  <c r="O129" i="5"/>
  <c r="Q123" i="5"/>
  <c r="O90" i="5"/>
  <c r="O78" i="5"/>
  <c r="Q72" i="5"/>
  <c r="O45" i="5"/>
  <c r="Q39" i="5"/>
  <c r="P33" i="5"/>
  <c r="P6" i="5"/>
  <c r="O300" i="5"/>
  <c r="O294" i="5"/>
  <c r="Q288" i="5"/>
  <c r="Q276" i="5"/>
  <c r="P270" i="5"/>
  <c r="Q264" i="5"/>
  <c r="Q246" i="5"/>
  <c r="Q222" i="5"/>
  <c r="P141" i="5"/>
  <c r="P123" i="5"/>
  <c r="P72" i="5"/>
  <c r="O33" i="5"/>
  <c r="Q27" i="5"/>
  <c r="H13" i="4" s="1"/>
  <c r="O6" i="5"/>
  <c r="P288" i="5"/>
  <c r="Q282" i="5"/>
  <c r="O276" i="5"/>
  <c r="O270" i="5"/>
  <c r="P264" i="5"/>
  <c r="O252" i="5"/>
  <c r="O246" i="5"/>
  <c r="Q240" i="5"/>
  <c r="Q228" i="5"/>
  <c r="P222" i="5"/>
  <c r="Q216" i="5"/>
  <c r="Q198" i="5"/>
  <c r="O123" i="5"/>
  <c r="Q117" i="5"/>
  <c r="Q111" i="5"/>
  <c r="Q105" i="5"/>
  <c r="O72" i="5"/>
  <c r="Q66" i="5"/>
  <c r="P27" i="5"/>
  <c r="G13" i="4" s="1"/>
  <c r="P243" i="5"/>
  <c r="P120" i="5"/>
  <c r="P51" i="5"/>
  <c r="P219" i="5"/>
  <c r="P189" i="5"/>
  <c r="Q96" i="5"/>
  <c r="O249" i="5"/>
  <c r="Q57" i="5"/>
  <c r="P225" i="5"/>
  <c r="Q195" i="5"/>
  <c r="O102" i="5"/>
  <c r="O3" i="5"/>
  <c r="F3" i="4" s="1"/>
  <c r="Q255" i="5"/>
  <c r="P18" i="5"/>
  <c r="P171" i="5"/>
  <c r="Q63" i="5"/>
  <c r="H26" i="4" s="1"/>
  <c r="P201" i="5"/>
  <c r="Q24" i="5"/>
  <c r="H11" i="4" s="1"/>
  <c r="P69" i="5"/>
  <c r="G24" i="4" s="1"/>
  <c r="O138" i="5"/>
  <c r="Q84" i="5"/>
  <c r="H29" i="4" s="1"/>
  <c r="O213" i="5"/>
  <c r="P153" i="5"/>
  <c r="O30" i="5"/>
  <c r="V633" i="7"/>
  <c r="S633" i="7" s="1"/>
  <c r="V609" i="7"/>
  <c r="S609" i="7" s="1"/>
  <c r="V585" i="7"/>
  <c r="S585" i="7" s="1"/>
  <c r="V561" i="7"/>
  <c r="S561" i="7" s="1"/>
  <c r="V537" i="7"/>
  <c r="S537" i="7" s="1"/>
  <c r="V513" i="7"/>
  <c r="S513" i="7" s="1"/>
  <c r="V489" i="7"/>
  <c r="S489" i="7" s="1"/>
  <c r="T489" i="7" s="1"/>
  <c r="U489" i="7" s="1"/>
  <c r="O489" i="7" s="1"/>
  <c r="V465" i="7"/>
  <c r="S465" i="7" s="1"/>
  <c r="T465" i="7" s="1"/>
  <c r="U465" i="7" s="1"/>
  <c r="N465" i="7" s="1"/>
  <c r="V441" i="7"/>
  <c r="S441" i="7" s="1"/>
  <c r="T441" i="7" s="1"/>
  <c r="U441" i="7" s="1"/>
  <c r="O441" i="7" s="1"/>
  <c r="V627" i="7"/>
  <c r="S627" i="7" s="1"/>
  <c r="V606" i="7"/>
  <c r="S606" i="7" s="1"/>
  <c r="V546" i="7"/>
  <c r="S546" i="7" s="1"/>
  <c r="V567" i="7"/>
  <c r="S567" i="7" s="1"/>
  <c r="T567" i="7" s="1"/>
  <c r="U567" i="7" s="1"/>
  <c r="N567" i="7" s="1"/>
  <c r="V507" i="7"/>
  <c r="S507" i="7" s="1"/>
  <c r="T507" i="7" s="1"/>
  <c r="U507" i="7" s="1"/>
  <c r="N507" i="7" s="1"/>
  <c r="V486" i="7"/>
  <c r="S486" i="7" s="1"/>
  <c r="T486" i="7" s="1"/>
  <c r="U486" i="7" s="1"/>
  <c r="N486" i="7" s="1"/>
  <c r="V426" i="7"/>
  <c r="S426" i="7" s="1"/>
  <c r="T426" i="7" s="1"/>
  <c r="U426" i="7" s="1"/>
  <c r="V402" i="7"/>
  <c r="S402" i="7" s="1"/>
  <c r="T402" i="7" s="1"/>
  <c r="U402" i="7" s="1"/>
  <c r="M402" i="7" s="1"/>
  <c r="O696" i="7"/>
  <c r="V588" i="7"/>
  <c r="S588" i="7" s="1"/>
  <c r="V549" i="7"/>
  <c r="S549" i="7" s="1"/>
  <c r="V528" i="7"/>
  <c r="S528" i="7" s="1"/>
  <c r="V447" i="7"/>
  <c r="S447" i="7" s="1"/>
  <c r="N696" i="7"/>
  <c r="V630" i="7"/>
  <c r="S630" i="7" s="1"/>
  <c r="M696" i="7"/>
  <c r="V591" i="7"/>
  <c r="S591" i="7" s="1"/>
  <c r="V531" i="7"/>
  <c r="S531" i="7" s="1"/>
  <c r="V510" i="7"/>
  <c r="S510" i="7" s="1"/>
  <c r="T510" i="7" s="1"/>
  <c r="U510" i="7" s="1"/>
  <c r="O510" i="7" s="1"/>
  <c r="V450" i="7"/>
  <c r="S450" i="7" s="1"/>
  <c r="T450" i="7" s="1"/>
  <c r="U450" i="7" s="1"/>
  <c r="M450" i="7" s="1"/>
  <c r="V612" i="7"/>
  <c r="S612" i="7" s="1"/>
  <c r="V573" i="7"/>
  <c r="S573" i="7" s="1"/>
  <c r="T573" i="7" s="1"/>
  <c r="U573" i="7" s="1"/>
  <c r="M573" i="7" s="1"/>
  <c r="V552" i="7"/>
  <c r="S552" i="7" s="1"/>
  <c r="V471" i="7"/>
  <c r="S471" i="7" s="1"/>
  <c r="T471" i="7" s="1"/>
  <c r="U471" i="7" s="1"/>
  <c r="M471" i="7" s="1"/>
  <c r="V408" i="7"/>
  <c r="S408" i="7" s="1"/>
  <c r="T408" i="7" s="1"/>
  <c r="U408" i="7" s="1"/>
  <c r="N408" i="7" s="1"/>
  <c r="V384" i="7"/>
  <c r="S384" i="7" s="1"/>
  <c r="T384" i="7" s="1"/>
  <c r="U384" i="7" s="1"/>
  <c r="O384" i="7" s="1"/>
  <c r="V615" i="7"/>
  <c r="S615" i="7" s="1"/>
  <c r="V555" i="7"/>
  <c r="S555" i="7" s="1"/>
  <c r="V534" i="7"/>
  <c r="S534" i="7" s="1"/>
  <c r="V474" i="7"/>
  <c r="S474" i="7" s="1"/>
  <c r="T474" i="7" s="1"/>
  <c r="U474" i="7" s="1"/>
  <c r="O474" i="7" s="1"/>
  <c r="V411" i="7"/>
  <c r="S411" i="7" s="1"/>
  <c r="T411" i="7" s="1"/>
  <c r="U411" i="7" s="1"/>
  <c r="M411" i="7" s="1"/>
  <c r="V387" i="7"/>
  <c r="S387" i="7" s="1"/>
  <c r="T387" i="7" s="1"/>
  <c r="U387" i="7" s="1"/>
  <c r="N387" i="7" s="1"/>
  <c r="V636" i="7"/>
  <c r="S636" i="7" s="1"/>
  <c r="V597" i="7"/>
  <c r="S597" i="7" s="1"/>
  <c r="V576" i="7"/>
  <c r="S576" i="7" s="1"/>
  <c r="V495" i="7"/>
  <c r="S495" i="7" s="1"/>
  <c r="V618" i="7"/>
  <c r="S618" i="7" s="1"/>
  <c r="V639" i="7"/>
  <c r="S639" i="7" s="1"/>
  <c r="V579" i="7"/>
  <c r="S579" i="7" s="1"/>
  <c r="V558" i="7"/>
  <c r="S558" i="7" s="1"/>
  <c r="O693" i="7"/>
  <c r="V621" i="7"/>
  <c r="S621" i="7" s="1"/>
  <c r="V600" i="7"/>
  <c r="S600" i="7" s="1"/>
  <c r="V519" i="7"/>
  <c r="S519" i="7" s="1"/>
  <c r="N693" i="7"/>
  <c r="V570" i="7"/>
  <c r="S570" i="7" s="1"/>
  <c r="T570" i="7" s="1"/>
  <c r="U570" i="7" s="1"/>
  <c r="M570" i="7" s="1"/>
  <c r="V501" i="7"/>
  <c r="S501" i="7" s="1"/>
  <c r="T501" i="7" s="1"/>
  <c r="U501" i="7" s="1"/>
  <c r="O501" i="7" s="1"/>
  <c r="V417" i="7"/>
  <c r="S417" i="7" s="1"/>
  <c r="V393" i="7"/>
  <c r="S393" i="7" s="1"/>
  <c r="T393" i="7" s="1"/>
  <c r="U393" i="7" s="1"/>
  <c r="O393" i="7" s="1"/>
  <c r="V378" i="7"/>
  <c r="S378" i="7" s="1"/>
  <c r="T378" i="7" s="1"/>
  <c r="U378" i="7" s="1"/>
  <c r="N378" i="7" s="1"/>
  <c r="V360" i="7"/>
  <c r="S360" i="7" s="1"/>
  <c r="V339" i="7"/>
  <c r="S339" i="7" s="1"/>
  <c r="V315" i="7"/>
  <c r="S315" i="7" s="1"/>
  <c r="V291" i="7"/>
  <c r="S291" i="7" s="1"/>
  <c r="T291" i="7" s="1"/>
  <c r="U291" i="7" s="1"/>
  <c r="M291" i="7" s="1"/>
  <c r="V267" i="7"/>
  <c r="S267" i="7" s="1"/>
  <c r="V243" i="7"/>
  <c r="S243" i="7" s="1"/>
  <c r="T243" i="7" s="1"/>
  <c r="U243" i="7" s="1"/>
  <c r="M243" i="7" s="1"/>
  <c r="AH65" i="4" s="1"/>
  <c r="V219" i="7"/>
  <c r="S219" i="7" s="1"/>
  <c r="T219" i="7" s="1"/>
  <c r="U219" i="7" s="1"/>
  <c r="V195" i="7"/>
  <c r="S195" i="7" s="1"/>
  <c r="T195" i="7" s="1"/>
  <c r="U195" i="7" s="1"/>
  <c r="N195" i="7" s="1"/>
  <c r="V171" i="7"/>
  <c r="S171" i="7" s="1"/>
  <c r="T171" i="7" s="1"/>
  <c r="U171" i="7" s="1"/>
  <c r="M171" i="7" s="1"/>
  <c r="V147" i="7"/>
  <c r="S147" i="7" s="1"/>
  <c r="T147" i="7" s="1"/>
  <c r="U147" i="7" s="1"/>
  <c r="N147" i="7" s="1"/>
  <c r="V516" i="7"/>
  <c r="S516" i="7" s="1"/>
  <c r="V540" i="7"/>
  <c r="S540" i="7" s="1"/>
  <c r="V462" i="7"/>
  <c r="S462" i="7" s="1"/>
  <c r="T462" i="7" s="1"/>
  <c r="U462" i="7" s="1"/>
  <c r="N462" i="7" s="1"/>
  <c r="V363" i="7"/>
  <c r="S363" i="7" s="1"/>
  <c r="V342" i="7"/>
  <c r="S342" i="7" s="1"/>
  <c r="V318" i="7"/>
  <c r="S318" i="7" s="1"/>
  <c r="V294" i="7"/>
  <c r="S294" i="7" s="1"/>
  <c r="T294" i="7" s="1"/>
  <c r="U294" i="7" s="1"/>
  <c r="O294" i="7" s="1"/>
  <c r="V270" i="7"/>
  <c r="S270" i="7" s="1"/>
  <c r="V246" i="7"/>
  <c r="S246" i="7" s="1"/>
  <c r="V564" i="7"/>
  <c r="S564" i="7" s="1"/>
  <c r="T564" i="7" s="1"/>
  <c r="U564" i="7" s="1"/>
  <c r="M564" i="7" s="1"/>
  <c r="V525" i="7"/>
  <c r="S525" i="7" s="1"/>
  <c r="V483" i="7"/>
  <c r="S483" i="7" s="1"/>
  <c r="T483" i="7" s="1"/>
  <c r="U483" i="7" s="1"/>
  <c r="M483" i="7" s="1"/>
  <c r="V405" i="7"/>
  <c r="S405" i="7" s="1"/>
  <c r="T405" i="7" s="1"/>
  <c r="U405" i="7" s="1"/>
  <c r="N405" i="7" s="1"/>
  <c r="V396" i="7"/>
  <c r="S396" i="7" s="1"/>
  <c r="T396" i="7" s="1"/>
  <c r="U396" i="7" s="1"/>
  <c r="O396" i="7" s="1"/>
  <c r="O24" i="7"/>
  <c r="M21" i="7"/>
  <c r="AH8" i="4" s="1"/>
  <c r="M693" i="7"/>
  <c r="V492" i="7"/>
  <c r="S492" i="7" s="1"/>
  <c r="T492" i="7" s="1"/>
  <c r="U492" i="7" s="1"/>
  <c r="O492" i="7" s="1"/>
  <c r="V429" i="7"/>
  <c r="S429" i="7" s="1"/>
  <c r="V420" i="7"/>
  <c r="S420" i="7" s="1"/>
  <c r="T420" i="7" s="1"/>
  <c r="U420" i="7" s="1"/>
  <c r="O420" i="7" s="1"/>
  <c r="V381" i="7"/>
  <c r="S381" i="7" s="1"/>
  <c r="T381" i="7" s="1"/>
  <c r="U381" i="7" s="1"/>
  <c r="N381" i="7" s="1"/>
  <c r="V366" i="7"/>
  <c r="S366" i="7" s="1"/>
  <c r="V345" i="7"/>
  <c r="S345" i="7" s="1"/>
  <c r="V321" i="7"/>
  <c r="S321" i="7" s="1"/>
  <c r="T321" i="7" s="1"/>
  <c r="U321" i="7" s="1"/>
  <c r="M321" i="7" s="1"/>
  <c r="V297" i="7"/>
  <c r="S297" i="7" s="1"/>
  <c r="T297" i="7" s="1"/>
  <c r="U297" i="7" s="1"/>
  <c r="N297" i="7" s="1"/>
  <c r="V273" i="7"/>
  <c r="S273" i="7" s="1"/>
  <c r="T273" i="7" s="1"/>
  <c r="U273" i="7" s="1"/>
  <c r="O273" i="7" s="1"/>
  <c r="V594" i="7"/>
  <c r="S594" i="7" s="1"/>
  <c r="V453" i="7"/>
  <c r="S453" i="7" s="1"/>
  <c r="V369" i="7"/>
  <c r="S369" i="7" s="1"/>
  <c r="V348" i="7"/>
  <c r="S348" i="7" s="1"/>
  <c r="V324" i="7"/>
  <c r="S324" i="7" s="1"/>
  <c r="T324" i="7" s="1"/>
  <c r="U324" i="7" s="1"/>
  <c r="M324" i="7" s="1"/>
  <c r="V300" i="7"/>
  <c r="S300" i="7" s="1"/>
  <c r="V276" i="7"/>
  <c r="S276" i="7" s="1"/>
  <c r="T276" i="7" s="1"/>
  <c r="U276" i="7" s="1"/>
  <c r="O276" i="7" s="1"/>
  <c r="V252" i="7"/>
  <c r="S252" i="7" s="1"/>
  <c r="T252" i="7" s="1"/>
  <c r="U252" i="7" s="1"/>
  <c r="O252" i="7" s="1"/>
  <c r="V228" i="7"/>
  <c r="S228" i="7" s="1"/>
  <c r="T228" i="7" s="1"/>
  <c r="U228" i="7" s="1"/>
  <c r="O228" i="7" s="1"/>
  <c r="V204" i="7"/>
  <c r="S204" i="7" s="1"/>
  <c r="T204" i="7" s="1"/>
  <c r="U204" i="7" s="1"/>
  <c r="O204" i="7" s="1"/>
  <c r="V603" i="7"/>
  <c r="S603" i="7" s="1"/>
  <c r="V543" i="7"/>
  <c r="S543" i="7" s="1"/>
  <c r="T543" i="7" s="1"/>
  <c r="U543" i="7" s="1"/>
  <c r="O543" i="7" s="1"/>
  <c r="M27" i="7"/>
  <c r="AH13" i="4" s="1"/>
  <c r="O6" i="7"/>
  <c r="AJ3" i="4" s="1"/>
  <c r="M3" i="7"/>
  <c r="V582" i="7"/>
  <c r="S582" i="7" s="1"/>
  <c r="V477" i="7"/>
  <c r="S477" i="7" s="1"/>
  <c r="T477" i="7" s="1"/>
  <c r="U477" i="7" s="1"/>
  <c r="O477" i="7" s="1"/>
  <c r="V456" i="7"/>
  <c r="S456" i="7" s="1"/>
  <c r="T456" i="7" s="1"/>
  <c r="U456" i="7" s="1"/>
  <c r="N456" i="7" s="1"/>
  <c r="V435" i="7"/>
  <c r="S435" i="7" s="1"/>
  <c r="V423" i="7"/>
  <c r="S423" i="7" s="1"/>
  <c r="T423" i="7" s="1"/>
  <c r="U423" i="7" s="1"/>
  <c r="V330" i="7"/>
  <c r="S330" i="7" s="1"/>
  <c r="V306" i="7"/>
  <c r="S306" i="7" s="1"/>
  <c r="T306" i="7" s="1"/>
  <c r="U306" i="7" s="1"/>
  <c r="O306" i="7" s="1"/>
  <c r="V282" i="7"/>
  <c r="S282" i="7" s="1"/>
  <c r="T282" i="7" s="1"/>
  <c r="U282" i="7" s="1"/>
  <c r="N282" i="7" s="1"/>
  <c r="V354" i="7"/>
  <c r="S354" i="7" s="1"/>
  <c r="T354" i="7" s="1"/>
  <c r="U354" i="7" s="1"/>
  <c r="O354" i="7" s="1"/>
  <c r="V522" i="7"/>
  <c r="S522" i="7" s="1"/>
  <c r="V498" i="7"/>
  <c r="S498" i="7" s="1"/>
  <c r="V414" i="7"/>
  <c r="S414" i="7" s="1"/>
  <c r="T414" i="7" s="1"/>
  <c r="U414" i="7" s="1"/>
  <c r="N414" i="7" s="1"/>
  <c r="V333" i="7"/>
  <c r="S333" i="7" s="1"/>
  <c r="T333" i="7" s="1"/>
  <c r="U333" i="7" s="1"/>
  <c r="M333" i="7" s="1"/>
  <c r="V309" i="7"/>
  <c r="S309" i="7" s="1"/>
  <c r="V285" i="7"/>
  <c r="S285" i="7" s="1"/>
  <c r="T285" i="7" s="1"/>
  <c r="U285" i="7" s="1"/>
  <c r="O285" i="7" s="1"/>
  <c r="V261" i="7"/>
  <c r="S261" i="7" s="1"/>
  <c r="T261" i="7" s="1"/>
  <c r="U261" i="7" s="1"/>
  <c r="O261" i="7" s="1"/>
  <c r="V468" i="7"/>
  <c r="S468" i="7" s="1"/>
  <c r="T468" i="7" s="1"/>
  <c r="U468" i="7" s="1"/>
  <c r="O468" i="7" s="1"/>
  <c r="V459" i="7"/>
  <c r="S459" i="7" s="1"/>
  <c r="T459" i="7" s="1"/>
  <c r="U459" i="7" s="1"/>
  <c r="N459" i="7" s="1"/>
  <c r="V390" i="7"/>
  <c r="S390" i="7" s="1"/>
  <c r="T390" i="7" s="1"/>
  <c r="U390" i="7" s="1"/>
  <c r="M390" i="7" s="1"/>
  <c r="V375" i="7"/>
  <c r="S375" i="7" s="1"/>
  <c r="T375" i="7" s="1"/>
  <c r="U375" i="7" s="1"/>
  <c r="O375" i="7" s="1"/>
  <c r="V372" i="7"/>
  <c r="S372" i="7" s="1"/>
  <c r="T372" i="7" s="1"/>
  <c r="U372" i="7" s="1"/>
  <c r="O372" i="7" s="1"/>
  <c r="V249" i="7"/>
  <c r="S249" i="7" s="1"/>
  <c r="V156" i="7"/>
  <c r="S156" i="7" s="1"/>
  <c r="T156" i="7" s="1"/>
  <c r="U156" i="7" s="1"/>
  <c r="O156" i="7" s="1"/>
  <c r="V66" i="7"/>
  <c r="S66" i="7" s="1"/>
  <c r="O18" i="7"/>
  <c r="AJ7" i="4" s="1"/>
  <c r="M15" i="7"/>
  <c r="AH10" i="4" s="1"/>
  <c r="V189" i="7"/>
  <c r="S189" i="7" s="1"/>
  <c r="V129" i="7"/>
  <c r="S129" i="7" s="1"/>
  <c r="V120" i="7"/>
  <c r="S120" i="7" s="1"/>
  <c r="V39" i="7"/>
  <c r="S39" i="7" s="1"/>
  <c r="V24" i="7"/>
  <c r="S24" i="7" s="1"/>
  <c r="N18" i="7"/>
  <c r="AI7" i="4" s="1"/>
  <c r="V6" i="7"/>
  <c r="S6" i="7" s="1"/>
  <c r="V303" i="7"/>
  <c r="S303" i="7" s="1"/>
  <c r="T303" i="7" s="1"/>
  <c r="U303" i="7" s="1"/>
  <c r="O303" i="7" s="1"/>
  <c r="V264" i="7"/>
  <c r="S264" i="7" s="1"/>
  <c r="T264" i="7" s="1"/>
  <c r="U264" i="7" s="1"/>
  <c r="V258" i="7"/>
  <c r="S258" i="7" s="1"/>
  <c r="T258" i="7" s="1"/>
  <c r="U258" i="7" s="1"/>
  <c r="N258" i="7" s="1"/>
  <c r="V141" i="7"/>
  <c r="S141" i="7" s="1"/>
  <c r="V99" i="7"/>
  <c r="S99" i="7" s="1"/>
  <c r="V42" i="7"/>
  <c r="S42" i="7" s="1"/>
  <c r="O21" i="7"/>
  <c r="O3" i="7"/>
  <c r="V279" i="7"/>
  <c r="S279" i="7" s="1"/>
  <c r="T279" i="7" s="1"/>
  <c r="U279" i="7" s="1"/>
  <c r="N279" i="7" s="1"/>
  <c r="V237" i="7"/>
  <c r="S237" i="7" s="1"/>
  <c r="T237" i="7" s="1"/>
  <c r="U237" i="7" s="1"/>
  <c r="O237" i="7" s="1"/>
  <c r="AJ77" i="4" s="1"/>
  <c r="V198" i="7"/>
  <c r="S198" i="7" s="1"/>
  <c r="T198" i="7" s="1"/>
  <c r="U198" i="7" s="1"/>
  <c r="N198" i="7" s="1"/>
  <c r="V183" i="7"/>
  <c r="S183" i="7" s="1"/>
  <c r="V78" i="7"/>
  <c r="S78" i="7" s="1"/>
  <c r="V69" i="7"/>
  <c r="S69" i="7" s="1"/>
  <c r="V54" i="7"/>
  <c r="S54" i="7" s="1"/>
  <c r="N21" i="7"/>
  <c r="AI8" i="4" s="1"/>
  <c r="V9" i="7"/>
  <c r="S9" i="7" s="1"/>
  <c r="N3" i="7"/>
  <c r="AI4" i="4" s="1"/>
  <c r="V207" i="7"/>
  <c r="S207" i="7" s="1"/>
  <c r="V174" i="7"/>
  <c r="S174" i="7" s="1"/>
  <c r="T174" i="7" s="1"/>
  <c r="U174" i="7" s="1"/>
  <c r="N174" i="7" s="1"/>
  <c r="V159" i="7"/>
  <c r="S159" i="7" s="1"/>
  <c r="T159" i="7" s="1"/>
  <c r="U159" i="7" s="1"/>
  <c r="M159" i="7" s="1"/>
  <c r="AH56" i="4" s="1"/>
  <c r="V132" i="7"/>
  <c r="S132" i="7" s="1"/>
  <c r="V27" i="7"/>
  <c r="S27" i="7" s="1"/>
  <c r="V222" i="7"/>
  <c r="S222" i="7" s="1"/>
  <c r="T222" i="7" s="1"/>
  <c r="U222" i="7" s="1"/>
  <c r="O222" i="7" s="1"/>
  <c r="V150" i="7"/>
  <c r="S150" i="7" s="1"/>
  <c r="T150" i="7" s="1"/>
  <c r="U150" i="7" s="1"/>
  <c r="M150" i="7" s="1"/>
  <c r="V114" i="7"/>
  <c r="S114" i="7" s="1"/>
  <c r="V45" i="7"/>
  <c r="S45" i="7" s="1"/>
  <c r="N24" i="7"/>
  <c r="N6" i="7"/>
  <c r="AI3" i="4" s="1"/>
  <c r="V399" i="7"/>
  <c r="S399" i="7" s="1"/>
  <c r="T399" i="7" s="1"/>
  <c r="U399" i="7" s="1"/>
  <c r="O399" i="7" s="1"/>
  <c r="V336" i="7"/>
  <c r="S336" i="7" s="1"/>
  <c r="T336" i="7" s="1"/>
  <c r="U336" i="7" s="1"/>
  <c r="N336" i="7" s="1"/>
  <c r="V231" i="7"/>
  <c r="S231" i="7" s="1"/>
  <c r="T231" i="7" s="1"/>
  <c r="U231" i="7" s="1"/>
  <c r="M231" i="7" s="1"/>
  <c r="V123" i="7"/>
  <c r="S123" i="7" s="1"/>
  <c r="V93" i="7"/>
  <c r="S93" i="7" s="1"/>
  <c r="M24" i="7"/>
  <c r="V12" i="7"/>
  <c r="S12" i="7" s="1"/>
  <c r="M6" i="7"/>
  <c r="AH3" i="4" s="1"/>
  <c r="V192" i="7"/>
  <c r="S192" i="7" s="1"/>
  <c r="T192" i="7" s="1"/>
  <c r="U192" i="7" s="1"/>
  <c r="O192" i="7" s="1"/>
  <c r="V102" i="7"/>
  <c r="S102" i="7" s="1"/>
  <c r="V81" i="7"/>
  <c r="S81" i="7" s="1"/>
  <c r="V57" i="7"/>
  <c r="S57" i="7" s="1"/>
  <c r="O9" i="7"/>
  <c r="AJ5" i="4" s="1"/>
  <c r="V624" i="7"/>
  <c r="S624" i="7" s="1"/>
  <c r="V216" i="7"/>
  <c r="S216" i="7" s="1"/>
  <c r="T216" i="7" s="1"/>
  <c r="U216" i="7" s="1"/>
  <c r="N216" i="7" s="1"/>
  <c r="AI58" i="4" s="1"/>
  <c r="V168" i="7"/>
  <c r="S168" i="7" s="1"/>
  <c r="T168" i="7" s="1"/>
  <c r="U168" i="7" s="1"/>
  <c r="N168" i="7" s="1"/>
  <c r="AI66" i="4" s="1"/>
  <c r="V135" i="7"/>
  <c r="S135" i="7" s="1"/>
  <c r="V72" i="7"/>
  <c r="S72" i="7" s="1"/>
  <c r="V30" i="7"/>
  <c r="S30" i="7" s="1"/>
  <c r="O27" i="7"/>
  <c r="V15" i="7"/>
  <c r="S15" i="7" s="1"/>
  <c r="N9" i="7"/>
  <c r="AI5" i="4" s="1"/>
  <c r="V351" i="7"/>
  <c r="S351" i="7" s="1"/>
  <c r="T351" i="7" s="1"/>
  <c r="U351" i="7" s="1"/>
  <c r="O351" i="7" s="1"/>
  <c r="V201" i="7"/>
  <c r="S201" i="7" s="1"/>
  <c r="T201" i="7" s="1"/>
  <c r="U201" i="7" s="1"/>
  <c r="O201" i="7" s="1"/>
  <c r="V177" i="7"/>
  <c r="S177" i="7" s="1"/>
  <c r="T177" i="7" s="1"/>
  <c r="U177" i="7" s="1"/>
  <c r="N177" i="7" s="1"/>
  <c r="AI60" i="4" s="1"/>
  <c r="V144" i="7"/>
  <c r="S144" i="7" s="1"/>
  <c r="V48" i="7"/>
  <c r="S48" i="7" s="1"/>
  <c r="N27" i="7"/>
  <c r="AI13" i="4" s="1"/>
  <c r="M9" i="7"/>
  <c r="AH5" i="4" s="1"/>
  <c r="V432" i="7"/>
  <c r="S432" i="7" s="1"/>
  <c r="V288" i="7"/>
  <c r="S288" i="7" s="1"/>
  <c r="T288" i="7" s="1"/>
  <c r="U288" i="7" s="1"/>
  <c r="N288" i="7" s="1"/>
  <c r="V96" i="7"/>
  <c r="S96" i="7" s="1"/>
  <c r="V63" i="7"/>
  <c r="S63" i="7" s="1"/>
  <c r="M12" i="7"/>
  <c r="V327" i="7"/>
  <c r="S327" i="7" s="1"/>
  <c r="T327" i="7" s="1"/>
  <c r="U327" i="7" s="1"/>
  <c r="V234" i="7"/>
  <c r="S234" i="7" s="1"/>
  <c r="T234" i="7" s="1"/>
  <c r="U234" i="7" s="1"/>
  <c r="O234" i="7" s="1"/>
  <c r="V138" i="7"/>
  <c r="S138" i="7" s="1"/>
  <c r="T138" i="7" s="1"/>
  <c r="U138" i="7" s="1"/>
  <c r="N138" i="7" s="1"/>
  <c r="AI51" i="4" s="1"/>
  <c r="V87" i="7"/>
  <c r="S87" i="7" s="1"/>
  <c r="V21" i="7"/>
  <c r="S21" i="7" s="1"/>
  <c r="O15" i="7"/>
  <c r="AJ10" i="4" s="1"/>
  <c r="V3" i="7"/>
  <c r="S3" i="7" s="1"/>
  <c r="V180" i="7"/>
  <c r="S180" i="7" s="1"/>
  <c r="V108" i="7"/>
  <c r="S108" i="7" s="1"/>
  <c r="V75" i="7"/>
  <c r="S75" i="7" s="1"/>
  <c r="V51" i="7"/>
  <c r="S51" i="7" s="1"/>
  <c r="V36" i="7"/>
  <c r="S36" i="7" s="1"/>
  <c r="N15" i="7"/>
  <c r="AI10" i="4" s="1"/>
  <c r="V504" i="7"/>
  <c r="S504" i="7" s="1"/>
  <c r="V480" i="7"/>
  <c r="S480" i="7" s="1"/>
  <c r="V153" i="7"/>
  <c r="S153" i="7" s="1"/>
  <c r="T153" i="7" s="1"/>
  <c r="U153" i="7" s="1"/>
  <c r="O153" i="7" s="1"/>
  <c r="M18" i="7"/>
  <c r="AH7" i="4" s="1"/>
  <c r="V117" i="7"/>
  <c r="S117" i="7" s="1"/>
  <c r="T117" i="7" s="1"/>
  <c r="U117" i="7" s="1"/>
  <c r="N117" i="7" s="1"/>
  <c r="V105" i="7"/>
  <c r="S105" i="7" s="1"/>
  <c r="O12" i="7"/>
  <c r="V111" i="7"/>
  <c r="S111" i="7" s="1"/>
  <c r="T111" i="7" s="1"/>
  <c r="U111" i="7" s="1"/>
  <c r="O111" i="7" s="1"/>
  <c r="N12" i="7"/>
  <c r="V213" i="7"/>
  <c r="S213" i="7" s="1"/>
  <c r="T213" i="7" s="1"/>
  <c r="U213" i="7" s="1"/>
  <c r="O213" i="7" s="1"/>
  <c r="V33" i="7"/>
  <c r="S33" i="7" s="1"/>
  <c r="V225" i="7"/>
  <c r="S225" i="7" s="1"/>
  <c r="T225" i="7" s="1"/>
  <c r="U225" i="7" s="1"/>
  <c r="O225" i="7" s="1"/>
  <c r="V357" i="7"/>
  <c r="S357" i="7" s="1"/>
  <c r="T357" i="7" s="1"/>
  <c r="U357" i="7" s="1"/>
  <c r="M357" i="7" s="1"/>
  <c r="V162" i="7"/>
  <c r="S162" i="7" s="1"/>
  <c r="V255" i="7"/>
  <c r="S255" i="7" s="1"/>
  <c r="T255" i="7" s="1"/>
  <c r="U255" i="7" s="1"/>
  <c r="N255" i="7" s="1"/>
  <c r="V126" i="7"/>
  <c r="S126" i="7" s="1"/>
  <c r="V84" i="7"/>
  <c r="S84" i="7" s="1"/>
  <c r="V186" i="7"/>
  <c r="S186" i="7" s="1"/>
  <c r="V90" i="7"/>
  <c r="S90" i="7" s="1"/>
  <c r="V444" i="7"/>
  <c r="S444" i="7" s="1"/>
  <c r="T444" i="7" s="1"/>
  <c r="U444" i="7" s="1"/>
  <c r="M444" i="7" s="1"/>
  <c r="V312" i="7"/>
  <c r="S312" i="7" s="1"/>
  <c r="V60" i="7"/>
  <c r="S60" i="7" s="1"/>
  <c r="V438" i="7"/>
  <c r="S438" i="7" s="1"/>
  <c r="T438" i="7" s="1"/>
  <c r="U438" i="7" s="1"/>
  <c r="M438" i="7" s="1"/>
  <c r="V210" i="7"/>
  <c r="S210" i="7" s="1"/>
  <c r="V18" i="7"/>
  <c r="S18" i="7" s="1"/>
  <c r="V240" i="7"/>
  <c r="S240" i="7" s="1"/>
  <c r="T240" i="7" s="1"/>
  <c r="U240" i="7" s="1"/>
  <c r="M240" i="7" s="1"/>
  <c r="V165" i="7"/>
  <c r="S165" i="7" s="1"/>
  <c r="T165" i="7" s="1"/>
  <c r="U165" i="7" s="1"/>
  <c r="N165" i="7" s="1"/>
  <c r="BC16" i="4"/>
  <c r="AT16" i="4"/>
  <c r="AS16" i="4"/>
  <c r="AE13" i="4"/>
  <c r="AO13" i="4"/>
  <c r="AF13" i="4"/>
  <c r="AA3" i="4"/>
  <c r="Q3" i="4"/>
  <c r="BC12" i="4"/>
  <c r="AS12" i="4"/>
  <c r="BC9" i="4"/>
  <c r="AT9" i="4"/>
  <c r="AS9" i="4"/>
  <c r="AO4" i="4"/>
  <c r="AE4" i="4"/>
  <c r="AA14" i="4"/>
  <c r="Q14" i="4"/>
  <c r="M9" i="4"/>
  <c r="C9" i="4"/>
  <c r="M10" i="4"/>
  <c r="AS21" i="4"/>
  <c r="BC21" i="4"/>
  <c r="AV21" i="4" s="1"/>
  <c r="AT21" i="4"/>
  <c r="D10" i="4"/>
  <c r="AO25" i="4"/>
  <c r="AF25" i="4"/>
  <c r="AE25" i="4"/>
  <c r="AO5" i="4"/>
  <c r="AT11" i="4"/>
  <c r="AF15" i="4"/>
  <c r="AA13" i="4"/>
  <c r="AT14" i="4"/>
  <c r="AS14" i="4"/>
  <c r="AF29" i="4"/>
  <c r="AO29" i="4"/>
  <c r="AS5" i="4"/>
  <c r="Q13" i="4"/>
  <c r="M14" i="4"/>
  <c r="C4" i="4"/>
  <c r="AT5" i="4"/>
  <c r="C6" i="4"/>
  <c r="AE9" i="4"/>
  <c r="AF10" i="4"/>
  <c r="R13" i="4"/>
  <c r="C14" i="4"/>
  <c r="D21" i="4"/>
  <c r="C17" i="4"/>
  <c r="AS19" i="4"/>
  <c r="AT19" i="4"/>
  <c r="BC19" i="4"/>
  <c r="C21" i="4"/>
  <c r="AE5" i="4"/>
  <c r="AE7" i="4"/>
  <c r="AF8" i="4"/>
  <c r="Q15" i="4"/>
  <c r="M21" i="4"/>
  <c r="AF5" i="4"/>
  <c r="AF7" i="4"/>
  <c r="AE14" i="4"/>
  <c r="AO14" i="4"/>
  <c r="R15" i="4"/>
  <c r="BC15" i="4"/>
  <c r="AF33" i="4"/>
  <c r="AE33" i="4"/>
  <c r="AO33" i="4"/>
  <c r="Q10" i="4"/>
  <c r="R12" i="4"/>
  <c r="AT13" i="4"/>
  <c r="AF14" i="4"/>
  <c r="AS15" i="4"/>
  <c r="BC8" i="4"/>
  <c r="BC11" i="4"/>
  <c r="AW11" i="4" s="1"/>
  <c r="AT15" i="4"/>
  <c r="AS23" i="4"/>
  <c r="AT23" i="4"/>
  <c r="BC7" i="4"/>
  <c r="D15" i="4"/>
  <c r="AO23" i="4"/>
  <c r="AE23" i="4"/>
  <c r="AO28" i="4"/>
  <c r="M30" i="4"/>
  <c r="D30" i="4"/>
  <c r="C30" i="4"/>
  <c r="AA19" i="4"/>
  <c r="AF23" i="4"/>
  <c r="AE28" i="4"/>
  <c r="AG28" i="4" s="1"/>
  <c r="AO34" i="4"/>
  <c r="AF34" i="4"/>
  <c r="AE34" i="4"/>
  <c r="AF31" i="4"/>
  <c r="AE31" i="4"/>
  <c r="AO31" i="4"/>
  <c r="Q30" i="4"/>
  <c r="AA30" i="4"/>
  <c r="M29" i="4"/>
  <c r="D29" i="4"/>
  <c r="AT29" i="4"/>
  <c r="AS29" i="4"/>
  <c r="R30" i="4"/>
  <c r="AS17" i="4"/>
  <c r="C29" i="4"/>
  <c r="AS25" i="4"/>
  <c r="AA25" i="4"/>
  <c r="R25" i="4"/>
  <c r="Q25" i="4"/>
  <c r="M31" i="4"/>
  <c r="C31" i="4"/>
  <c r="AO42" i="4"/>
  <c r="AF42" i="4"/>
  <c r="AE42" i="4"/>
  <c r="AE20" i="4"/>
  <c r="AA23" i="4"/>
  <c r="R23" i="4"/>
  <c r="Q23" i="4"/>
  <c r="AO27" i="4"/>
  <c r="D31" i="4"/>
  <c r="R21" i="4"/>
  <c r="AE30" i="4"/>
  <c r="AF30" i="4"/>
  <c r="AF27" i="4"/>
  <c r="AE22" i="4"/>
  <c r="M35" i="4"/>
  <c r="D35" i="4"/>
  <c r="C35" i="4"/>
  <c r="AF22" i="4"/>
  <c r="AO30" i="4"/>
  <c r="D40" i="4"/>
  <c r="C40" i="4"/>
  <c r="AF56" i="4"/>
  <c r="AO56" i="4"/>
  <c r="AE56" i="4"/>
  <c r="AF35" i="4"/>
  <c r="AE35" i="4"/>
  <c r="AA44" i="4"/>
  <c r="Q44" i="4"/>
  <c r="BC27" i="4"/>
  <c r="C36" i="4"/>
  <c r="D37" i="4"/>
  <c r="BC42" i="4"/>
  <c r="AT42" i="4"/>
  <c r="R44" i="4"/>
  <c r="D36" i="4"/>
  <c r="AO38" i="4"/>
  <c r="AF38" i="4"/>
  <c r="BC38" i="4"/>
  <c r="AF39" i="4"/>
  <c r="AE39" i="4"/>
  <c r="AO39" i="4"/>
  <c r="AS42" i="4"/>
  <c r="AF32" i="4"/>
  <c r="M33" i="4"/>
  <c r="AA40" i="4"/>
  <c r="R40" i="4"/>
  <c r="Q40" i="4"/>
  <c r="D41" i="4"/>
  <c r="AO58" i="4"/>
  <c r="AE58" i="4"/>
  <c r="AF58" i="4"/>
  <c r="AE32" i="4"/>
  <c r="C33" i="4"/>
  <c r="C41" i="4"/>
  <c r="AE44" i="4"/>
  <c r="D33" i="4"/>
  <c r="R35" i="4"/>
  <c r="Q35" i="4"/>
  <c r="R42" i="4"/>
  <c r="Q42" i="4"/>
  <c r="AO35" i="4"/>
  <c r="AO44" i="4"/>
  <c r="R36" i="4"/>
  <c r="Q36" i="4"/>
  <c r="AV39" i="4"/>
  <c r="AT39" i="4"/>
  <c r="AT44" i="4"/>
  <c r="AT28" i="4"/>
  <c r="R37" i="4"/>
  <c r="AS38" i="4"/>
  <c r="AS39" i="4"/>
  <c r="AA42" i="4"/>
  <c r="Q43" i="4"/>
  <c r="AS44" i="4"/>
  <c r="D42" i="4"/>
  <c r="AT46" i="4"/>
  <c r="AU46" i="4" s="1"/>
  <c r="BY64" i="4"/>
  <c r="Q64" i="4"/>
  <c r="AA53" i="4"/>
  <c r="Q53" i="4"/>
  <c r="BY53" i="4"/>
  <c r="R64" i="4"/>
  <c r="D46" i="4"/>
  <c r="C46" i="4"/>
  <c r="R53" i="4"/>
  <c r="AF37" i="4"/>
  <c r="AE37" i="4"/>
  <c r="R51" i="4"/>
  <c r="AE36" i="4"/>
  <c r="AS41" i="4"/>
  <c r="C44" i="4"/>
  <c r="AO48" i="4"/>
  <c r="Q49" i="4"/>
  <c r="R49" i="4"/>
  <c r="AO53" i="4"/>
  <c r="Q67" i="4"/>
  <c r="BY67" i="4"/>
  <c r="R67" i="4"/>
  <c r="AS48" i="4"/>
  <c r="AU48" i="4" s="1"/>
  <c r="BC48" i="4"/>
  <c r="AA51" i="4"/>
  <c r="AT49" i="4"/>
  <c r="AT45" i="4"/>
  <c r="AS49" i="4"/>
  <c r="AA57" i="4"/>
  <c r="Q57" i="4"/>
  <c r="C45" i="4"/>
  <c r="AS45" i="4"/>
  <c r="AE50" i="4"/>
  <c r="R57" i="4"/>
  <c r="C39" i="4"/>
  <c r="AS43" i="4"/>
  <c r="D45" i="4"/>
  <c r="AF50" i="4"/>
  <c r="AF60" i="4"/>
  <c r="AE60" i="4"/>
  <c r="BC46" i="4"/>
  <c r="D48" i="4"/>
  <c r="C48" i="4"/>
  <c r="R66" i="4"/>
  <c r="R82" i="4"/>
  <c r="Q82" i="4"/>
  <c r="Q73" i="4"/>
  <c r="BY82" i="4"/>
  <c r="T297" i="6"/>
  <c r="U297" i="6" s="1"/>
  <c r="M297" i="6" s="1"/>
  <c r="Q84" i="4"/>
  <c r="BY54" i="4"/>
  <c r="AO65" i="4"/>
  <c r="AO70" i="4"/>
  <c r="AE77" i="4"/>
  <c r="R78" i="4"/>
  <c r="Q78" i="4"/>
  <c r="AE90" i="4"/>
  <c r="AE94" i="4"/>
  <c r="AF94" i="4"/>
  <c r="C50" i="4"/>
  <c r="AE70" i="4"/>
  <c r="AO74" i="4"/>
  <c r="AF77" i="4"/>
  <c r="AF90" i="4"/>
  <c r="D50" i="4"/>
  <c r="BC50" i="4"/>
  <c r="AO51" i="4"/>
  <c r="AE52" i="4"/>
  <c r="R54" i="4"/>
  <c r="AE55" i="4"/>
  <c r="AF70" i="4"/>
  <c r="Q75" i="4"/>
  <c r="AE41" i="4"/>
  <c r="AE45" i="4"/>
  <c r="AF52" i="4"/>
  <c r="Q71" i="4"/>
  <c r="S71" i="4" s="1"/>
  <c r="AF74" i="4"/>
  <c r="AG74" i="4" s="1"/>
  <c r="R75" i="4"/>
  <c r="AF92" i="4"/>
  <c r="AE92" i="4"/>
  <c r="BY73" i="4"/>
  <c r="BY78" i="4"/>
  <c r="R91" i="4"/>
  <c r="BY91" i="4"/>
  <c r="AE67" i="4"/>
  <c r="R70" i="4"/>
  <c r="AE73" i="4"/>
  <c r="Q91" i="4"/>
  <c r="AE65" i="4"/>
  <c r="AE66" i="4"/>
  <c r="BY66" i="4"/>
  <c r="Q70" i="4"/>
  <c r="AF66" i="4"/>
  <c r="AE86" i="4"/>
  <c r="AG86" i="4" s="1"/>
  <c r="AF99" i="4"/>
  <c r="AE99" i="4"/>
  <c r="Q90" i="4"/>
  <c r="AE97" i="4"/>
  <c r="R90" i="4"/>
  <c r="AF97" i="4"/>
  <c r="AE75" i="4"/>
  <c r="AE85" i="4"/>
  <c r="AG85" i="4" s="1"/>
  <c r="AF88" i="4"/>
  <c r="AE88" i="4"/>
  <c r="Q86" i="4"/>
  <c r="R94" i="4"/>
  <c r="Q79" i="4"/>
  <c r="R86" i="4"/>
  <c r="AE93" i="4"/>
  <c r="AG93" i="4" s="1"/>
  <c r="Q94" i="4"/>
  <c r="AF84" i="4"/>
  <c r="AE84" i="4"/>
  <c r="BY90" i="4"/>
  <c r="AE98" i="4"/>
  <c r="BY100" i="4"/>
  <c r="AF87" i="4"/>
  <c r="AG87" i="4" s="1"/>
  <c r="BY92" i="4"/>
  <c r="BY94" i="4"/>
  <c r="R97" i="4"/>
  <c r="AF98" i="4"/>
  <c r="Q100" i="4"/>
  <c r="S100" i="4" s="1"/>
  <c r="T222" i="6"/>
  <c r="U222" i="6" s="1"/>
  <c r="M222" i="6" s="1"/>
  <c r="AE102" i="4"/>
  <c r="AF102" i="4"/>
  <c r="T315" i="6"/>
  <c r="U315" i="6" s="1"/>
  <c r="O315" i="6" s="1"/>
  <c r="AE96" i="4"/>
  <c r="AE100" i="4"/>
  <c r="AG100" i="4" s="1"/>
  <c r="T306" i="6"/>
  <c r="U306" i="6" s="1"/>
  <c r="M306" i="6" s="1"/>
  <c r="T267" i="7"/>
  <c r="U267" i="7" s="1"/>
  <c r="N267" i="7" s="1"/>
  <c r="T345" i="7"/>
  <c r="U345" i="7" s="1"/>
  <c r="N345" i="7" s="1"/>
  <c r="T417" i="7"/>
  <c r="U417" i="7" s="1"/>
  <c r="N417" i="7" s="1"/>
  <c r="B427" i="10"/>
  <c r="B443" i="10"/>
  <c r="B491" i="10"/>
  <c r="M601" i="9" s="1"/>
  <c r="B429" i="10"/>
  <c r="M581" i="9" s="1"/>
  <c r="B445" i="10"/>
  <c r="B493" i="10"/>
  <c r="M604" i="9" s="1"/>
  <c r="B494" i="10"/>
  <c r="B431" i="10"/>
  <c r="M589" i="9" s="1"/>
  <c r="B447" i="10"/>
  <c r="B463" i="10"/>
  <c r="M490" i="9" s="1"/>
  <c r="B479" i="10"/>
  <c r="B495" i="10"/>
  <c r="B432" i="10"/>
  <c r="B496" i="10"/>
  <c r="B433" i="10"/>
  <c r="B449" i="10"/>
  <c r="M443" i="9" s="1"/>
  <c r="B465" i="10"/>
  <c r="B481" i="10"/>
  <c r="B497" i="10"/>
  <c r="B434" i="10"/>
  <c r="M626" i="9" s="1"/>
  <c r="B450" i="10"/>
  <c r="M445" i="9" s="1"/>
  <c r="B466" i="10"/>
  <c r="M499" i="9" s="1"/>
  <c r="B482" i="10"/>
  <c r="B498" i="10"/>
  <c r="B435" i="10"/>
  <c r="B451" i="10"/>
  <c r="M446" i="9" s="1"/>
  <c r="B467" i="10"/>
  <c r="M502" i="9" s="1"/>
  <c r="B483" i="10"/>
  <c r="M568" i="9" s="1"/>
  <c r="B499" i="10"/>
  <c r="M614" i="9" s="1"/>
  <c r="B436" i="10"/>
  <c r="M620" i="9" s="1"/>
  <c r="B452" i="10"/>
  <c r="M481" i="9" s="1"/>
  <c r="B468" i="10"/>
  <c r="B484" i="10"/>
  <c r="B500" i="10"/>
  <c r="M615" i="9" s="1"/>
  <c r="B437" i="10"/>
  <c r="M625" i="9" s="1"/>
  <c r="B453" i="10"/>
  <c r="B469" i="10"/>
  <c r="M509" i="9" s="1"/>
  <c r="B485" i="10"/>
  <c r="M571" i="9" s="1"/>
  <c r="B422" i="10"/>
  <c r="B438" i="10"/>
  <c r="M630" i="9" s="1"/>
  <c r="B454" i="10"/>
  <c r="B470" i="10"/>
  <c r="B486" i="10"/>
  <c r="M572" i="9" s="1"/>
  <c r="B423" i="10"/>
  <c r="M512" i="9" s="1"/>
  <c r="B439" i="10"/>
  <c r="B455" i="10"/>
  <c r="B471" i="10"/>
  <c r="M540" i="9" s="1"/>
  <c r="B487" i="10"/>
  <c r="B424" i="10"/>
  <c r="B440" i="10"/>
  <c r="B456" i="10"/>
  <c r="B472" i="10"/>
  <c r="B488" i="10"/>
  <c r="M598" i="9" s="1"/>
  <c r="B425" i="10"/>
  <c r="M528" i="9" s="1"/>
  <c r="B441" i="10"/>
  <c r="B457" i="10"/>
  <c r="M478" i="9" s="1"/>
  <c r="B473" i="10"/>
  <c r="M545" i="9" s="1"/>
  <c r="B489" i="10"/>
  <c r="M599" i="9" s="1"/>
  <c r="B426" i="10"/>
  <c r="B458" i="10"/>
  <c r="T51" i="4" l="1"/>
  <c r="AI70" i="4"/>
  <c r="T57" i="4"/>
  <c r="G15" i="4"/>
  <c r="BY58" i="4"/>
  <c r="R79" i="4"/>
  <c r="M74" i="2"/>
  <c r="V11" i="4"/>
  <c r="AI45" i="4"/>
  <c r="AJ29" i="4"/>
  <c r="AO57" i="4"/>
  <c r="M17" i="4"/>
  <c r="AJ74" i="4"/>
  <c r="AJ4" i="4"/>
  <c r="F9" i="4"/>
  <c r="G22" i="4"/>
  <c r="H22" i="4"/>
  <c r="R41" i="2"/>
  <c r="M36" i="2"/>
  <c r="R36" i="2" s="1"/>
  <c r="H30" i="2"/>
  <c r="C29" i="2"/>
  <c r="H53" i="2"/>
  <c r="C54" i="2"/>
  <c r="H54" i="2" s="1"/>
  <c r="C65" i="2"/>
  <c r="H65" i="2" s="1"/>
  <c r="R49" i="2"/>
  <c r="M61" i="2"/>
  <c r="T10" i="4"/>
  <c r="V20" i="4"/>
  <c r="V7" i="4"/>
  <c r="U37" i="4"/>
  <c r="T19" i="4"/>
  <c r="V44" i="4"/>
  <c r="AJ36" i="4"/>
  <c r="AH39" i="4"/>
  <c r="AH52" i="4"/>
  <c r="AF57" i="4"/>
  <c r="R58" i="4"/>
  <c r="AB31" i="2"/>
  <c r="W32" i="2"/>
  <c r="AB32" i="2" s="1"/>
  <c r="M24" i="2"/>
  <c r="R24" i="2" s="1"/>
  <c r="BY79" i="4"/>
  <c r="AE49" i="4"/>
  <c r="AI55" i="4"/>
  <c r="AJ8" i="4"/>
  <c r="F25" i="4"/>
  <c r="G31" i="4"/>
  <c r="F14" i="4"/>
  <c r="H12" i="4"/>
  <c r="F20" i="4"/>
  <c r="T6" i="4"/>
  <c r="U13" i="4"/>
  <c r="AO49" i="4"/>
  <c r="AH49" i="4" s="1"/>
  <c r="AB19" i="2"/>
  <c r="W17" i="2"/>
  <c r="AB17" i="2" s="1"/>
  <c r="T9" i="4"/>
  <c r="V29" i="4"/>
  <c r="T40" i="4"/>
  <c r="V14" i="4"/>
  <c r="U42" i="4"/>
  <c r="AI42" i="4"/>
  <c r="AJ32" i="4"/>
  <c r="AH23" i="4"/>
  <c r="AI35" i="4"/>
  <c r="AJ31" i="4"/>
  <c r="AI9" i="4"/>
  <c r="AI44" i="4"/>
  <c r="H35" i="4"/>
  <c r="F4" i="4"/>
  <c r="H10" i="4"/>
  <c r="F29" i="4"/>
  <c r="H24" i="4"/>
  <c r="G9" i="4"/>
  <c r="F35" i="4"/>
  <c r="T3" i="4"/>
  <c r="AB45" i="2"/>
  <c r="W38" i="2"/>
  <c r="AB38" i="2" s="1"/>
  <c r="W65" i="2"/>
  <c r="AB65" i="2" s="1"/>
  <c r="Q101" i="4"/>
  <c r="AB50" i="2"/>
  <c r="W51" i="2"/>
  <c r="AB51" i="2" s="1"/>
  <c r="U20" i="4"/>
  <c r="U63" i="4"/>
  <c r="U23" i="4"/>
  <c r="AH28" i="4"/>
  <c r="AI38" i="4"/>
  <c r="AH29" i="4"/>
  <c r="AH53" i="4"/>
  <c r="AF67" i="4"/>
  <c r="R85" i="4"/>
  <c r="C37" i="4"/>
  <c r="Q21" i="4"/>
  <c r="AE11" i="4"/>
  <c r="AJ72" i="4"/>
  <c r="AJ16" i="4"/>
  <c r="AH76" i="4"/>
  <c r="G35" i="4"/>
  <c r="V12" i="4"/>
  <c r="R92" i="4"/>
  <c r="S92" i="4" s="1"/>
  <c r="R79" i="2"/>
  <c r="M72" i="2"/>
  <c r="H67" i="2"/>
  <c r="C70" i="2"/>
  <c r="H70" i="2" s="1"/>
  <c r="T54" i="4"/>
  <c r="V8" i="4"/>
  <c r="V33" i="4"/>
  <c r="T42" i="4"/>
  <c r="V35" i="4"/>
  <c r="U24" i="4"/>
  <c r="AJ25" i="4"/>
  <c r="AH30" i="4"/>
  <c r="AI61" i="4"/>
  <c r="AJ20" i="4"/>
  <c r="AH20" i="4"/>
  <c r="AH33" i="4"/>
  <c r="AE91" i="4"/>
  <c r="AH57" i="4"/>
  <c r="BC36" i="4"/>
  <c r="AJ34" i="4"/>
  <c r="AI48" i="4"/>
  <c r="AI64" i="4"/>
  <c r="F33" i="4"/>
  <c r="H25" i="4"/>
  <c r="R87" i="4"/>
  <c r="BY62" i="4"/>
  <c r="M65" i="2"/>
  <c r="R65" i="2" s="1"/>
  <c r="Q41" i="4"/>
  <c r="M40" i="2"/>
  <c r="R72" i="4"/>
  <c r="M78" i="2"/>
  <c r="H58" i="2"/>
  <c r="C59" i="2"/>
  <c r="H59" i="2" s="1"/>
  <c r="U29" i="4"/>
  <c r="U7" i="4"/>
  <c r="U30" i="4"/>
  <c r="AI14" i="4"/>
  <c r="AJ23" i="4"/>
  <c r="AI15" i="4"/>
  <c r="AJ22" i="4"/>
  <c r="AH31" i="4"/>
  <c r="AI73" i="4"/>
  <c r="AJ28" i="4"/>
  <c r="D17" i="4"/>
  <c r="AH16" i="4"/>
  <c r="G25" i="4"/>
  <c r="F31" i="4"/>
  <c r="F15" i="4"/>
  <c r="AF75" i="4"/>
  <c r="AO37" i="4"/>
  <c r="AJ37" i="4" s="1"/>
  <c r="BC32" i="4"/>
  <c r="C77" i="2"/>
  <c r="AB36" i="2"/>
  <c r="W37" i="2"/>
  <c r="T20" i="4"/>
  <c r="V40" i="4"/>
  <c r="U46" i="4"/>
  <c r="T25" i="4"/>
  <c r="U11" i="4"/>
  <c r="V54" i="4"/>
  <c r="V9" i="4"/>
  <c r="AH63" i="4"/>
  <c r="AI17" i="4"/>
  <c r="AJ35" i="4"/>
  <c r="AJ19" i="4"/>
  <c r="AI52" i="4"/>
  <c r="U33" i="4"/>
  <c r="AI43" i="4"/>
  <c r="AH37" i="4"/>
  <c r="AA21" i="4"/>
  <c r="T21" i="4" s="1"/>
  <c r="AJ13" i="4"/>
  <c r="AJ81" i="4"/>
  <c r="F12" i="4"/>
  <c r="H21" i="4"/>
  <c r="F22" i="4"/>
  <c r="G5" i="4"/>
  <c r="AS36" i="4"/>
  <c r="R13" i="2"/>
  <c r="M9" i="2"/>
  <c r="R9" i="2" s="1"/>
  <c r="Q98" i="4"/>
  <c r="R51" i="2"/>
  <c r="M68" i="2"/>
  <c r="R68" i="2" s="1"/>
  <c r="T29" i="4"/>
  <c r="U14" i="4"/>
  <c r="V42" i="4"/>
  <c r="AI36" i="4"/>
  <c r="AI39" i="4"/>
  <c r="AH45" i="4"/>
  <c r="AH22" i="4"/>
  <c r="AB14" i="2"/>
  <c r="W14" i="2"/>
  <c r="AO11" i="4"/>
  <c r="AH11" i="4" s="1"/>
  <c r="Q58" i="4"/>
  <c r="W34" i="2"/>
  <c r="AB34" i="2" s="1"/>
  <c r="R53" i="2"/>
  <c r="M55" i="2"/>
  <c r="T23" i="4"/>
  <c r="V45" i="4"/>
  <c r="U35" i="4"/>
  <c r="AH42" i="4"/>
  <c r="AH36" i="4"/>
  <c r="AI32" i="4"/>
  <c r="AJ15" i="4"/>
  <c r="AI46" i="4"/>
  <c r="AI53" i="4"/>
  <c r="AJ9" i="4"/>
  <c r="AI33" i="4"/>
  <c r="AJ45" i="4"/>
  <c r="H17" i="4"/>
  <c r="AJ50" i="4"/>
  <c r="AH4" i="4"/>
  <c r="H5" i="4"/>
  <c r="F21" i="4"/>
  <c r="H33" i="4"/>
  <c r="F10" i="4"/>
  <c r="AX25" i="4"/>
  <c r="U28" i="4"/>
  <c r="AF80" i="4"/>
  <c r="AB21" i="2"/>
  <c r="W20" i="2"/>
  <c r="AB20" i="2" s="1"/>
  <c r="AO78" i="4"/>
  <c r="AJ78" i="4" s="1"/>
  <c r="W73" i="2"/>
  <c r="AT36" i="4"/>
  <c r="AU36" i="4" s="1"/>
  <c r="R75" i="2"/>
  <c r="M73" i="2"/>
  <c r="T8" i="4"/>
  <c r="T63" i="4"/>
  <c r="V19" i="4"/>
  <c r="T46" i="4"/>
  <c r="T30" i="4"/>
  <c r="T44" i="4"/>
  <c r="AJ30" i="4"/>
  <c r="AJ38" i="4"/>
  <c r="AH38" i="4"/>
  <c r="AH35" i="4"/>
  <c r="AH47" i="4"/>
  <c r="AH19" i="4"/>
  <c r="U3" i="4"/>
  <c r="V3" i="4"/>
  <c r="AO47" i="4"/>
  <c r="AJ47" i="4" s="1"/>
  <c r="AB58" i="2"/>
  <c r="W59" i="2"/>
  <c r="M64" i="2"/>
  <c r="Q81" i="4"/>
  <c r="M71" i="2"/>
  <c r="H20" i="2"/>
  <c r="C19" i="2"/>
  <c r="H19" i="2" s="1"/>
  <c r="R39" i="4"/>
  <c r="M42" i="2"/>
  <c r="C60" i="2"/>
  <c r="H60" i="2" s="1"/>
  <c r="T53" i="4"/>
  <c r="T7" i="4"/>
  <c r="V38" i="4"/>
  <c r="U45" i="4"/>
  <c r="V24" i="4"/>
  <c r="AI25" i="4"/>
  <c r="AI30" i="4"/>
  <c r="AI31" i="4"/>
  <c r="AJ73" i="4"/>
  <c r="C64" i="2"/>
  <c r="H64" i="2" s="1"/>
  <c r="H6" i="4"/>
  <c r="C9" i="2"/>
  <c r="H30" i="4"/>
  <c r="AO80" i="4"/>
  <c r="AE80" i="4"/>
  <c r="W69" i="2"/>
  <c r="AB69" i="2" s="1"/>
  <c r="V37" i="4"/>
  <c r="U15" i="4"/>
  <c r="T35" i="4"/>
  <c r="AH14" i="4"/>
  <c r="AH25" i="4"/>
  <c r="AI23" i="4"/>
  <c r="AI20" i="4"/>
  <c r="AH24" i="4"/>
  <c r="AJ52" i="4"/>
  <c r="AI16" i="4"/>
  <c r="G17" i="4"/>
  <c r="F17" i="4"/>
  <c r="F30" i="4"/>
  <c r="AG16" i="4"/>
  <c r="AO67" i="4"/>
  <c r="AF63" i="4"/>
  <c r="W67" i="2"/>
  <c r="AB67" i="2" s="1"/>
  <c r="AB76" i="2"/>
  <c r="W82" i="2"/>
  <c r="AB82" i="2" s="1"/>
  <c r="M6" i="4"/>
  <c r="F6" i="4" s="1"/>
  <c r="C10" i="2"/>
  <c r="H10" i="2" s="1"/>
  <c r="U40" i="4"/>
  <c r="V25" i="4"/>
  <c r="T14" i="4"/>
  <c r="T11" i="4"/>
  <c r="AJ42" i="4"/>
  <c r="AJ17" i="4"/>
  <c r="AH17" i="4"/>
  <c r="AJ61" i="4"/>
  <c r="AH15" i="4"/>
  <c r="AJ27" i="4"/>
  <c r="AI37" i="4"/>
  <c r="AH9" i="4"/>
  <c r="AE29" i="4"/>
  <c r="G30" i="4"/>
  <c r="R34" i="2"/>
  <c r="M35" i="2"/>
  <c r="AB81" i="2"/>
  <c r="W79" i="2"/>
  <c r="AB79" i="2" s="1"/>
  <c r="AB41" i="2"/>
  <c r="W54" i="2"/>
  <c r="AB60" i="2"/>
  <c r="W57" i="2"/>
  <c r="T33" i="4"/>
  <c r="U19" i="4"/>
  <c r="U21" i="4"/>
  <c r="AI28" i="4"/>
  <c r="AJ54" i="4"/>
  <c r="AH61" i="4"/>
  <c r="AH43" i="4"/>
  <c r="AI22" i="4"/>
  <c r="AJ33" i="4"/>
  <c r="AE57" i="4"/>
  <c r="AG57" i="4" s="1"/>
  <c r="H4" i="4"/>
  <c r="G29" i="4"/>
  <c r="H9" i="4"/>
  <c r="H34" i="4"/>
  <c r="H15" i="4"/>
  <c r="AA58" i="4"/>
  <c r="T58" i="4" s="1"/>
  <c r="Q85" i="4"/>
  <c r="S85" i="4" s="1"/>
  <c r="R46" i="2"/>
  <c r="M50" i="2"/>
  <c r="R50" i="2" s="1"/>
  <c r="R58" i="2"/>
  <c r="M56" i="2"/>
  <c r="R23" i="2"/>
  <c r="M22" i="2"/>
  <c r="R22" i="2" s="1"/>
  <c r="M29" i="2"/>
  <c r="R29" i="2" s="1"/>
  <c r="V10" i="4"/>
  <c r="V41" i="4"/>
  <c r="V23" i="4"/>
  <c r="V30" i="4"/>
  <c r="T15" i="4"/>
  <c r="AI78" i="4"/>
  <c r="AH32" i="4"/>
  <c r="AJ43" i="4"/>
  <c r="AJ53" i="4"/>
  <c r="AH12" i="4"/>
  <c r="AI19" i="4"/>
  <c r="AJ63" i="4"/>
  <c r="AA39" i="4"/>
  <c r="V39" i="4" s="1"/>
  <c r="AE79" i="4"/>
  <c r="AU6" i="4"/>
  <c r="AT52" i="4"/>
  <c r="AO75" i="4"/>
  <c r="Q102" i="4"/>
  <c r="AE78" i="4"/>
  <c r="BC52" i="4"/>
  <c r="AW52" i="4" s="1"/>
  <c r="R102" i="4"/>
  <c r="S102" i="4" s="1"/>
  <c r="C34" i="4"/>
  <c r="E9" i="4"/>
  <c r="BY56" i="4"/>
  <c r="BY65" i="4"/>
  <c r="AA56" i="4"/>
  <c r="T56" i="4" s="1"/>
  <c r="C18" i="4"/>
  <c r="E18" i="4" s="1"/>
  <c r="D14" i="2" s="1"/>
  <c r="BC28" i="4"/>
  <c r="AX28" i="4" s="1"/>
  <c r="R18" i="4"/>
  <c r="S18" i="4" s="1"/>
  <c r="D18" i="4"/>
  <c r="Q80" i="4"/>
  <c r="AF62" i="4"/>
  <c r="R65" i="4"/>
  <c r="M18" i="4"/>
  <c r="G18" i="4" s="1"/>
  <c r="BY80" i="4"/>
  <c r="AO62" i="4"/>
  <c r="AJ62" i="4" s="1"/>
  <c r="R98" i="4"/>
  <c r="M8" i="4"/>
  <c r="G8" i="4" s="1"/>
  <c r="S46" i="4"/>
  <c r="Q32" i="4"/>
  <c r="M34" i="4"/>
  <c r="F34" i="4" s="1"/>
  <c r="AS51" i="4"/>
  <c r="AU51" i="4" s="1"/>
  <c r="Q56" i="4"/>
  <c r="S56" i="4" s="1"/>
  <c r="BC51" i="4"/>
  <c r="AV51" i="4" s="1"/>
  <c r="D39" i="4"/>
  <c r="E39" i="4" s="1"/>
  <c r="R80" i="4"/>
  <c r="R81" i="4"/>
  <c r="S81" i="4" s="1"/>
  <c r="AE62" i="4"/>
  <c r="AG62" i="4" s="1"/>
  <c r="BC14" i="4"/>
  <c r="AX14" i="4" s="1"/>
  <c r="Q18" i="4"/>
  <c r="R56" i="4"/>
  <c r="AS28" i="4"/>
  <c r="AE95" i="4"/>
  <c r="AG95" i="4" s="1"/>
  <c r="AA18" i="4"/>
  <c r="T18" i="4" s="1"/>
  <c r="AW39" i="4"/>
  <c r="D20" i="4"/>
  <c r="E20" i="4" s="1"/>
  <c r="AG65" i="4"/>
  <c r="Q47" i="4"/>
  <c r="S47" i="4" s="1"/>
  <c r="Q87" i="4"/>
  <c r="S87" i="4" s="1"/>
  <c r="AG41" i="4"/>
  <c r="D14" i="4"/>
  <c r="Q51" i="4"/>
  <c r="S51" i="4" s="1"/>
  <c r="AF68" i="4"/>
  <c r="AO68" i="4"/>
  <c r="AJ68" i="4" s="1"/>
  <c r="AF48" i="4"/>
  <c r="AG48" i="4" s="1"/>
  <c r="O165" i="6"/>
  <c r="M165" i="6"/>
  <c r="N165" i="6"/>
  <c r="N243" i="6"/>
  <c r="O243" i="6"/>
  <c r="M243" i="6"/>
  <c r="AE71" i="4"/>
  <c r="S19" i="4"/>
  <c r="S79" i="4"/>
  <c r="AF11" i="4"/>
  <c r="AG11" i="4" s="1"/>
  <c r="AF49" i="4"/>
  <c r="AG49" i="4" s="1"/>
  <c r="R50" i="4"/>
  <c r="Q50" i="4"/>
  <c r="M4" i="4"/>
  <c r="G4" i="4" s="1"/>
  <c r="C6" i="2"/>
  <c r="H6" i="2" s="1"/>
  <c r="H11" i="2"/>
  <c r="AG3" i="4"/>
  <c r="H36" i="2"/>
  <c r="H38" i="2"/>
  <c r="H24" i="2"/>
  <c r="H21" i="2"/>
  <c r="BC17" i="4"/>
  <c r="AV17" i="4" s="1"/>
  <c r="S54" i="4"/>
  <c r="H22" i="2"/>
  <c r="M327" i="7"/>
  <c r="O327" i="7"/>
  <c r="N327" i="7"/>
  <c r="N426" i="7"/>
  <c r="O426" i="7"/>
  <c r="M426" i="7"/>
  <c r="N216" i="6"/>
  <c r="M216" i="6"/>
  <c r="O216" i="6"/>
  <c r="N399" i="6"/>
  <c r="M399" i="6"/>
  <c r="O399" i="6"/>
  <c r="N426" i="6"/>
  <c r="O426" i="6"/>
  <c r="M426" i="6"/>
  <c r="M462" i="6"/>
  <c r="O462" i="6"/>
  <c r="N462" i="6"/>
  <c r="M354" i="6"/>
  <c r="N354" i="6"/>
  <c r="O354" i="6"/>
  <c r="M138" i="6"/>
  <c r="O138" i="6"/>
  <c r="N138" i="6"/>
  <c r="O393" i="6"/>
  <c r="M393" i="6"/>
  <c r="N393" i="6"/>
  <c r="O111" i="6"/>
  <c r="V43" i="4" s="1"/>
  <c r="N111" i="6"/>
  <c r="U43" i="4" s="1"/>
  <c r="M111" i="6"/>
  <c r="T43" i="4" s="1"/>
  <c r="N264" i="6"/>
  <c r="M264" i="6"/>
  <c r="O264" i="6"/>
  <c r="N234" i="6"/>
  <c r="O234" i="6"/>
  <c r="M234" i="6"/>
  <c r="N174" i="6"/>
  <c r="U52" i="4" s="1"/>
  <c r="M174" i="6"/>
  <c r="T52" i="4" s="1"/>
  <c r="O174" i="6"/>
  <c r="V52" i="4" s="1"/>
  <c r="M384" i="6"/>
  <c r="O384" i="6"/>
  <c r="N384" i="6"/>
  <c r="N408" i="6"/>
  <c r="M408" i="6"/>
  <c r="O408" i="6"/>
  <c r="M177" i="6"/>
  <c r="T50" i="4" s="1"/>
  <c r="O177" i="6"/>
  <c r="V50" i="4" s="1"/>
  <c r="N177" i="6"/>
  <c r="U50" i="4" s="1"/>
  <c r="M231" i="6"/>
  <c r="O231" i="6"/>
  <c r="N231" i="6"/>
  <c r="M276" i="6"/>
  <c r="O276" i="6"/>
  <c r="N276" i="6"/>
  <c r="M330" i="6"/>
  <c r="N330" i="6"/>
  <c r="O330" i="6"/>
  <c r="N423" i="7"/>
  <c r="M423" i="7"/>
  <c r="O423" i="7"/>
  <c r="N219" i="7"/>
  <c r="M219" i="7"/>
  <c r="O219" i="7"/>
  <c r="N264" i="7"/>
  <c r="M264" i="7"/>
  <c r="O264" i="7"/>
  <c r="M282" i="7"/>
  <c r="N357" i="7"/>
  <c r="M345" i="7"/>
  <c r="M285" i="7"/>
  <c r="N333" i="7"/>
  <c r="M273" i="7"/>
  <c r="AH68" i="4" s="1"/>
  <c r="N291" i="7"/>
  <c r="M399" i="7"/>
  <c r="N438" i="7"/>
  <c r="M354" i="7"/>
  <c r="O462" i="7"/>
  <c r="O291" i="7"/>
  <c r="O465" i="7"/>
  <c r="O282" i="7"/>
  <c r="AE54" i="4"/>
  <c r="E25" i="4"/>
  <c r="AF43" i="4"/>
  <c r="AG43" i="4" s="1"/>
  <c r="AE69" i="4"/>
  <c r="Q27" i="4"/>
  <c r="R61" i="4"/>
  <c r="BY61" i="4"/>
  <c r="R27" i="4"/>
  <c r="R69" i="4"/>
  <c r="Q55" i="4"/>
  <c r="BY69" i="4"/>
  <c r="AA27" i="4"/>
  <c r="U27" i="4" s="1"/>
  <c r="AT3" i="4"/>
  <c r="AU3" i="4" s="1"/>
  <c r="Q22" i="4"/>
  <c r="S22" i="4" s="1"/>
  <c r="Q99" i="4"/>
  <c r="S99" i="4" s="1"/>
  <c r="R55" i="4"/>
  <c r="AA22" i="4"/>
  <c r="U22" i="4" s="1"/>
  <c r="BY99" i="4"/>
  <c r="BY98" i="4"/>
  <c r="AA55" i="4"/>
  <c r="T55" i="4" s="1"/>
  <c r="R22" i="4"/>
  <c r="BY55" i="4"/>
  <c r="AS3" i="4"/>
  <c r="Q61" i="4"/>
  <c r="BY93" i="4"/>
  <c r="R93" i="4"/>
  <c r="AE43" i="4"/>
  <c r="BC3" i="4"/>
  <c r="AX3" i="4" s="1"/>
  <c r="AO54" i="4"/>
  <c r="AH54" i="4" s="1"/>
  <c r="AO69" i="4"/>
  <c r="AI69" i="4" s="1"/>
  <c r="Q89" i="4"/>
  <c r="S33" i="4"/>
  <c r="AA61" i="4"/>
  <c r="T61" i="4" s="1"/>
  <c r="AF69" i="4"/>
  <c r="Q69" i="4"/>
  <c r="S69" i="4" s="1"/>
  <c r="AF54" i="4"/>
  <c r="AG20" i="4"/>
  <c r="N411" i="7"/>
  <c r="O345" i="7"/>
  <c r="O165" i="7"/>
  <c r="AJ55" i="4" s="1"/>
  <c r="N276" i="7"/>
  <c r="M276" i="7"/>
  <c r="O570" i="7"/>
  <c r="N450" i="7"/>
  <c r="M195" i="7"/>
  <c r="AH64" i="4" s="1"/>
  <c r="O336" i="7"/>
  <c r="O255" i="7"/>
  <c r="M192" i="7"/>
  <c r="AH83" i="4" s="1"/>
  <c r="O381" i="7"/>
  <c r="N573" i="7"/>
  <c r="O267" i="7"/>
  <c r="AJ69" i="4" s="1"/>
  <c r="O567" i="7"/>
  <c r="O486" i="7"/>
  <c r="N231" i="7"/>
  <c r="O405" i="7"/>
  <c r="N150" i="7"/>
  <c r="AI57" i="4" s="1"/>
  <c r="O324" i="7"/>
  <c r="M261" i="7"/>
  <c r="O258" i="7"/>
  <c r="M204" i="7"/>
  <c r="O177" i="7"/>
  <c r="AJ60" i="4" s="1"/>
  <c r="N321" i="7"/>
  <c r="N240" i="7"/>
  <c r="O174" i="7"/>
  <c r="AJ48" i="4" s="1"/>
  <c r="M111" i="7"/>
  <c r="AH34" i="4" s="1"/>
  <c r="O507" i="7"/>
  <c r="N252" i="7"/>
  <c r="M252" i="7"/>
  <c r="N570" i="7"/>
  <c r="N489" i="7"/>
  <c r="M234" i="7"/>
  <c r="M297" i="7"/>
  <c r="N471" i="7"/>
  <c r="M216" i="7"/>
  <c r="AH58" i="4" s="1"/>
  <c r="N390" i="7"/>
  <c r="O564" i="7"/>
  <c r="M501" i="7"/>
  <c r="O243" i="7"/>
  <c r="AJ65" i="4" s="1"/>
  <c r="N243" i="7"/>
  <c r="AI65" i="4" s="1"/>
  <c r="O417" i="7"/>
  <c r="M306" i="7"/>
  <c r="M225" i="7"/>
  <c r="AH79" i="4" s="1"/>
  <c r="O414" i="7"/>
  <c r="N159" i="7"/>
  <c r="AI56" i="4" s="1"/>
  <c r="M351" i="7"/>
  <c r="N285" i="7"/>
  <c r="N492" i="7"/>
  <c r="M237" i="7"/>
  <c r="AH77" i="4" s="1"/>
  <c r="N171" i="7"/>
  <c r="AI76" i="4" s="1"/>
  <c r="O297" i="7"/>
  <c r="M474" i="7"/>
  <c r="O216" i="7"/>
  <c r="AJ58" i="4" s="1"/>
  <c r="O279" i="7"/>
  <c r="AJ80" i="4" s="1"/>
  <c r="M456" i="7"/>
  <c r="O198" i="7"/>
  <c r="AJ70" i="4" s="1"/>
  <c r="M375" i="7"/>
  <c r="O117" i="7"/>
  <c r="AJ41" i="4" s="1"/>
  <c r="M294" i="7"/>
  <c r="O483" i="7"/>
  <c r="N228" i="7"/>
  <c r="M492" i="7"/>
  <c r="N483" i="7"/>
  <c r="M228" i="7"/>
  <c r="N402" i="7"/>
  <c r="M147" i="7"/>
  <c r="AH44" i="4" s="1"/>
  <c r="O288" i="7"/>
  <c r="M465" i="7"/>
  <c r="N399" i="7"/>
  <c r="O333" i="7"/>
  <c r="M477" i="7"/>
  <c r="M156" i="7"/>
  <c r="O456" i="7"/>
  <c r="N201" i="7"/>
  <c r="AI72" i="4" s="1"/>
  <c r="O438" i="7"/>
  <c r="O357" i="7"/>
  <c r="N468" i="7"/>
  <c r="M213" i="7"/>
  <c r="O138" i="7"/>
  <c r="AJ51" i="4" s="1"/>
  <c r="M468" i="7"/>
  <c r="M387" i="7"/>
  <c r="N273" i="7"/>
  <c r="AI67" i="4" s="1"/>
  <c r="N192" i="7"/>
  <c r="AI83" i="4" s="1"/>
  <c r="M384" i="7"/>
  <c r="O573" i="7"/>
  <c r="M510" i="7"/>
  <c r="O459" i="7"/>
  <c r="N204" i="7"/>
  <c r="M267" i="7"/>
  <c r="AH69" i="4" s="1"/>
  <c r="N441" i="7"/>
  <c r="M168" i="7"/>
  <c r="AH66" i="4" s="1"/>
  <c r="N261" i="7"/>
  <c r="O195" i="7"/>
  <c r="AJ64" i="4" s="1"/>
  <c r="O450" i="7"/>
  <c r="M258" i="7"/>
  <c r="M177" i="7"/>
  <c r="AH60" i="4" s="1"/>
  <c r="N111" i="7"/>
  <c r="AI34" i="4" s="1"/>
  <c r="M303" i="7"/>
  <c r="N237" i="7"/>
  <c r="AI77" i="4" s="1"/>
  <c r="N444" i="7"/>
  <c r="M507" i="7"/>
  <c r="O168" i="7"/>
  <c r="AJ66" i="4" s="1"/>
  <c r="M489" i="7"/>
  <c r="O231" i="7"/>
  <c r="M408" i="7"/>
  <c r="O150" i="7"/>
  <c r="AJ57" i="4" s="1"/>
  <c r="N501" i="7"/>
  <c r="N354" i="7"/>
  <c r="O240" i="7"/>
  <c r="M417" i="7"/>
  <c r="O159" i="7"/>
  <c r="AJ56" i="4" s="1"/>
  <c r="N351" i="7"/>
  <c r="M543" i="7"/>
  <c r="N477" i="7"/>
  <c r="M222" i="7"/>
  <c r="AH74" i="4" s="1"/>
  <c r="O171" i="7"/>
  <c r="AJ76" i="4" s="1"/>
  <c r="N234" i="7"/>
  <c r="O408" i="7"/>
  <c r="N153" i="7"/>
  <c r="AI50" i="4" s="1"/>
  <c r="O471" i="7"/>
  <c r="O390" i="7"/>
  <c r="M567" i="7"/>
  <c r="M486" i="7"/>
  <c r="N420" i="7"/>
  <c r="M165" i="7"/>
  <c r="AH55" i="4" s="1"/>
  <c r="M420" i="7"/>
  <c r="N225" i="7"/>
  <c r="M336" i="7"/>
  <c r="M462" i="7"/>
  <c r="O411" i="7"/>
  <c r="N156" i="7"/>
  <c r="N474" i="7"/>
  <c r="N393" i="7"/>
  <c r="M138" i="7"/>
  <c r="AH51" i="4" s="1"/>
  <c r="M201" i="7"/>
  <c r="AH72" i="4" s="1"/>
  <c r="N375" i="7"/>
  <c r="N294" i="7"/>
  <c r="N213" i="7"/>
  <c r="AI62" i="4" s="1"/>
  <c r="M405" i="7"/>
  <c r="O147" i="7"/>
  <c r="AJ44" i="4" s="1"/>
  <c r="O402" i="7"/>
  <c r="O321" i="7"/>
  <c r="N384" i="7"/>
  <c r="N510" i="7"/>
  <c r="M255" i="7"/>
  <c r="O444" i="7"/>
  <c r="N396" i="7"/>
  <c r="M459" i="7"/>
  <c r="M378" i="7"/>
  <c r="M441" i="7"/>
  <c r="M279" i="7"/>
  <c r="AH80" i="4" s="1"/>
  <c r="M396" i="7"/>
  <c r="M198" i="7"/>
  <c r="AH70" i="4" s="1"/>
  <c r="O387" i="7"/>
  <c r="N306" i="7"/>
  <c r="N303" i="7"/>
  <c r="AI81" i="4" s="1"/>
  <c r="M174" i="7"/>
  <c r="AH48" i="4" s="1"/>
  <c r="M381" i="7"/>
  <c r="N372" i="7"/>
  <c r="M117" i="7"/>
  <c r="M372" i="7"/>
  <c r="N543" i="7"/>
  <c r="M288" i="7"/>
  <c r="N222" i="7"/>
  <c r="AI74" i="4" s="1"/>
  <c r="M414" i="7"/>
  <c r="M153" i="7"/>
  <c r="AH50" i="4" s="1"/>
  <c r="O378" i="7"/>
  <c r="M393" i="7"/>
  <c r="N324" i="7"/>
  <c r="N564" i="7"/>
  <c r="N153" i="6"/>
  <c r="N168" i="6"/>
  <c r="O198" i="6"/>
  <c r="V61" i="4" s="1"/>
  <c r="M246" i="6"/>
  <c r="N315" i="6"/>
  <c r="O291" i="6"/>
  <c r="N36" i="6"/>
  <c r="U12" i="4" s="1"/>
  <c r="N339" i="6"/>
  <c r="M84" i="6"/>
  <c r="T28" i="4" s="1"/>
  <c r="M339" i="6"/>
  <c r="O267" i="6"/>
  <c r="M153" i="6"/>
  <c r="O228" i="6"/>
  <c r="M324" i="6"/>
  <c r="O321" i="6"/>
  <c r="O336" i="6"/>
  <c r="N189" i="6"/>
  <c r="O345" i="6"/>
  <c r="M168" i="6"/>
  <c r="N198" i="6"/>
  <c r="O306" i="6"/>
  <c r="N306" i="6"/>
  <c r="N321" i="6"/>
  <c r="N336" i="6"/>
  <c r="O141" i="6"/>
  <c r="V55" i="4" s="1"/>
  <c r="M237" i="6"/>
  <c r="T60" i="4" s="1"/>
  <c r="M75" i="6"/>
  <c r="T26" i="4" s="1"/>
  <c r="O150" i="6"/>
  <c r="V51" i="4" s="1"/>
  <c r="M300" i="6"/>
  <c r="N291" i="6"/>
  <c r="M36" i="6"/>
  <c r="T12" i="4" s="1"/>
  <c r="O219" i="6"/>
  <c r="M315" i="6"/>
  <c r="N345" i="6"/>
  <c r="N228" i="6"/>
  <c r="O42" i="6"/>
  <c r="V16" i="4" s="1"/>
  <c r="O273" i="6"/>
  <c r="O288" i="6"/>
  <c r="O303" i="6"/>
  <c r="N141" i="6"/>
  <c r="U55" i="4" s="1"/>
  <c r="O297" i="6"/>
  <c r="N42" i="6"/>
  <c r="U16" i="4" s="1"/>
  <c r="N150" i="6"/>
  <c r="U51" i="4" s="1"/>
  <c r="N273" i="6"/>
  <c r="N288" i="6"/>
  <c r="O318" i="6"/>
  <c r="M189" i="6"/>
  <c r="N282" i="6"/>
  <c r="O312" i="6"/>
  <c r="O327" i="6"/>
  <c r="O195" i="6"/>
  <c r="V56" i="4" s="1"/>
  <c r="N303" i="6"/>
  <c r="O171" i="6"/>
  <c r="M267" i="6"/>
  <c r="N297" i="6"/>
  <c r="N312" i="6"/>
  <c r="O342" i="6"/>
  <c r="O225" i="6"/>
  <c r="O282" i="6"/>
  <c r="N318" i="6"/>
  <c r="O249" i="6"/>
  <c r="O39" i="6"/>
  <c r="V18" i="4" s="1"/>
  <c r="N327" i="6"/>
  <c r="O210" i="6"/>
  <c r="V47" i="4" s="1"/>
  <c r="N210" i="6"/>
  <c r="U47" i="4" s="1"/>
  <c r="N225" i="6"/>
  <c r="N75" i="6"/>
  <c r="U26" i="4" s="1"/>
  <c r="O270" i="6"/>
  <c r="O279" i="6"/>
  <c r="N342" i="6"/>
  <c r="O147" i="6"/>
  <c r="V49" i="4" s="1"/>
  <c r="N195" i="6"/>
  <c r="U56" i="4" s="1"/>
  <c r="O285" i="6"/>
  <c r="M219" i="6"/>
  <c r="N249" i="6"/>
  <c r="O294" i="6"/>
  <c r="N39" i="6"/>
  <c r="U18" i="4" s="1"/>
  <c r="O84" i="6"/>
  <c r="V28" i="4" s="1"/>
  <c r="O192" i="6"/>
  <c r="N270" i="6"/>
  <c r="O300" i="6"/>
  <c r="N171" i="6"/>
  <c r="U59" i="4" s="1"/>
  <c r="N279" i="6"/>
  <c r="O309" i="6"/>
  <c r="O324" i="6"/>
  <c r="N192" i="6"/>
  <c r="O222" i="6"/>
  <c r="V57" i="4" s="1"/>
  <c r="N285" i="6"/>
  <c r="N294" i="6"/>
  <c r="N309" i="6"/>
  <c r="N147" i="6"/>
  <c r="U49" i="4" s="1"/>
  <c r="O237" i="6"/>
  <c r="V60" i="4" s="1"/>
  <c r="O246" i="6"/>
  <c r="N222" i="6"/>
  <c r="U57" i="4" s="1"/>
  <c r="C43" i="4"/>
  <c r="E43" i="4" s="1"/>
  <c r="D38" i="4"/>
  <c r="AU12" i="4"/>
  <c r="R32" i="4"/>
  <c r="S32" i="4" s="1"/>
  <c r="BC20" i="4"/>
  <c r="AW20" i="4" s="1"/>
  <c r="AA32" i="4"/>
  <c r="T32" i="4" s="1"/>
  <c r="Q34" i="4"/>
  <c r="D27" i="4"/>
  <c r="M16" i="4"/>
  <c r="F16" i="4" s="1"/>
  <c r="BC40" i="4"/>
  <c r="Q38" i="4"/>
  <c r="C38" i="4"/>
  <c r="E38" i="4" s="1"/>
  <c r="AS20" i="4"/>
  <c r="AA34" i="4"/>
  <c r="V34" i="4" s="1"/>
  <c r="AT20" i="4"/>
  <c r="C27" i="4"/>
  <c r="E27" i="4" s="1"/>
  <c r="AG17" i="4"/>
  <c r="M27" i="4"/>
  <c r="H27" i="4" s="1"/>
  <c r="Q62" i="4"/>
  <c r="AA62" i="4"/>
  <c r="T62" i="4" s="1"/>
  <c r="AS40" i="4"/>
  <c r="AU40" i="4" s="1"/>
  <c r="AS10" i="4"/>
  <c r="AT17" i="4"/>
  <c r="AU17" i="4" s="1"/>
  <c r="AT43" i="4"/>
  <c r="AU43" i="4" s="1"/>
  <c r="Q72" i="4"/>
  <c r="AA50" i="4"/>
  <c r="E6" i="4"/>
  <c r="Q65" i="4"/>
  <c r="BC10" i="4"/>
  <c r="AX10" i="4" s="1"/>
  <c r="AT10" i="4"/>
  <c r="C42" i="4"/>
  <c r="E42" i="4" s="1"/>
  <c r="AX52" i="4"/>
  <c r="AE63" i="4"/>
  <c r="AG63" i="4" s="1"/>
  <c r="AB64" i="2"/>
  <c r="AS33" i="4"/>
  <c r="H83" i="2"/>
  <c r="R52" i="2"/>
  <c r="R56" i="2"/>
  <c r="S41" i="4"/>
  <c r="AS35" i="4"/>
  <c r="H84" i="2"/>
  <c r="AB29" i="2"/>
  <c r="AB26" i="2"/>
  <c r="H34" i="2"/>
  <c r="D34" i="4"/>
  <c r="E34" i="4" s="1"/>
  <c r="AA31" i="4"/>
  <c r="U31" i="4" s="1"/>
  <c r="H9" i="2"/>
  <c r="AF47" i="4"/>
  <c r="AB49" i="2"/>
  <c r="H62" i="2"/>
  <c r="H63" i="2"/>
  <c r="AG36" i="4"/>
  <c r="AT18" i="4"/>
  <c r="AS32" i="4"/>
  <c r="H81" i="2"/>
  <c r="AA17" i="4"/>
  <c r="V17" i="4" s="1"/>
  <c r="R17" i="2"/>
  <c r="H69" i="2"/>
  <c r="H79" i="2"/>
  <c r="R74" i="2"/>
  <c r="R59" i="2"/>
  <c r="AG68" i="4"/>
  <c r="R77" i="2"/>
  <c r="R47" i="2"/>
  <c r="AF81" i="4"/>
  <c r="AB72" i="2"/>
  <c r="M23" i="4"/>
  <c r="H23" i="4" s="1"/>
  <c r="BY72" i="4"/>
  <c r="R31" i="4"/>
  <c r="AF78" i="4"/>
  <c r="R42" i="2"/>
  <c r="R44" i="2"/>
  <c r="AF46" i="4"/>
  <c r="Q39" i="4"/>
  <c r="S39" i="4" s="1"/>
  <c r="R45" i="2"/>
  <c r="R63" i="2"/>
  <c r="R67" i="2"/>
  <c r="Q66" i="4"/>
  <c r="AF26" i="4"/>
  <c r="AB28" i="2"/>
  <c r="R76" i="2"/>
  <c r="R78" i="2"/>
  <c r="H82" i="2"/>
  <c r="H76" i="2"/>
  <c r="D28" i="4"/>
  <c r="H29" i="2"/>
  <c r="R7" i="4"/>
  <c r="R81" i="2"/>
  <c r="AA41" i="4"/>
  <c r="U41" i="4" s="1"/>
  <c r="C23" i="4"/>
  <c r="AW8" i="4"/>
  <c r="AX49" i="4"/>
  <c r="AW43" i="4"/>
  <c r="Q48" i="4"/>
  <c r="BY95" i="4"/>
  <c r="AT32" i="4"/>
  <c r="AX5" i="4"/>
  <c r="Q83" i="4"/>
  <c r="S83" i="4" s="1"/>
  <c r="Q95" i="4"/>
  <c r="S95" i="4" s="1"/>
  <c r="D32" i="4"/>
  <c r="BC35" i="4"/>
  <c r="AW35" i="4" s="1"/>
  <c r="C32" i="4"/>
  <c r="AS30" i="4"/>
  <c r="C28" i="4"/>
  <c r="M32" i="4"/>
  <c r="H32" i="4" s="1"/>
  <c r="AO81" i="4"/>
  <c r="AT30" i="4"/>
  <c r="AT35" i="4"/>
  <c r="Q17" i="4"/>
  <c r="AS47" i="4"/>
  <c r="S73" i="4"/>
  <c r="BC30" i="4"/>
  <c r="AX30" i="4" s="1"/>
  <c r="AE89" i="4"/>
  <c r="AG89" i="4" s="1"/>
  <c r="AE81" i="4"/>
  <c r="R17" i="4"/>
  <c r="S17" i="4" s="1"/>
  <c r="AA48" i="4"/>
  <c r="U48" i="4" s="1"/>
  <c r="AT47" i="4"/>
  <c r="M28" i="4"/>
  <c r="H28" i="4" s="1"/>
  <c r="S10" i="4"/>
  <c r="AW47" i="4"/>
  <c r="E12" i="4"/>
  <c r="BY83" i="4"/>
  <c r="AU38" i="4"/>
  <c r="AX44" i="4"/>
  <c r="AX19" i="4"/>
  <c r="AV15" i="4"/>
  <c r="AX36" i="4"/>
  <c r="AV43" i="4"/>
  <c r="AX34" i="4"/>
  <c r="AV26" i="4"/>
  <c r="AV28" i="4"/>
  <c r="AW29" i="4"/>
  <c r="AV5" i="4"/>
  <c r="H61" i="2"/>
  <c r="H17" i="2"/>
  <c r="H13" i="2"/>
  <c r="H77" i="2"/>
  <c r="AO63" i="4"/>
  <c r="AI63" i="4" s="1"/>
  <c r="AE47" i="4"/>
  <c r="AO46" i="4"/>
  <c r="AJ46" i="4" s="1"/>
  <c r="AE26" i="4"/>
  <c r="BC18" i="4"/>
  <c r="AW18" i="4" s="1"/>
  <c r="D16" i="4"/>
  <c r="R61" i="2"/>
  <c r="R55" i="2"/>
  <c r="R60" i="2"/>
  <c r="AB52" i="2"/>
  <c r="H27" i="2"/>
  <c r="D23" i="4"/>
  <c r="R83" i="2"/>
  <c r="AB25" i="2"/>
  <c r="AF18" i="4"/>
  <c r="R19" i="2"/>
  <c r="AO41" i="4"/>
  <c r="AI41" i="4" s="1"/>
  <c r="H73" i="2"/>
  <c r="AB70" i="2"/>
  <c r="AB55" i="2"/>
  <c r="AO26" i="4"/>
  <c r="AH26" i="4" s="1"/>
  <c r="S77" i="4"/>
  <c r="R66" i="2"/>
  <c r="H39" i="2"/>
  <c r="H37" i="2"/>
  <c r="AB16" i="2"/>
  <c r="AB18" i="2"/>
  <c r="AG64" i="4"/>
  <c r="R43" i="2"/>
  <c r="R37" i="2"/>
  <c r="H41" i="2"/>
  <c r="H43" i="2"/>
  <c r="R101" i="4"/>
  <c r="S101" i="4" s="1"/>
  <c r="S14" i="4"/>
  <c r="AB62" i="2"/>
  <c r="C16" i="4"/>
  <c r="AB84" i="2"/>
  <c r="AE18" i="4"/>
  <c r="R32" i="2"/>
  <c r="R33" i="2"/>
  <c r="H35" i="2"/>
  <c r="BY101" i="4"/>
  <c r="AB56" i="2"/>
  <c r="AB42" i="2"/>
  <c r="R57" i="2"/>
  <c r="R73" i="2"/>
  <c r="H74" i="2"/>
  <c r="H78" i="2"/>
  <c r="H33" i="2"/>
  <c r="H32" i="2"/>
  <c r="H31" i="2"/>
  <c r="AB27" i="2"/>
  <c r="AG45" i="4"/>
  <c r="AT33" i="4"/>
  <c r="D19" i="4"/>
  <c r="S45" i="4"/>
  <c r="AO18" i="4"/>
  <c r="AJ18" i="4" s="1"/>
  <c r="R16" i="2"/>
  <c r="R10" i="2"/>
  <c r="H14" i="2"/>
  <c r="AB57" i="2"/>
  <c r="AB53" i="2"/>
  <c r="AB48" i="2"/>
  <c r="AB8" i="2"/>
  <c r="H25" i="2"/>
  <c r="H28" i="2"/>
  <c r="AB37" i="2"/>
  <c r="AB35" i="2"/>
  <c r="AB9" i="2"/>
  <c r="AB10" i="2"/>
  <c r="Q74" i="4"/>
  <c r="S66" i="4"/>
  <c r="BC33" i="4"/>
  <c r="AV33" i="4" s="1"/>
  <c r="AB73" i="2"/>
  <c r="AS18" i="4"/>
  <c r="R64" i="2"/>
  <c r="R70" i="2"/>
  <c r="H71" i="2"/>
  <c r="AB33" i="2"/>
  <c r="AB30" i="2"/>
  <c r="AG75" i="4"/>
  <c r="R74" i="4"/>
  <c r="AE83" i="4"/>
  <c r="AG83" i="4" s="1"/>
  <c r="AF24" i="4"/>
  <c r="AW5" i="4"/>
  <c r="R39" i="2"/>
  <c r="AB75" i="2"/>
  <c r="AB78" i="2"/>
  <c r="AB77" i="2"/>
  <c r="H40" i="2"/>
  <c r="H42" i="2"/>
  <c r="AO83" i="4"/>
  <c r="AJ83" i="4" s="1"/>
  <c r="AO24" i="4"/>
  <c r="AJ24" i="4" s="1"/>
  <c r="AS37" i="4"/>
  <c r="S58" i="4"/>
  <c r="R40" i="2"/>
  <c r="AB66" i="2"/>
  <c r="AE46" i="4"/>
  <c r="AU28" i="4"/>
  <c r="AE24" i="4"/>
  <c r="AT37" i="4"/>
  <c r="C19" i="4"/>
  <c r="AB43" i="2"/>
  <c r="AB61" i="2"/>
  <c r="Q31" i="4"/>
  <c r="AB47" i="2"/>
  <c r="AB59" i="2"/>
  <c r="R71" i="2"/>
  <c r="R80" i="2"/>
  <c r="H80" i="2"/>
  <c r="BC37" i="4"/>
  <c r="AW37" i="4" s="1"/>
  <c r="R21" i="2"/>
  <c r="R20" i="2"/>
  <c r="AB71" i="2"/>
  <c r="AB80" i="2"/>
  <c r="R35" i="2"/>
  <c r="R34" i="4"/>
  <c r="S34" i="4" s="1"/>
  <c r="AB54" i="2"/>
  <c r="AB68" i="2"/>
  <c r="AW26" i="4"/>
  <c r="AX50" i="4"/>
  <c r="M480" i="9"/>
  <c r="M473" i="9"/>
  <c r="AX29" i="4"/>
  <c r="AV29" i="4"/>
  <c r="AV23" i="4"/>
  <c r="AX23" i="4"/>
  <c r="AV47" i="4"/>
  <c r="AV34" i="4"/>
  <c r="BY81" i="4"/>
  <c r="R72" i="2"/>
  <c r="M19" i="4"/>
  <c r="G19" i="4" s="1"/>
  <c r="H23" i="2"/>
  <c r="AG53" i="4"/>
  <c r="BY74" i="4"/>
  <c r="R69" i="2"/>
  <c r="R62" i="4"/>
  <c r="R89" i="4"/>
  <c r="AT31" i="4"/>
  <c r="AO12" i="4"/>
  <c r="AI12" i="4" s="1"/>
  <c r="AB13" i="2"/>
  <c r="BC31" i="4"/>
  <c r="AV31" i="4" s="1"/>
  <c r="H5" i="2"/>
  <c r="D8" i="4"/>
  <c r="E8" i="4" s="1"/>
  <c r="H15" i="2"/>
  <c r="AU52" i="4"/>
  <c r="S63" i="4"/>
  <c r="AG61" i="4"/>
  <c r="AS31" i="4"/>
  <c r="R48" i="4"/>
  <c r="AX45" i="4"/>
  <c r="AX32" i="4"/>
  <c r="AW46" i="4"/>
  <c r="AW45" i="4"/>
  <c r="AV9" i="4"/>
  <c r="AV48" i="4"/>
  <c r="AW42" i="4"/>
  <c r="AX47" i="4"/>
  <c r="AX40" i="4"/>
  <c r="M514" i="9"/>
  <c r="M607" i="9"/>
  <c r="M624" i="9"/>
  <c r="M619" i="9"/>
  <c r="M631" i="9"/>
  <c r="M529" i="9"/>
  <c r="M594" i="9"/>
  <c r="M621" i="9"/>
  <c r="M530" i="9"/>
  <c r="M533" i="9"/>
  <c r="M608" i="9"/>
  <c r="M612" i="9"/>
  <c r="M597" i="9"/>
  <c r="M606" i="9"/>
  <c r="M605" i="9"/>
  <c r="M613" i="9"/>
  <c r="M611" i="9"/>
  <c r="M609" i="9"/>
  <c r="M610" i="9"/>
  <c r="M441" i="9"/>
  <c r="M453" i="9"/>
  <c r="M565" i="9"/>
  <c r="M562" i="9"/>
  <c r="M544" i="9"/>
  <c r="M542" i="9"/>
  <c r="M457" i="9"/>
  <c r="M482" i="9"/>
  <c r="M462" i="9"/>
  <c r="M483" i="9"/>
  <c r="M477" i="9"/>
  <c r="M489" i="9"/>
  <c r="M503" i="9"/>
  <c r="M570" i="9"/>
  <c r="M566" i="9"/>
  <c r="M497" i="9"/>
  <c r="M506" i="9"/>
  <c r="M561" i="9"/>
  <c r="M560" i="9"/>
  <c r="M447" i="9"/>
  <c r="M479" i="9"/>
  <c r="M476" i="9"/>
  <c r="M486" i="9"/>
  <c r="M510" i="9"/>
  <c r="M537" i="9"/>
  <c r="M557" i="9"/>
  <c r="M553" i="9"/>
  <c r="AW34" i="4"/>
  <c r="AW23" i="4"/>
  <c r="AV24" i="4"/>
  <c r="AW41" i="4"/>
  <c r="AX26" i="4"/>
  <c r="AW13" i="4"/>
  <c r="AX39" i="4"/>
  <c r="AG10" i="4"/>
  <c r="AU24" i="4"/>
  <c r="AU11" i="4"/>
  <c r="AF12" i="4"/>
  <c r="E7" i="4"/>
  <c r="S24" i="4"/>
  <c r="AE59" i="4"/>
  <c r="AX6" i="4"/>
  <c r="AG9" i="4"/>
  <c r="AW6" i="4"/>
  <c r="AV6" i="4"/>
  <c r="E16" i="4"/>
  <c r="E15" i="4"/>
  <c r="AX24" i="4"/>
  <c r="AE12" i="4"/>
  <c r="E14" i="4"/>
  <c r="AX22" i="4"/>
  <c r="AV22" i="4"/>
  <c r="E10" i="4"/>
  <c r="AF40" i="4"/>
  <c r="E5" i="4"/>
  <c r="AG38" i="4"/>
  <c r="BY96" i="4"/>
  <c r="AW24" i="4"/>
  <c r="AG73" i="4"/>
  <c r="AF59" i="4"/>
  <c r="AE21" i="4"/>
  <c r="AO59" i="4"/>
  <c r="AJ59" i="4" s="1"/>
  <c r="AG8" i="4"/>
  <c r="S26" i="4"/>
  <c r="AG14" i="4"/>
  <c r="AG96" i="4"/>
  <c r="AW22" i="4"/>
  <c r="AG44" i="4"/>
  <c r="E4" i="4"/>
  <c r="S13" i="4"/>
  <c r="AG27" i="4"/>
  <c r="AV13" i="4"/>
  <c r="S29" i="4"/>
  <c r="AW32" i="4"/>
  <c r="AU25" i="4"/>
  <c r="AV45" i="4"/>
  <c r="AW17" i="4"/>
  <c r="AW51" i="4"/>
  <c r="AO21" i="4"/>
  <c r="AH21" i="4" s="1"/>
  <c r="AF21" i="4"/>
  <c r="AX4" i="4"/>
  <c r="AG102" i="4"/>
  <c r="S3" i="4"/>
  <c r="S43" i="4"/>
  <c r="E35" i="4"/>
  <c r="AG4" i="4"/>
  <c r="S91" i="4"/>
  <c r="AW4" i="4"/>
  <c r="AU45" i="4"/>
  <c r="S97" i="4"/>
  <c r="Q59" i="4"/>
  <c r="AU41" i="4"/>
  <c r="AG72" i="4"/>
  <c r="E13" i="4"/>
  <c r="AG76" i="4"/>
  <c r="AG52" i="4"/>
  <c r="AG90" i="4"/>
  <c r="AV4" i="4"/>
  <c r="S72" i="4"/>
  <c r="AU8" i="4"/>
  <c r="E48" i="4"/>
  <c r="S23" i="4"/>
  <c r="R96" i="4"/>
  <c r="S96" i="4" s="1"/>
  <c r="BY84" i="4"/>
  <c r="AO40" i="4"/>
  <c r="AH40" i="4" s="1"/>
  <c r="AG55" i="4"/>
  <c r="E44" i="4"/>
  <c r="AU14" i="4"/>
  <c r="S12" i="4"/>
  <c r="S37" i="4"/>
  <c r="AG23" i="4"/>
  <c r="S57" i="4"/>
  <c r="AX13" i="4"/>
  <c r="AW9" i="4"/>
  <c r="AV32" i="4"/>
  <c r="AX9" i="4"/>
  <c r="AX43" i="4"/>
  <c r="S53" i="4"/>
  <c r="AG15" i="4"/>
  <c r="AF6" i="4"/>
  <c r="E11" i="4"/>
  <c r="AX41" i="4"/>
  <c r="E37" i="4"/>
  <c r="E29" i="4"/>
  <c r="AU15" i="4"/>
  <c r="E22" i="4"/>
  <c r="AV41" i="4"/>
  <c r="AE6" i="4"/>
  <c r="E50" i="4"/>
  <c r="AO6" i="4"/>
  <c r="AJ6" i="4" s="1"/>
  <c r="AU13" i="4"/>
  <c r="S42" i="4"/>
  <c r="AG58" i="4"/>
  <c r="S70" i="4"/>
  <c r="S6" i="4"/>
  <c r="AU34" i="4"/>
  <c r="E21" i="4"/>
  <c r="S82" i="4"/>
  <c r="E46" i="4"/>
  <c r="S25" i="4"/>
  <c r="AU27" i="4"/>
  <c r="AG37" i="4"/>
  <c r="AG22" i="4"/>
  <c r="AG31" i="4"/>
  <c r="AE40" i="4"/>
  <c r="S8" i="4"/>
  <c r="AU22" i="4"/>
  <c r="AV52" i="4"/>
  <c r="AU50" i="4"/>
  <c r="AO82" i="4"/>
  <c r="AI82" i="4" s="1"/>
  <c r="AF82" i="4"/>
  <c r="AE82" i="4"/>
  <c r="AO79" i="4"/>
  <c r="AJ79" i="4" s="1"/>
  <c r="AF79" i="4"/>
  <c r="AG79" i="4" s="1"/>
  <c r="AG88" i="4"/>
  <c r="AF71" i="4"/>
  <c r="AO71" i="4"/>
  <c r="AJ71" i="4" s="1"/>
  <c r="AU4" i="4"/>
  <c r="AU23" i="4"/>
  <c r="E26" i="4"/>
  <c r="AA38" i="4"/>
  <c r="U38" i="4" s="1"/>
  <c r="R38" i="4"/>
  <c r="S38" i="4" s="1"/>
  <c r="S5" i="4"/>
  <c r="AG99" i="4"/>
  <c r="AG94" i="4"/>
  <c r="AU49" i="4"/>
  <c r="S67" i="4"/>
  <c r="E41" i="4"/>
  <c r="D44" i="2" s="1"/>
  <c r="S40" i="4"/>
  <c r="E31" i="4"/>
  <c r="E24" i="4"/>
  <c r="S7" i="4"/>
  <c r="S93" i="4"/>
  <c r="AV8" i="4"/>
  <c r="R59" i="4"/>
  <c r="BY59" i="4"/>
  <c r="AA59" i="4"/>
  <c r="T59" i="4" s="1"/>
  <c r="AG80" i="4"/>
  <c r="AG35" i="4"/>
  <c r="S30" i="4"/>
  <c r="S76" i="4"/>
  <c r="E36" i="4"/>
  <c r="E30" i="4"/>
  <c r="E33" i="4"/>
  <c r="AU7" i="4"/>
  <c r="BY68" i="4"/>
  <c r="R68" i="4"/>
  <c r="Q68" i="4"/>
  <c r="E45" i="4"/>
  <c r="E3" i="4"/>
  <c r="D5" i="2" s="1"/>
  <c r="AA36" i="4"/>
  <c r="V36" i="4" s="1"/>
  <c r="AW36" i="4"/>
  <c r="AG32" i="4"/>
  <c r="AG30" i="4"/>
  <c r="S28" i="4"/>
  <c r="AG98" i="4"/>
  <c r="S75" i="4"/>
  <c r="AW14" i="4"/>
  <c r="S52" i="4"/>
  <c r="S20" i="4"/>
  <c r="S9" i="4"/>
  <c r="AG51" i="4"/>
  <c r="AG67" i="4"/>
  <c r="S64" i="4"/>
  <c r="AU42" i="4"/>
  <c r="AU9" i="4"/>
  <c r="AG19" i="4"/>
  <c r="AV40" i="4"/>
  <c r="AW49" i="4"/>
  <c r="M273" i="9"/>
  <c r="M36" i="4"/>
  <c r="H36" i="4" s="1"/>
  <c r="AV7" i="4"/>
  <c r="AX7" i="4"/>
  <c r="S94" i="4"/>
  <c r="AG91" i="4"/>
  <c r="S90" i="4"/>
  <c r="AG92" i="4"/>
  <c r="AU5" i="4"/>
  <c r="AX48" i="4"/>
  <c r="AU44" i="4"/>
  <c r="S36" i="4"/>
  <c r="S35" i="4"/>
  <c r="E40" i="4"/>
  <c r="AV19" i="4"/>
  <c r="AX21" i="4"/>
  <c r="AW21" i="4"/>
  <c r="AW19" i="4"/>
  <c r="AU21" i="4"/>
  <c r="AW38" i="4"/>
  <c r="AW16" i="4"/>
  <c r="M192" i="9"/>
  <c r="S21" i="4"/>
  <c r="AG70" i="4"/>
  <c r="AA64" i="4"/>
  <c r="V64" i="4" s="1"/>
  <c r="AV44" i="4"/>
  <c r="AG60" i="4"/>
  <c r="AW44" i="4"/>
  <c r="AU19" i="4"/>
  <c r="S86" i="4"/>
  <c r="M235" i="9"/>
  <c r="AO84" i="4"/>
  <c r="AH84" i="4" s="1"/>
  <c r="S78" i="4"/>
  <c r="AU39" i="4"/>
  <c r="S44" i="4"/>
  <c r="AG56" i="4"/>
  <c r="AU29" i="4"/>
  <c r="AG42" i="4"/>
  <c r="AG84" i="4"/>
  <c r="S98" i="4"/>
  <c r="AG77" i="4"/>
  <c r="AG50" i="4"/>
  <c r="S49" i="4"/>
  <c r="AG34" i="4"/>
  <c r="AG5" i="4"/>
  <c r="AX16" i="4"/>
  <c r="AV16" i="4"/>
  <c r="AX15" i="4"/>
  <c r="AV36" i="4"/>
  <c r="AV42" i="4"/>
  <c r="AG97" i="4"/>
  <c r="AG66" i="4"/>
  <c r="S84" i="4"/>
  <c r="AW48" i="4"/>
  <c r="AG39" i="4"/>
  <c r="AG33" i="4"/>
  <c r="S15" i="4"/>
  <c r="AW12" i="4"/>
  <c r="AV12" i="4"/>
  <c r="AX12" i="4"/>
  <c r="AX11" i="4"/>
  <c r="AX46" i="4"/>
  <c r="AX38" i="4"/>
  <c r="AW40" i="4"/>
  <c r="AW15" i="4"/>
  <c r="AW50" i="4"/>
  <c r="AX27" i="4"/>
  <c r="AG25" i="4"/>
  <c r="AV50" i="4"/>
  <c r="AX42" i="4"/>
  <c r="AG13" i="4"/>
  <c r="AW27" i="4"/>
  <c r="AG7" i="4"/>
  <c r="E17" i="4"/>
  <c r="AG29" i="4"/>
  <c r="AV38" i="4"/>
  <c r="AV11" i="4"/>
  <c r="AU16" i="4"/>
  <c r="AV46" i="4"/>
  <c r="AX8" i="4"/>
  <c r="AV27" i="4"/>
  <c r="AW7" i="4"/>
  <c r="V53" i="4" l="1"/>
  <c r="U53" i="4"/>
  <c r="AI80" i="4"/>
  <c r="AH67" i="4"/>
  <c r="AJ75" i="4"/>
  <c r="AJ67" i="4"/>
  <c r="U17" i="4"/>
  <c r="AH6" i="4"/>
  <c r="AH78" i="4"/>
  <c r="G23" i="4"/>
  <c r="H18" i="4"/>
  <c r="AI11" i="4"/>
  <c r="H16" i="4"/>
  <c r="T39" i="4"/>
  <c r="G34" i="4"/>
  <c r="AV3" i="4"/>
  <c r="AJ21" i="4"/>
  <c r="D13" i="2"/>
  <c r="D43" i="2"/>
  <c r="AW28" i="4"/>
  <c r="AG47" i="4"/>
  <c r="U61" i="4"/>
  <c r="D11" i="2"/>
  <c r="AH81" i="4"/>
  <c r="G27" i="4"/>
  <c r="AU18" i="4"/>
  <c r="V58" i="4"/>
  <c r="T34" i="4"/>
  <c r="AI49" i="4"/>
  <c r="T48" i="4"/>
  <c r="T64" i="4"/>
  <c r="T22" i="4"/>
  <c r="F28" i="4"/>
  <c r="AI40" i="4"/>
  <c r="F27" i="4"/>
  <c r="AJ49" i="4"/>
  <c r="U39" i="4"/>
  <c r="G16" i="4"/>
  <c r="AI59" i="4"/>
  <c r="AG71" i="4"/>
  <c r="AH18" i="4"/>
  <c r="AH41" i="4"/>
  <c r="AH71" i="4"/>
  <c r="V27" i="4"/>
  <c r="V48" i="4"/>
  <c r="U34" i="4"/>
  <c r="G32" i="4"/>
  <c r="T41" i="4"/>
  <c r="AU33" i="4"/>
  <c r="U58" i="4"/>
  <c r="AJ26" i="4"/>
  <c r="U64" i="4"/>
  <c r="F36" i="4"/>
  <c r="S89" i="4"/>
  <c r="S31" i="4"/>
  <c r="V59" i="4"/>
  <c r="AI79" i="4"/>
  <c r="U32" i="4"/>
  <c r="G36" i="4"/>
  <c r="U36" i="4"/>
  <c r="G28" i="4"/>
  <c r="AH82" i="4"/>
  <c r="F18" i="4"/>
  <c r="AI84" i="4"/>
  <c r="G6" i="4"/>
  <c r="F32" i="4"/>
  <c r="T38" i="4"/>
  <c r="AX17" i="4"/>
  <c r="AG78" i="4"/>
  <c r="U62" i="4"/>
  <c r="AH62" i="4"/>
  <c r="S50" i="4"/>
  <c r="AJ12" i="4"/>
  <c r="AI21" i="4"/>
  <c r="V21" i="4"/>
  <c r="T27" i="4"/>
  <c r="V32" i="4"/>
  <c r="AI18" i="4"/>
  <c r="AI54" i="4"/>
  <c r="T31" i="4"/>
  <c r="V62" i="4"/>
  <c r="AG54" i="4"/>
  <c r="H19" i="4"/>
  <c r="AI24" i="4"/>
  <c r="AJ40" i="4"/>
  <c r="AJ11" i="4"/>
  <c r="AJ82" i="4"/>
  <c r="F19" i="4"/>
  <c r="V22" i="4"/>
  <c r="AI75" i="4"/>
  <c r="AI6" i="4"/>
  <c r="AI47" i="4"/>
  <c r="AH46" i="4"/>
  <c r="F8" i="4"/>
  <c r="AH75" i="4"/>
  <c r="F23" i="4"/>
  <c r="AW3" i="4"/>
  <c r="H8" i="4"/>
  <c r="AJ84" i="4"/>
  <c r="T17" i="4"/>
  <c r="AI68" i="4"/>
  <c r="AI26" i="4"/>
  <c r="T36" i="4"/>
  <c r="V31" i="4"/>
  <c r="AH59" i="4"/>
  <c r="AX51" i="4"/>
  <c r="AU20" i="4"/>
  <c r="AI71" i="4"/>
  <c r="S65" i="4"/>
  <c r="S55" i="4"/>
  <c r="S80" i="4"/>
  <c r="AV10" i="4"/>
  <c r="AW10" i="4"/>
  <c r="D16" i="2"/>
  <c r="AG69" i="4"/>
  <c r="AV14" i="4"/>
  <c r="AW30" i="4"/>
  <c r="D7" i="2"/>
  <c r="AV18" i="4"/>
  <c r="S61" i="4"/>
  <c r="AV35" i="4"/>
  <c r="AG46" i="4"/>
  <c r="S62" i="4"/>
  <c r="AV37" i="4"/>
  <c r="AX37" i="4"/>
  <c r="AX20" i="4"/>
  <c r="AX18" i="4"/>
  <c r="AX35" i="4"/>
  <c r="AV20" i="4"/>
  <c r="AU37" i="4"/>
  <c r="S27" i="4"/>
  <c r="AG24" i="4"/>
  <c r="AV30" i="4"/>
  <c r="E23" i="4"/>
  <c r="D25" i="2" s="1"/>
  <c r="AU47" i="4"/>
  <c r="AG26" i="4"/>
  <c r="AG81" i="4"/>
  <c r="D20" i="2"/>
  <c r="D27" i="2"/>
  <c r="D6" i="2"/>
  <c r="AU10" i="4"/>
  <c r="S74" i="4"/>
  <c r="AU32" i="4"/>
  <c r="S48" i="4"/>
  <c r="E28" i="4"/>
  <c r="D30" i="2" s="1"/>
  <c r="D9" i="2"/>
  <c r="AG59" i="4"/>
  <c r="D19" i="2"/>
  <c r="AU35" i="4"/>
  <c r="D17" i="2"/>
  <c r="D31" i="2"/>
  <c r="AX33" i="4"/>
  <c r="D8" i="2"/>
  <c r="E32" i="4"/>
  <c r="D34" i="2" s="1"/>
  <c r="D38" i="2"/>
  <c r="AW33" i="4"/>
  <c r="D10" i="2"/>
  <c r="D36" i="2"/>
  <c r="AU30" i="4"/>
  <c r="AX31" i="4"/>
  <c r="AW31" i="4"/>
  <c r="AG18" i="4"/>
  <c r="D37" i="2"/>
  <c r="D18" i="2"/>
  <c r="E19" i="4"/>
  <c r="D23" i="2" s="1"/>
  <c r="D15" i="2"/>
  <c r="AU31" i="4"/>
  <c r="D32" i="2"/>
  <c r="D26" i="2"/>
  <c r="AG21" i="4"/>
  <c r="D12" i="2"/>
  <c r="AG12" i="4"/>
  <c r="D40" i="2"/>
  <c r="S59" i="4"/>
  <c r="D41" i="2"/>
  <c r="AG40" i="4"/>
  <c r="AG6" i="4"/>
  <c r="AG82" i="4"/>
  <c r="D39" i="2"/>
  <c r="D42" i="2"/>
  <c r="D22" i="2"/>
  <c r="D28" i="2"/>
  <c r="D35" i="2"/>
  <c r="S68" i="4"/>
  <c r="M241" i="9"/>
  <c r="AO85" i="4"/>
  <c r="M204" i="9"/>
  <c r="AA65" i="4"/>
  <c r="T65" i="4" s="1"/>
  <c r="M278" i="9"/>
  <c r="M37" i="4"/>
  <c r="U65" i="4" l="1"/>
  <c r="H37" i="4"/>
  <c r="G37" i="4"/>
  <c r="F37" i="4"/>
  <c r="AJ85" i="4"/>
  <c r="AI85" i="4"/>
  <c r="AH85" i="4"/>
  <c r="V65" i="4"/>
  <c r="D29" i="2"/>
  <c r="D33" i="2"/>
  <c r="D21" i="2"/>
  <c r="D24" i="2"/>
  <c r="BV22" i="4"/>
  <c r="R268" i="9" s="1"/>
  <c r="BV18" i="4"/>
  <c r="R264" i="9" s="1"/>
  <c r="BV61" i="4"/>
  <c r="BV45" i="4"/>
  <c r="R291" i="9" s="1"/>
  <c r="N332" i="9" s="1"/>
  <c r="AY45" i="4" s="1"/>
  <c r="BV79" i="4"/>
  <c r="BV33" i="4"/>
  <c r="R279" i="9" s="1"/>
  <c r="BV73" i="4"/>
  <c r="BV29" i="4"/>
  <c r="R275" i="9" s="1"/>
  <c r="BV24" i="4"/>
  <c r="R270" i="9" s="1"/>
  <c r="BV13" i="4"/>
  <c r="R259" i="9" s="1"/>
  <c r="BV72" i="4"/>
  <c r="BV92" i="4"/>
  <c r="BV5" i="4"/>
  <c r="R251" i="9" s="1"/>
  <c r="BV77" i="4"/>
  <c r="BV20" i="4"/>
  <c r="R266" i="9" s="1"/>
  <c r="BV27" i="4"/>
  <c r="R273" i="9" s="1"/>
  <c r="N188" i="9" s="1"/>
  <c r="AY27" i="4" s="1"/>
  <c r="BV21" i="4"/>
  <c r="R267" i="9" s="1"/>
  <c r="BV89" i="4"/>
  <c r="BV80" i="4"/>
  <c r="BV90" i="4"/>
  <c r="BV49" i="4"/>
  <c r="R295" i="9" s="1"/>
  <c r="BV25" i="4"/>
  <c r="R271" i="9" s="1"/>
  <c r="BV16" i="4"/>
  <c r="R262" i="9" s="1"/>
  <c r="BV64" i="4"/>
  <c r="BV98" i="4"/>
  <c r="BV74" i="4"/>
  <c r="BV9" i="4"/>
  <c r="R255" i="9" s="1"/>
  <c r="BV82" i="4"/>
  <c r="BV58" i="4"/>
  <c r="BV93" i="4"/>
  <c r="BV57" i="4"/>
  <c r="BV66" i="4"/>
  <c r="BV26" i="4"/>
  <c r="R272" i="9" s="1"/>
  <c r="BV4" i="4"/>
  <c r="R250" i="9" s="1"/>
  <c r="BV50" i="4"/>
  <c r="R296" i="9" s="1"/>
  <c r="BV10" i="4"/>
  <c r="R256" i="9" s="1"/>
  <c r="BV100" i="4"/>
  <c r="BV52" i="4"/>
  <c r="R298" i="9" s="1"/>
  <c r="N354" i="9" s="1"/>
  <c r="BV34" i="4"/>
  <c r="R280" i="9" s="1"/>
  <c r="BV37" i="4"/>
  <c r="R283" i="9" s="1"/>
  <c r="BV42" i="4"/>
  <c r="R288" i="9" s="1"/>
  <c r="N326" i="9" s="1"/>
  <c r="BV87" i="4"/>
  <c r="BV97" i="4"/>
  <c r="BV3" i="4"/>
  <c r="R249" i="9" s="1"/>
  <c r="BV47" i="4"/>
  <c r="R293" i="9" s="1"/>
  <c r="BV60" i="4"/>
  <c r="BV55" i="4"/>
  <c r="BV48" i="4"/>
  <c r="R294" i="9" s="1"/>
  <c r="N338" i="9" s="1"/>
  <c r="BV68" i="4"/>
  <c r="BV15" i="4"/>
  <c r="R261" i="9" s="1"/>
  <c r="B41" i="3" s="1"/>
  <c r="BV28" i="4"/>
  <c r="R274" i="9" s="1"/>
  <c r="BV6" i="4"/>
  <c r="R252" i="9" s="1"/>
  <c r="BV96" i="4"/>
  <c r="BV17" i="4"/>
  <c r="R263" i="9" s="1"/>
  <c r="BV94" i="4"/>
  <c r="BV91" i="4"/>
  <c r="BV71" i="4"/>
  <c r="BV41" i="4"/>
  <c r="R287" i="9" s="1"/>
  <c r="BV65" i="4"/>
  <c r="BV78" i="4"/>
  <c r="BV75" i="4"/>
  <c r="BV39" i="4"/>
  <c r="R285" i="9" s="1"/>
  <c r="BV101" i="4"/>
  <c r="BV62" i="4"/>
  <c r="BV7" i="4"/>
  <c r="R253" i="9" s="1"/>
  <c r="BV99" i="4"/>
  <c r="BV88" i="4"/>
  <c r="BV83" i="4"/>
  <c r="BV95" i="4"/>
  <c r="BV76" i="4"/>
  <c r="BV85" i="4"/>
  <c r="BV40" i="4"/>
  <c r="R286" i="9" s="1"/>
  <c r="BV11" i="4"/>
  <c r="R257" i="9" s="1"/>
  <c r="BV36" i="4"/>
  <c r="R282" i="9" s="1"/>
  <c r="BV67" i="4"/>
  <c r="BV63" i="4"/>
  <c r="BV44" i="4"/>
  <c r="R290" i="9" s="1"/>
  <c r="BV69" i="4"/>
  <c r="BV46" i="4"/>
  <c r="R292" i="9" s="1"/>
  <c r="BV84" i="4"/>
  <c r="BV19" i="4"/>
  <c r="R265" i="9" s="1"/>
  <c r="B45" i="3" s="1"/>
  <c r="BV31" i="4"/>
  <c r="R277" i="9" s="1"/>
  <c r="BV12" i="4"/>
  <c r="R258" i="9" s="1"/>
  <c r="BV53" i="4"/>
  <c r="BV23" i="4"/>
  <c r="R269" i="9" s="1"/>
  <c r="B49" i="3" s="1"/>
  <c r="BV8" i="4"/>
  <c r="R254" i="9" s="1"/>
  <c r="BV81" i="4"/>
  <c r="BV51" i="4"/>
  <c r="R297" i="9" s="1"/>
  <c r="BV30" i="4"/>
  <c r="R276" i="9" s="1"/>
  <c r="BV59" i="4"/>
  <c r="BV102" i="4"/>
  <c r="BV56" i="4"/>
  <c r="BV32" i="4"/>
  <c r="R278" i="9" s="1"/>
  <c r="BV35" i="4"/>
  <c r="R281" i="9" s="1"/>
  <c r="BV14" i="4"/>
  <c r="R260" i="9" s="1"/>
  <c r="B42" i="3" s="1"/>
  <c r="BV43" i="4"/>
  <c r="R289" i="9" s="1"/>
  <c r="BV86" i="4"/>
  <c r="BV70" i="4"/>
  <c r="BV54" i="4"/>
  <c r="BV38" i="4"/>
  <c r="R284" i="9" s="1"/>
  <c r="N345" i="9"/>
  <c r="N361" i="9"/>
  <c r="B48" i="3"/>
  <c r="M330" i="9"/>
  <c r="M38" i="4"/>
  <c r="M244" i="9"/>
  <c r="AO86" i="4"/>
  <c r="M209" i="9"/>
  <c r="AA66" i="4"/>
  <c r="B52" i="3" l="1"/>
  <c r="B46" i="3"/>
  <c r="B50" i="3"/>
  <c r="B43" i="3"/>
  <c r="T66" i="4"/>
  <c r="V66" i="4"/>
  <c r="U66" i="4"/>
  <c r="AH86" i="4"/>
  <c r="AJ86" i="4"/>
  <c r="AI86" i="4"/>
  <c r="F38" i="4"/>
  <c r="H38" i="4"/>
  <c r="G38" i="4"/>
  <c r="N337" i="9"/>
  <c r="AY48" i="4" s="1"/>
  <c r="N324" i="9"/>
  <c r="AY43" i="4" s="1"/>
  <c r="N319" i="9"/>
  <c r="AY40" i="4" s="1"/>
  <c r="N349" i="9"/>
  <c r="B51" i="3"/>
  <c r="B44" i="3"/>
  <c r="B47" i="3"/>
  <c r="N323" i="9"/>
  <c r="AY42" i="4" s="1"/>
  <c r="N348" i="9"/>
  <c r="M212" i="9"/>
  <c r="AA67" i="4"/>
  <c r="M333" i="9"/>
  <c r="M39" i="4"/>
  <c r="M246" i="9"/>
  <c r="AO87" i="4"/>
  <c r="F39" i="4" l="1"/>
  <c r="H39" i="4"/>
  <c r="G39" i="4"/>
  <c r="AJ87" i="4"/>
  <c r="AI87" i="4"/>
  <c r="AH87" i="4"/>
  <c r="V67" i="4"/>
  <c r="U67" i="4"/>
  <c r="T67" i="4"/>
  <c r="M247" i="9"/>
  <c r="AO88" i="4"/>
  <c r="M213" i="9"/>
  <c r="AA68" i="4"/>
  <c r="M344" i="9"/>
  <c r="M40" i="4"/>
  <c r="AI88" i="4" l="1"/>
  <c r="AJ88" i="4"/>
  <c r="AH88" i="4"/>
  <c r="G40" i="4"/>
  <c r="F40" i="4"/>
  <c r="H40" i="4"/>
  <c r="U68" i="4"/>
  <c r="V68" i="4"/>
  <c r="T68" i="4"/>
  <c r="M227" i="9"/>
  <c r="AA69" i="4"/>
  <c r="M251" i="9"/>
  <c r="AO89" i="4"/>
  <c r="M353" i="9"/>
  <c r="M41" i="4"/>
  <c r="F41" i="4" l="1"/>
  <c r="H41" i="4"/>
  <c r="G41" i="4"/>
  <c r="V69" i="4"/>
  <c r="U69" i="4"/>
  <c r="T69" i="4"/>
  <c r="AJ89" i="4"/>
  <c r="AI89" i="4"/>
  <c r="AH89" i="4"/>
  <c r="M231" i="9"/>
  <c r="AA70" i="4"/>
  <c r="M364" i="9"/>
  <c r="M42" i="4"/>
  <c r="M253" i="9"/>
  <c r="AO90" i="4"/>
  <c r="H42" i="4" l="1"/>
  <c r="G42" i="4"/>
  <c r="F42" i="4"/>
  <c r="AI90" i="4"/>
  <c r="AJ90" i="4"/>
  <c r="AH90" i="4"/>
  <c r="V70" i="4"/>
  <c r="T70" i="4"/>
  <c r="U70" i="4"/>
  <c r="M255" i="9"/>
  <c r="AO91" i="4"/>
  <c r="M240" i="9"/>
  <c r="AA71" i="4"/>
  <c r="M368" i="9"/>
  <c r="M43" i="4"/>
  <c r="F43" i="4" l="1"/>
  <c r="H43" i="4"/>
  <c r="G43" i="4"/>
  <c r="AH91" i="4"/>
  <c r="AI91" i="4"/>
  <c r="AJ91" i="4"/>
  <c r="T71" i="4"/>
  <c r="V71" i="4"/>
  <c r="U71" i="4"/>
  <c r="M256" i="9"/>
  <c r="AO92" i="4"/>
  <c r="M245" i="9"/>
  <c r="AA72" i="4"/>
  <c r="M382" i="9"/>
  <c r="M44" i="4"/>
  <c r="H44" i="4" l="1"/>
  <c r="G44" i="4"/>
  <c r="F44" i="4"/>
  <c r="T72" i="4"/>
  <c r="V72" i="4"/>
  <c r="U72" i="4"/>
  <c r="AJ92" i="4"/>
  <c r="AI92" i="4"/>
  <c r="AH92" i="4"/>
  <c r="M394" i="9"/>
  <c r="M45" i="4"/>
  <c r="M261" i="9"/>
  <c r="AO93" i="4"/>
  <c r="M250" i="9"/>
  <c r="AA73" i="4"/>
  <c r="AJ93" i="4" l="1"/>
  <c r="AH93" i="4"/>
  <c r="AI93" i="4"/>
  <c r="H45" i="4"/>
  <c r="F45" i="4"/>
  <c r="G45" i="4"/>
  <c r="V73" i="4"/>
  <c r="T73" i="4"/>
  <c r="U73" i="4"/>
  <c r="M409" i="9"/>
  <c r="M46" i="4"/>
  <c r="M252" i="9"/>
  <c r="AA74" i="4"/>
  <c r="M262" i="9"/>
  <c r="AO94" i="4"/>
  <c r="T74" i="4" l="1"/>
  <c r="U74" i="4"/>
  <c r="V74" i="4"/>
  <c r="AH94" i="4"/>
  <c r="AJ94" i="4"/>
  <c r="AI94" i="4"/>
  <c r="H46" i="4"/>
  <c r="G46" i="4"/>
  <c r="F46" i="4"/>
  <c r="M265" i="9"/>
  <c r="AO95" i="4"/>
  <c r="M257" i="9"/>
  <c r="AA75" i="4"/>
  <c r="M413" i="9"/>
  <c r="M47" i="4"/>
  <c r="T75" i="4" l="1"/>
  <c r="V75" i="4"/>
  <c r="U75" i="4"/>
  <c r="AI95" i="4"/>
  <c r="AJ95" i="4"/>
  <c r="AH95" i="4"/>
  <c r="G47" i="4"/>
  <c r="F47" i="4"/>
  <c r="H47" i="4"/>
  <c r="M266" i="9"/>
  <c r="AO96" i="4"/>
  <c r="M415" i="9"/>
  <c r="M48" i="4"/>
  <c r="M259" i="9"/>
  <c r="AA76" i="4"/>
  <c r="AJ96" i="4" l="1"/>
  <c r="AI96" i="4"/>
  <c r="AH96" i="4"/>
  <c r="G48" i="4"/>
  <c r="H48" i="4"/>
  <c r="F48" i="4"/>
  <c r="U76" i="4"/>
  <c r="V76" i="4"/>
  <c r="T76" i="4"/>
  <c r="M274" i="9"/>
  <c r="AO97" i="4"/>
  <c r="M260" i="9"/>
  <c r="AA77" i="4"/>
  <c r="M424" i="9"/>
  <c r="M49" i="4"/>
  <c r="T77" i="4" l="1"/>
  <c r="U77" i="4"/>
  <c r="V77" i="4"/>
  <c r="AI97" i="4"/>
  <c r="AH97" i="4"/>
  <c r="AJ97" i="4"/>
  <c r="F49" i="4"/>
  <c r="G49" i="4"/>
  <c r="H49" i="4"/>
  <c r="M263" i="9"/>
  <c r="AA78" i="4"/>
  <c r="M275" i="9"/>
  <c r="AO98" i="4"/>
  <c r="M438" i="9"/>
  <c r="M50" i="4"/>
  <c r="H50" i="4" l="1"/>
  <c r="F50" i="4"/>
  <c r="G50" i="4"/>
  <c r="V78" i="4"/>
  <c r="T78" i="4"/>
  <c r="U78" i="4"/>
  <c r="AI98" i="4"/>
  <c r="AJ98" i="4"/>
  <c r="AH98" i="4"/>
  <c r="M279" i="9"/>
  <c r="AO99" i="4"/>
  <c r="BG3" i="4"/>
  <c r="R1" i="9" s="1"/>
  <c r="M471" i="9"/>
  <c r="M444" i="9"/>
  <c r="M267" i="9"/>
  <c r="AA79" i="4"/>
  <c r="T79" i="4" l="1"/>
  <c r="V79" i="4"/>
  <c r="U79" i="4"/>
  <c r="AH99" i="4"/>
  <c r="AJ99" i="4"/>
  <c r="AI99" i="4"/>
  <c r="BG17" i="4"/>
  <c r="R15" i="9" s="1"/>
  <c r="BG21" i="4"/>
  <c r="R19" i="9" s="1"/>
  <c r="BG86" i="4"/>
  <c r="BG54" i="4"/>
  <c r="BG45" i="4"/>
  <c r="R43" i="9" s="1"/>
  <c r="N397" i="9" s="1"/>
  <c r="BG65" i="4"/>
  <c r="BG87" i="4"/>
  <c r="BG12" i="4"/>
  <c r="R10" i="9" s="1"/>
  <c r="BG62" i="4"/>
  <c r="BG96" i="4"/>
  <c r="BG64" i="4"/>
  <c r="BG93" i="4"/>
  <c r="BG101" i="4"/>
  <c r="BG39" i="4"/>
  <c r="R37" i="9" s="1"/>
  <c r="BG73" i="4"/>
  <c r="BG31" i="4"/>
  <c r="R29" i="9" s="1"/>
  <c r="BG98" i="4"/>
  <c r="BG16" i="4"/>
  <c r="R14" i="9" s="1"/>
  <c r="BG15" i="4"/>
  <c r="R13" i="9" s="1"/>
  <c r="BG76" i="4"/>
  <c r="BG29" i="4"/>
  <c r="R27" i="9" s="1"/>
  <c r="BG50" i="4"/>
  <c r="R48" i="9" s="1"/>
  <c r="N484" i="9" s="1"/>
  <c r="BG24" i="4"/>
  <c r="R22" i="9" s="1"/>
  <c r="BG40" i="4"/>
  <c r="R38" i="9" s="1"/>
  <c r="BG26" i="4"/>
  <c r="R24" i="9" s="1"/>
  <c r="BG66" i="4"/>
  <c r="BG23" i="4"/>
  <c r="R21" i="9" s="1"/>
  <c r="BG102" i="4"/>
  <c r="BG68" i="4"/>
  <c r="BG58" i="4"/>
  <c r="BG32" i="4"/>
  <c r="R30" i="9" s="1"/>
  <c r="BG14" i="4"/>
  <c r="R12" i="9" s="1"/>
  <c r="BG80" i="4"/>
  <c r="BG89" i="4"/>
  <c r="BG36" i="4"/>
  <c r="R34" i="9" s="1"/>
  <c r="BG72" i="4"/>
  <c r="BG41" i="4"/>
  <c r="R39" i="9" s="1"/>
  <c r="BG35" i="4"/>
  <c r="R33" i="9" s="1"/>
  <c r="BG75" i="4"/>
  <c r="BG77" i="4"/>
  <c r="BG33" i="4"/>
  <c r="R31" i="9" s="1"/>
  <c r="BG55" i="4"/>
  <c r="BG67" i="4"/>
  <c r="BG30" i="4"/>
  <c r="R28" i="9" s="1"/>
  <c r="BG6" i="4"/>
  <c r="R4" i="9" s="1"/>
  <c r="BG52" i="4"/>
  <c r="BG37" i="4"/>
  <c r="R35" i="9" s="1"/>
  <c r="BG85" i="4"/>
  <c r="BG11" i="4"/>
  <c r="R9" i="9" s="1"/>
  <c r="BG70" i="4"/>
  <c r="BG69" i="4"/>
  <c r="BG7" i="4"/>
  <c r="R5" i="9" s="1"/>
  <c r="BG48" i="4"/>
  <c r="R46" i="9" s="1"/>
  <c r="BG28" i="4"/>
  <c r="R26" i="9" s="1"/>
  <c r="BG57" i="4"/>
  <c r="BG60" i="4"/>
  <c r="BG78" i="4"/>
  <c r="BG13" i="4"/>
  <c r="R11" i="9" s="1"/>
  <c r="BG92" i="4"/>
  <c r="BG82" i="4"/>
  <c r="BG91" i="4"/>
  <c r="BG46" i="4"/>
  <c r="R44" i="9" s="1"/>
  <c r="BG20" i="4"/>
  <c r="R18" i="9" s="1"/>
  <c r="BG47" i="4"/>
  <c r="R45" i="9" s="1"/>
  <c r="BG27" i="4"/>
  <c r="R25" i="9" s="1"/>
  <c r="BG25" i="4"/>
  <c r="R23" i="9" s="1"/>
  <c r="BG71" i="4"/>
  <c r="BG10" i="4"/>
  <c r="R8" i="9" s="1"/>
  <c r="BG99" i="4"/>
  <c r="BG43" i="4"/>
  <c r="R41" i="9" s="1"/>
  <c r="BG51" i="4"/>
  <c r="BG53" i="4"/>
  <c r="BG8" i="4"/>
  <c r="R6" i="9" s="1"/>
  <c r="BG42" i="4"/>
  <c r="R40" i="9" s="1"/>
  <c r="BG38" i="4"/>
  <c r="R36" i="9" s="1"/>
  <c r="BG49" i="4"/>
  <c r="R47" i="9" s="1"/>
  <c r="N483" i="9" s="1"/>
  <c r="BG34" i="4"/>
  <c r="R32" i="9" s="1"/>
  <c r="BG83" i="4"/>
  <c r="BG79" i="4"/>
  <c r="BG4" i="4"/>
  <c r="R2" i="9" s="1"/>
  <c r="BG74" i="4"/>
  <c r="BG81" i="4"/>
  <c r="BG59" i="4"/>
  <c r="BG90" i="4"/>
  <c r="BG84" i="4"/>
  <c r="BG56" i="4"/>
  <c r="BG95" i="4"/>
  <c r="BG61" i="4"/>
  <c r="BG88" i="4"/>
  <c r="BG97" i="4"/>
  <c r="BG22" i="4"/>
  <c r="R20" i="9" s="1"/>
  <c r="BG19" i="4"/>
  <c r="R17" i="9" s="1"/>
  <c r="BG63" i="4"/>
  <c r="BG9" i="4"/>
  <c r="R7" i="9" s="1"/>
  <c r="BG5" i="4"/>
  <c r="R3" i="9" s="1"/>
  <c r="BG94" i="4"/>
  <c r="BG100" i="4"/>
  <c r="BG18" i="4"/>
  <c r="R16" i="9" s="1"/>
  <c r="BG44" i="4"/>
  <c r="R42" i="9" s="1"/>
  <c r="M282" i="9"/>
  <c r="AO100" i="4"/>
  <c r="M271" i="9"/>
  <c r="AA80" i="4"/>
  <c r="U80" i="4" l="1"/>
  <c r="T80" i="4"/>
  <c r="V80" i="4"/>
  <c r="N391" i="9"/>
  <c r="I44" i="4" s="1"/>
  <c r="N389" i="9"/>
  <c r="N403" i="9"/>
  <c r="N400" i="9"/>
  <c r="AI100" i="4"/>
  <c r="AJ100" i="4"/>
  <c r="AH100" i="4"/>
  <c r="N375" i="9"/>
  <c r="N376" i="9"/>
  <c r="N417" i="9"/>
  <c r="N404" i="9"/>
  <c r="N488" i="9"/>
  <c r="I50" i="4" s="1"/>
  <c r="N478" i="9"/>
  <c r="I49" i="4" s="1"/>
  <c r="N359" i="9"/>
  <c r="N353" i="9"/>
  <c r="N350" i="9"/>
  <c r="N351" i="9"/>
  <c r="I39" i="4" s="1"/>
  <c r="N441" i="9"/>
  <c r="N444" i="9"/>
  <c r="I48" i="4" s="1"/>
  <c r="N371" i="9"/>
  <c r="N367" i="9"/>
  <c r="N363" i="9"/>
  <c r="N364" i="9"/>
  <c r="N412" i="9"/>
  <c r="N436" i="9"/>
  <c r="N356" i="9"/>
  <c r="N357" i="9"/>
  <c r="N474" i="9"/>
  <c r="N462" i="9"/>
  <c r="N480" i="9"/>
  <c r="N494" i="9"/>
  <c r="N448" i="9"/>
  <c r="N458" i="9"/>
  <c r="N393" i="9"/>
  <c r="N379" i="9"/>
  <c r="N355" i="9"/>
  <c r="N340" i="9"/>
  <c r="N377" i="9"/>
  <c r="N366" i="9"/>
  <c r="N490" i="9"/>
  <c r="N482" i="9"/>
  <c r="N405" i="9"/>
  <c r="I46" i="4" s="1"/>
  <c r="N394" i="9"/>
  <c r="N485" i="9"/>
  <c r="N479" i="9"/>
  <c r="N399" i="9"/>
  <c r="N381" i="9"/>
  <c r="N419" i="9"/>
  <c r="N407" i="9"/>
  <c r="N333" i="9"/>
  <c r="N450" i="9"/>
  <c r="N429" i="9"/>
  <c r="N346" i="9"/>
  <c r="N362" i="9"/>
  <c r="I42" i="4" s="1"/>
  <c r="N398" i="9"/>
  <c r="I45" i="4" s="1"/>
  <c r="N360" i="9"/>
  <c r="I41" i="4" s="1"/>
  <c r="N347" i="9"/>
  <c r="N369" i="9"/>
  <c r="N452" i="9"/>
  <c r="N440" i="9"/>
  <c r="N413" i="9"/>
  <c r="N428" i="9"/>
  <c r="N358" i="9"/>
  <c r="N386" i="9"/>
  <c r="N396" i="9"/>
  <c r="N421" i="9"/>
  <c r="N370" i="9"/>
  <c r="N409" i="9"/>
  <c r="N382" i="9"/>
  <c r="N418" i="9"/>
  <c r="N406" i="9"/>
  <c r="I47" i="4" s="1"/>
  <c r="N423" i="9"/>
  <c r="N410" i="9"/>
  <c r="N427" i="9"/>
  <c r="M283" i="9"/>
  <c r="AO101" i="4"/>
  <c r="M272" i="9"/>
  <c r="AA81" i="4"/>
  <c r="I43" i="4" l="1"/>
  <c r="AJ101" i="4"/>
  <c r="AI101" i="4"/>
  <c r="AH101" i="4"/>
  <c r="I40" i="4"/>
  <c r="AY52" i="4"/>
  <c r="T81" i="4"/>
  <c r="V81" i="4"/>
  <c r="U81" i="4"/>
  <c r="M280" i="9"/>
  <c r="AA82" i="4"/>
  <c r="M285" i="9"/>
  <c r="AO102" i="4"/>
  <c r="V82" i="4" l="1"/>
  <c r="T82" i="4"/>
  <c r="U82" i="4"/>
  <c r="AI102" i="4"/>
  <c r="AH102" i="4"/>
  <c r="AJ102" i="4"/>
  <c r="M281" i="9"/>
  <c r="AA83" i="4"/>
  <c r="M291" i="9"/>
  <c r="T83" i="4" l="1"/>
  <c r="V83" i="4"/>
  <c r="U83" i="4"/>
  <c r="BQ13" i="4"/>
  <c r="R159" i="9" s="1"/>
  <c r="BQ50" i="4"/>
  <c r="R196" i="9" s="1"/>
  <c r="BQ23" i="4"/>
  <c r="R169" i="9" s="1"/>
  <c r="BQ44" i="4"/>
  <c r="R190" i="9" s="1"/>
  <c r="BQ25" i="4"/>
  <c r="R171" i="9" s="1"/>
  <c r="BQ82" i="4"/>
  <c r="R228" i="9" s="1"/>
  <c r="BQ84" i="4"/>
  <c r="R230" i="9" s="1"/>
  <c r="BQ54" i="4"/>
  <c r="R200" i="9" s="1"/>
  <c r="BQ95" i="4"/>
  <c r="R241" i="9" s="1"/>
  <c r="N269" i="9" s="1"/>
  <c r="BQ67" i="4"/>
  <c r="R213" i="9" s="1"/>
  <c r="BQ63" i="4"/>
  <c r="R209" i="9" s="1"/>
  <c r="BQ66" i="4"/>
  <c r="R212" i="9" s="1"/>
  <c r="BQ89" i="4"/>
  <c r="R235" i="9" s="1"/>
  <c r="BQ16" i="4"/>
  <c r="R162" i="9" s="1"/>
  <c r="BQ87" i="4"/>
  <c r="R233" i="9" s="1"/>
  <c r="BQ35" i="4"/>
  <c r="R181" i="9" s="1"/>
  <c r="BQ90" i="4"/>
  <c r="R236" i="9" s="1"/>
  <c r="BQ38" i="4"/>
  <c r="R184" i="9" s="1"/>
  <c r="BQ24" i="4"/>
  <c r="R170" i="9" s="1"/>
  <c r="BQ45" i="4"/>
  <c r="R191" i="9" s="1"/>
  <c r="BQ33" i="4"/>
  <c r="R179" i="9" s="1"/>
  <c r="N71" i="9" s="1"/>
  <c r="BQ80" i="4"/>
  <c r="R226" i="9" s="1"/>
  <c r="BQ99" i="4"/>
  <c r="R245" i="9" s="1"/>
  <c r="BQ19" i="4"/>
  <c r="R165" i="9" s="1"/>
  <c r="BQ34" i="4"/>
  <c r="R180" i="9" s="1"/>
  <c r="BQ62" i="4"/>
  <c r="R208" i="9" s="1"/>
  <c r="BQ102" i="4"/>
  <c r="R248" i="9" s="1"/>
  <c r="BQ74" i="4"/>
  <c r="R220" i="9" s="1"/>
  <c r="BQ76" i="4"/>
  <c r="R222" i="9" s="1"/>
  <c r="BQ30" i="4"/>
  <c r="R176" i="9" s="1"/>
  <c r="BQ88" i="4"/>
  <c r="R234" i="9" s="1"/>
  <c r="BQ42" i="4"/>
  <c r="R188" i="9" s="1"/>
  <c r="N93" i="9" s="1"/>
  <c r="BQ100" i="4"/>
  <c r="R246" i="9" s="1"/>
  <c r="BQ49" i="4"/>
  <c r="R195" i="9" s="1"/>
  <c r="BQ7" i="4"/>
  <c r="R153" i="9" s="1"/>
  <c r="BQ11" i="4"/>
  <c r="R157" i="9" s="1"/>
  <c r="BQ5" i="4"/>
  <c r="R151" i="9" s="1"/>
  <c r="N6" i="9" s="1"/>
  <c r="AK5" i="4" s="1"/>
  <c r="BQ60" i="4"/>
  <c r="R206" i="9" s="1"/>
  <c r="BQ6" i="4"/>
  <c r="R152" i="9" s="1"/>
  <c r="N7" i="9" s="1"/>
  <c r="AK6" i="4" s="1"/>
  <c r="BQ81" i="4"/>
  <c r="R227" i="9" s="1"/>
  <c r="BQ75" i="4"/>
  <c r="R221" i="9" s="1"/>
  <c r="BQ101" i="4"/>
  <c r="R247" i="9" s="1"/>
  <c r="BQ43" i="4"/>
  <c r="R189" i="9" s="1"/>
  <c r="BQ93" i="4"/>
  <c r="R239" i="9" s="1"/>
  <c r="BQ47" i="4"/>
  <c r="R193" i="9" s="1"/>
  <c r="BQ39" i="4"/>
  <c r="R185" i="9" s="1"/>
  <c r="BQ56" i="4"/>
  <c r="R202" i="9" s="1"/>
  <c r="BQ85" i="4"/>
  <c r="R231" i="9" s="1"/>
  <c r="BQ98" i="4"/>
  <c r="R244" i="9" s="1"/>
  <c r="BQ9" i="4"/>
  <c r="R155" i="9" s="1"/>
  <c r="BQ3" i="4"/>
  <c r="R149" i="9" s="1"/>
  <c r="N4" i="9" s="1"/>
  <c r="AK3" i="4" s="1"/>
  <c r="BQ10" i="4"/>
  <c r="R156" i="9" s="1"/>
  <c r="BQ8" i="4"/>
  <c r="R154" i="9" s="1"/>
  <c r="N12" i="9" s="1"/>
  <c r="AK8" i="4" s="1"/>
  <c r="BQ70" i="4"/>
  <c r="R216" i="9" s="1"/>
  <c r="BQ20" i="4"/>
  <c r="R166" i="9" s="1"/>
  <c r="N38" i="9" s="1"/>
  <c r="AK20" i="4" s="1"/>
  <c r="BQ73" i="4"/>
  <c r="R219" i="9" s="1"/>
  <c r="BQ17" i="4"/>
  <c r="R163" i="9" s="1"/>
  <c r="BQ31" i="4"/>
  <c r="R177" i="9" s="1"/>
  <c r="BQ92" i="4"/>
  <c r="R238" i="9" s="1"/>
  <c r="BQ21" i="4"/>
  <c r="R167" i="9" s="1"/>
  <c r="BQ29" i="4"/>
  <c r="R175" i="9" s="1"/>
  <c r="BQ4" i="4"/>
  <c r="R150" i="9" s="1"/>
  <c r="N5" i="9" s="1"/>
  <c r="AK4" i="4" s="1"/>
  <c r="BQ68" i="4"/>
  <c r="R214" i="9" s="1"/>
  <c r="BQ64" i="4"/>
  <c r="R210" i="9" s="1"/>
  <c r="BQ58" i="4"/>
  <c r="R204" i="9" s="1"/>
  <c r="BQ46" i="4"/>
  <c r="R192" i="9" s="1"/>
  <c r="BQ28" i="4"/>
  <c r="R174" i="9" s="1"/>
  <c r="BQ86" i="4"/>
  <c r="R232" i="9" s="1"/>
  <c r="BQ51" i="4"/>
  <c r="R197" i="9" s="1"/>
  <c r="BQ59" i="4"/>
  <c r="R205" i="9" s="1"/>
  <c r="BQ14" i="4"/>
  <c r="R160" i="9" s="1"/>
  <c r="N27" i="9" s="1"/>
  <c r="AK14" i="4" s="1"/>
  <c r="BQ37" i="4"/>
  <c r="R183" i="9" s="1"/>
  <c r="BQ18" i="4"/>
  <c r="R164" i="9" s="1"/>
  <c r="BQ78" i="4"/>
  <c r="R224" i="9" s="1"/>
  <c r="BQ36" i="4"/>
  <c r="R182" i="9" s="1"/>
  <c r="BQ15" i="4"/>
  <c r="R161" i="9" s="1"/>
  <c r="N28" i="9" s="1"/>
  <c r="BQ26" i="4"/>
  <c r="R172" i="9" s="1"/>
  <c r="BQ32" i="4"/>
  <c r="R178" i="9" s="1"/>
  <c r="N64" i="9" s="1"/>
  <c r="I8" i="4" s="1"/>
  <c r="BQ57" i="4"/>
  <c r="R203" i="9" s="1"/>
  <c r="BQ61" i="4"/>
  <c r="R207" i="9" s="1"/>
  <c r="BQ72" i="4"/>
  <c r="R218" i="9" s="1"/>
  <c r="BQ69" i="4"/>
  <c r="R215" i="9" s="1"/>
  <c r="BQ40" i="4"/>
  <c r="R186" i="9" s="1"/>
  <c r="BQ83" i="4"/>
  <c r="R229" i="9" s="1"/>
  <c r="BQ79" i="4"/>
  <c r="R225" i="9" s="1"/>
  <c r="BQ27" i="4"/>
  <c r="R173" i="9" s="1"/>
  <c r="BQ71" i="4"/>
  <c r="R217" i="9" s="1"/>
  <c r="BQ77" i="4"/>
  <c r="R223" i="9" s="1"/>
  <c r="BQ22" i="4"/>
  <c r="R168" i="9" s="1"/>
  <c r="BQ97" i="4"/>
  <c r="R243" i="9" s="1"/>
  <c r="BQ53" i="4"/>
  <c r="R199" i="9" s="1"/>
  <c r="BQ55" i="4"/>
  <c r="R201" i="9" s="1"/>
  <c r="BQ96" i="4"/>
  <c r="R242" i="9" s="1"/>
  <c r="BQ65" i="4"/>
  <c r="R211" i="9" s="1"/>
  <c r="BQ48" i="4"/>
  <c r="R194" i="9" s="1"/>
  <c r="BQ41" i="4"/>
  <c r="R187" i="9" s="1"/>
  <c r="BQ91" i="4"/>
  <c r="R237" i="9" s="1"/>
  <c r="BQ94" i="4"/>
  <c r="R240" i="9" s="1"/>
  <c r="BQ12" i="4"/>
  <c r="R158" i="9" s="1"/>
  <c r="BQ52" i="4"/>
  <c r="R198" i="9" s="1"/>
  <c r="M300" i="9"/>
  <c r="M286" i="9"/>
  <c r="AA84" i="4"/>
  <c r="U84" i="4" l="1"/>
  <c r="V84" i="4"/>
  <c r="T84" i="4"/>
  <c r="N30" i="9"/>
  <c r="AK16" i="4" s="1"/>
  <c r="N171" i="9"/>
  <c r="N31" i="9"/>
  <c r="AK17" i="4" s="1"/>
  <c r="N284" i="9"/>
  <c r="N187" i="9"/>
  <c r="I29" i="4" s="1"/>
  <c r="N203" i="9"/>
  <c r="N180" i="9"/>
  <c r="AK74" i="4" s="1"/>
  <c r="N129" i="9"/>
  <c r="AY17" i="4" s="1"/>
  <c r="N181" i="9"/>
  <c r="AY26" i="4" s="1"/>
  <c r="N232" i="9"/>
  <c r="N130" i="9"/>
  <c r="AY18" i="4" s="1"/>
  <c r="N128" i="9"/>
  <c r="AK54" i="4" s="1"/>
  <c r="N51" i="9"/>
  <c r="AK27" i="4" s="1"/>
  <c r="N192" i="9"/>
  <c r="N167" i="9"/>
  <c r="AK66" i="4" s="1"/>
  <c r="N242" i="9"/>
  <c r="N29" i="9"/>
  <c r="AK15" i="4" s="1"/>
  <c r="N26" i="9"/>
  <c r="AY4" i="4" s="1"/>
  <c r="N200" i="9"/>
  <c r="N213" i="9"/>
  <c r="N273" i="9"/>
  <c r="N127" i="9"/>
  <c r="AK53" i="4" s="1"/>
  <c r="N176" i="9"/>
  <c r="AK72" i="4" s="1"/>
  <c r="N174" i="9"/>
  <c r="AK71" i="4" s="1"/>
  <c r="N178" i="9"/>
  <c r="I28" i="4" s="1"/>
  <c r="N175" i="9"/>
  <c r="AY24" i="4" s="1"/>
  <c r="N182" i="9"/>
  <c r="AK75" i="4" s="1"/>
  <c r="B30" i="3"/>
  <c r="B21" i="3"/>
  <c r="B27" i="3"/>
  <c r="B39" i="3"/>
  <c r="B38" i="3"/>
  <c r="B34" i="3"/>
  <c r="B22" i="3"/>
  <c r="B40" i="3"/>
  <c r="B32" i="3"/>
  <c r="B36" i="3"/>
  <c r="B29" i="3"/>
  <c r="B37" i="3"/>
  <c r="B35" i="3"/>
  <c r="B26" i="3"/>
  <c r="B33" i="3"/>
  <c r="B24" i="3"/>
  <c r="B23" i="3"/>
  <c r="B25" i="3"/>
  <c r="B28" i="3"/>
  <c r="B31" i="3"/>
  <c r="M287" i="9"/>
  <c r="AA85" i="4"/>
  <c r="M301" i="9"/>
  <c r="T85" i="4" l="1"/>
  <c r="V85" i="4"/>
  <c r="U85" i="4"/>
  <c r="I3" i="4"/>
  <c r="M303" i="9"/>
  <c r="M288" i="9"/>
  <c r="AA86" i="4"/>
  <c r="T86" i="4" l="1"/>
  <c r="U86" i="4"/>
  <c r="V86" i="4"/>
  <c r="M308" i="9"/>
  <c r="M292" i="9"/>
  <c r="AA87" i="4"/>
  <c r="T87" i="4" l="1"/>
  <c r="V87" i="4"/>
  <c r="U87" i="4"/>
  <c r="M310" i="9"/>
  <c r="M294" i="9"/>
  <c r="AA88" i="4"/>
  <c r="T88" i="4" l="1"/>
  <c r="U88" i="4"/>
  <c r="V88" i="4"/>
  <c r="M295" i="9"/>
  <c r="AA89" i="4"/>
  <c r="M313" i="9"/>
  <c r="T89" i="4" l="1"/>
  <c r="U89" i="4"/>
  <c r="V89" i="4"/>
  <c r="M297" i="9"/>
  <c r="AA90" i="4"/>
  <c r="M315" i="9"/>
  <c r="V90" i="4" l="1"/>
  <c r="T90" i="4"/>
  <c r="U90" i="4"/>
  <c r="M319" i="9"/>
  <c r="M298" i="9"/>
  <c r="AA91" i="4"/>
  <c r="T91" i="4" l="1"/>
  <c r="V91" i="4"/>
  <c r="U91" i="4"/>
  <c r="M322" i="9"/>
  <c r="M299" i="9"/>
  <c r="AA92" i="4"/>
  <c r="U92" i="4" l="1"/>
  <c r="V92" i="4"/>
  <c r="T92" i="4"/>
  <c r="M328" i="9"/>
  <c r="M302" i="9"/>
  <c r="AA93" i="4"/>
  <c r="T93" i="4" l="1"/>
  <c r="U93" i="4"/>
  <c r="V93" i="4"/>
  <c r="M304" i="9"/>
  <c r="AA94" i="4"/>
  <c r="M332" i="9"/>
  <c r="T94" i="4" l="1"/>
  <c r="V94" i="4"/>
  <c r="U94" i="4"/>
  <c r="M334" i="9"/>
  <c r="M306" i="9"/>
  <c r="AA95" i="4"/>
  <c r="V95" i="4" l="1"/>
  <c r="U95" i="4"/>
  <c r="T95" i="4"/>
  <c r="M309" i="9"/>
  <c r="AA96" i="4"/>
  <c r="M336" i="9"/>
  <c r="T96" i="4" l="1"/>
  <c r="U96" i="4"/>
  <c r="V96" i="4"/>
  <c r="M337" i="9"/>
  <c r="M311" i="9"/>
  <c r="AA97" i="4"/>
  <c r="U97" i="4" l="1"/>
  <c r="V97" i="4"/>
  <c r="T97" i="4"/>
  <c r="M314" i="9"/>
  <c r="AA98" i="4"/>
  <c r="M342" i="9"/>
  <c r="T98" i="4" l="1"/>
  <c r="U98" i="4"/>
  <c r="V98" i="4"/>
  <c r="M345" i="9"/>
  <c r="M316" i="9"/>
  <c r="AA99" i="4"/>
  <c r="T99" i="4" l="1"/>
  <c r="V99" i="4"/>
  <c r="U99" i="4"/>
  <c r="M317" i="9"/>
  <c r="AA100" i="4"/>
  <c r="M346" i="9"/>
  <c r="T100" i="4" l="1"/>
  <c r="U100" i="4"/>
  <c r="V100" i="4"/>
  <c r="M326" i="9"/>
  <c r="AA101" i="4"/>
  <c r="M349" i="9"/>
  <c r="T101" i="4" l="1"/>
  <c r="U101" i="4"/>
  <c r="V101" i="4"/>
  <c r="M350" i="9"/>
  <c r="M329" i="9"/>
  <c r="AA102" i="4"/>
  <c r="V102" i="4" l="1"/>
  <c r="U102" i="4"/>
  <c r="T102" i="4"/>
  <c r="M356" i="9"/>
  <c r="M352" i="9"/>
  <c r="BL6" i="4" l="1"/>
  <c r="R52" i="9" s="1"/>
  <c r="N9" i="9" s="1"/>
  <c r="W6" i="4" s="1"/>
  <c r="BL30" i="4"/>
  <c r="R76" i="9" s="1"/>
  <c r="N74" i="9" s="1"/>
  <c r="I11" i="4" s="1"/>
  <c r="BL61" i="4"/>
  <c r="R107" i="9" s="1"/>
  <c r="N173" i="9" s="1"/>
  <c r="AY23" i="4" s="1"/>
  <c r="BL5" i="4"/>
  <c r="R51" i="9" s="1"/>
  <c r="N8" i="9" s="1"/>
  <c r="W5" i="4" s="1"/>
  <c r="BL39" i="4"/>
  <c r="R85" i="9" s="1"/>
  <c r="N105" i="9" s="1"/>
  <c r="AY12" i="4" s="1"/>
  <c r="BL65" i="4"/>
  <c r="R111" i="9" s="1"/>
  <c r="N208" i="9" s="1"/>
  <c r="BL48" i="4"/>
  <c r="R94" i="9" s="1"/>
  <c r="BL67" i="4"/>
  <c r="R113" i="9" s="1"/>
  <c r="BL87" i="4"/>
  <c r="R133" i="9" s="1"/>
  <c r="N291" i="9" s="1"/>
  <c r="BL92" i="4"/>
  <c r="R138" i="9" s="1"/>
  <c r="BL35" i="4"/>
  <c r="R81" i="9" s="1"/>
  <c r="BL89" i="4"/>
  <c r="R135" i="9" s="1"/>
  <c r="BL8" i="4"/>
  <c r="R54" i="9" s="1"/>
  <c r="N13" i="9" s="1"/>
  <c r="W8" i="4" s="1"/>
  <c r="BL52" i="4"/>
  <c r="R98" i="9" s="1"/>
  <c r="BL82" i="4"/>
  <c r="R128" i="9" s="1"/>
  <c r="N271" i="9" s="1"/>
  <c r="BL43" i="4"/>
  <c r="R89" i="9" s="1"/>
  <c r="N120" i="9" s="1"/>
  <c r="I19" i="4" s="1"/>
  <c r="BL44" i="4"/>
  <c r="R90" i="9" s="1"/>
  <c r="N119" i="9" s="1"/>
  <c r="AK51" i="4" s="1"/>
  <c r="BL9" i="4"/>
  <c r="R55" i="9" s="1"/>
  <c r="BL11" i="4"/>
  <c r="R57" i="9" s="1"/>
  <c r="N18" i="9" s="1"/>
  <c r="BL10" i="4"/>
  <c r="R56" i="9" s="1"/>
  <c r="N17" i="9" s="1"/>
  <c r="W10" i="4" s="1"/>
  <c r="BL69" i="4"/>
  <c r="R115" i="9" s="1"/>
  <c r="N229" i="9" s="1"/>
  <c r="BL81" i="4"/>
  <c r="R127" i="9" s="1"/>
  <c r="BL84" i="4"/>
  <c r="R130" i="9" s="1"/>
  <c r="BL29" i="4"/>
  <c r="R75" i="9" s="1"/>
  <c r="N73" i="9" s="1"/>
  <c r="AK34" i="4" s="1"/>
  <c r="BL55" i="4"/>
  <c r="R101" i="9" s="1"/>
  <c r="BL24" i="4"/>
  <c r="R70" i="9" s="1"/>
  <c r="BL59" i="4"/>
  <c r="R105" i="9" s="1"/>
  <c r="BL58" i="4"/>
  <c r="R104" i="9" s="1"/>
  <c r="BL50" i="4"/>
  <c r="R96" i="9" s="1"/>
  <c r="BL95" i="4"/>
  <c r="R141" i="9" s="1"/>
  <c r="BL72" i="4"/>
  <c r="R118" i="9" s="1"/>
  <c r="BL13" i="4"/>
  <c r="R59" i="9" s="1"/>
  <c r="N22" i="9" s="1"/>
  <c r="W13" i="4" s="1"/>
  <c r="BL53" i="4"/>
  <c r="R99" i="9" s="1"/>
  <c r="BL96" i="4"/>
  <c r="R142" i="9" s="1"/>
  <c r="BL77" i="4"/>
  <c r="R123" i="9" s="1"/>
  <c r="N249" i="9" s="1"/>
  <c r="BL78" i="4"/>
  <c r="R124" i="9" s="1"/>
  <c r="BL15" i="4"/>
  <c r="R61" i="9" s="1"/>
  <c r="BL85" i="4"/>
  <c r="R131" i="9" s="1"/>
  <c r="BL7" i="4"/>
  <c r="R53" i="9" s="1"/>
  <c r="BL86" i="4"/>
  <c r="R132" i="9" s="1"/>
  <c r="BL97" i="4"/>
  <c r="R143" i="9" s="1"/>
  <c r="BL90" i="4"/>
  <c r="R136" i="9" s="1"/>
  <c r="BL75" i="4"/>
  <c r="R121" i="9" s="1"/>
  <c r="N243" i="9" s="1"/>
  <c r="BL14" i="4"/>
  <c r="R60" i="9" s="1"/>
  <c r="N24" i="9" s="1"/>
  <c r="BL37" i="4"/>
  <c r="R83" i="9" s="1"/>
  <c r="N98" i="9" s="1"/>
  <c r="W37" i="4" s="1"/>
  <c r="BL41" i="4"/>
  <c r="R87" i="9" s="1"/>
  <c r="BL74" i="4"/>
  <c r="R120" i="9" s="1"/>
  <c r="BL63" i="4"/>
  <c r="R109" i="9" s="1"/>
  <c r="BL76" i="4"/>
  <c r="R122" i="9" s="1"/>
  <c r="BL70" i="4"/>
  <c r="R116" i="9" s="1"/>
  <c r="BL100" i="4"/>
  <c r="R146" i="9" s="1"/>
  <c r="N325" i="9" s="1"/>
  <c r="AY44" i="4" s="1"/>
  <c r="BL19" i="4"/>
  <c r="R65" i="9" s="1"/>
  <c r="BL18" i="4"/>
  <c r="R64" i="9" s="1"/>
  <c r="N40" i="9" s="1"/>
  <c r="BL88" i="4"/>
  <c r="R134" i="9" s="1"/>
  <c r="BL25" i="4"/>
  <c r="R71" i="9" s="1"/>
  <c r="BL40" i="4"/>
  <c r="R86" i="9" s="1"/>
  <c r="N107" i="9" s="1"/>
  <c r="W40" i="4" s="1"/>
  <c r="BL27" i="4"/>
  <c r="R73" i="9" s="1"/>
  <c r="BL62" i="4"/>
  <c r="R108" i="9" s="1"/>
  <c r="N183" i="9" s="1"/>
  <c r="AK76" i="4" s="1"/>
  <c r="BL26" i="4"/>
  <c r="R72" i="9" s="1"/>
  <c r="N62" i="9" s="1"/>
  <c r="W26" i="4" s="1"/>
  <c r="BL80" i="4"/>
  <c r="R126" i="9" s="1"/>
  <c r="N264" i="9" s="1"/>
  <c r="AY34" i="4" s="1"/>
  <c r="BL57" i="4"/>
  <c r="R103" i="9" s="1"/>
  <c r="BL46" i="4"/>
  <c r="R92" i="9" s="1"/>
  <c r="BL23" i="4"/>
  <c r="R69" i="9" s="1"/>
  <c r="BL68" i="4"/>
  <c r="R114" i="9" s="1"/>
  <c r="BL28" i="4"/>
  <c r="R74" i="9" s="1"/>
  <c r="N68" i="9" s="1"/>
  <c r="W28" i="4" s="1"/>
  <c r="BL93" i="4"/>
  <c r="R139" i="9" s="1"/>
  <c r="BL73" i="4"/>
  <c r="R119" i="9" s="1"/>
  <c r="N238" i="9" s="1"/>
  <c r="BL102" i="4"/>
  <c r="R148" i="9" s="1"/>
  <c r="N339" i="9" s="1"/>
  <c r="BL83" i="4"/>
  <c r="R129" i="9" s="1"/>
  <c r="N274" i="9" s="1"/>
  <c r="BL3" i="4"/>
  <c r="R49" i="9" s="1"/>
  <c r="N2" i="9" s="1"/>
  <c r="W3" i="4" s="1"/>
  <c r="BL101" i="4"/>
  <c r="R147" i="9" s="1"/>
  <c r="N322" i="9" s="1"/>
  <c r="W101" i="4" s="1"/>
  <c r="BL17" i="4"/>
  <c r="R63" i="9" s="1"/>
  <c r="BL91" i="4"/>
  <c r="R137" i="9" s="1"/>
  <c r="N301" i="9" s="1"/>
  <c r="BL56" i="4"/>
  <c r="R102" i="9" s="1"/>
  <c r="BL94" i="4"/>
  <c r="R140" i="9" s="1"/>
  <c r="BL4" i="4"/>
  <c r="R50" i="9" s="1"/>
  <c r="N3" i="9" s="1"/>
  <c r="W4" i="4" s="1"/>
  <c r="BL12" i="4"/>
  <c r="R58" i="9" s="1"/>
  <c r="BL99" i="4"/>
  <c r="R145" i="9" s="1"/>
  <c r="BL42" i="4"/>
  <c r="R88" i="9" s="1"/>
  <c r="N116" i="9" s="1"/>
  <c r="BL21" i="4"/>
  <c r="R67" i="9" s="1"/>
  <c r="N52" i="9" s="1"/>
  <c r="W21" i="4" s="1"/>
  <c r="BL47" i="4"/>
  <c r="R93" i="9" s="1"/>
  <c r="N135" i="9" s="1"/>
  <c r="AK56" i="4" s="1"/>
  <c r="BL54" i="4"/>
  <c r="R100" i="9" s="1"/>
  <c r="N151" i="9" s="1"/>
  <c r="BL71" i="4"/>
  <c r="R117" i="9" s="1"/>
  <c r="BL64" i="4"/>
  <c r="R110" i="9" s="1"/>
  <c r="N202" i="9" s="1"/>
  <c r="AK79" i="4" s="1"/>
  <c r="BL45" i="4"/>
  <c r="R91" i="9" s="1"/>
  <c r="N126" i="9" s="1"/>
  <c r="AY16" i="4" s="1"/>
  <c r="BL20" i="4"/>
  <c r="R66" i="9" s="1"/>
  <c r="BL36" i="4"/>
  <c r="R82" i="9" s="1"/>
  <c r="BL98" i="4"/>
  <c r="R144" i="9" s="1"/>
  <c r="BL34" i="4"/>
  <c r="R80" i="9" s="1"/>
  <c r="BL60" i="4"/>
  <c r="R106" i="9" s="1"/>
  <c r="BL16" i="4"/>
  <c r="R62" i="9" s="1"/>
  <c r="BL32" i="4"/>
  <c r="R78" i="9" s="1"/>
  <c r="BL66" i="4"/>
  <c r="R112" i="9" s="1"/>
  <c r="N205" i="9" s="1"/>
  <c r="BL79" i="4"/>
  <c r="R125" i="9" s="1"/>
  <c r="BL33" i="4"/>
  <c r="R79" i="9" s="1"/>
  <c r="N87" i="9" s="1"/>
  <c r="W33" i="4" s="1"/>
  <c r="BL49" i="4"/>
  <c r="R95" i="9" s="1"/>
  <c r="N143" i="9" s="1"/>
  <c r="W49" i="4" s="1"/>
  <c r="BL38" i="4"/>
  <c r="R84" i="9" s="1"/>
  <c r="BL22" i="4"/>
  <c r="R68" i="9" s="1"/>
  <c r="BL51" i="4"/>
  <c r="R97" i="9" s="1"/>
  <c r="BL31" i="4"/>
  <c r="R77" i="9" s="1"/>
  <c r="M354" i="9"/>
  <c r="M363" i="9"/>
  <c r="N317" i="9" l="1"/>
  <c r="N303" i="9"/>
  <c r="W91" i="4"/>
  <c r="N77" i="9"/>
  <c r="AK35" i="4" s="1"/>
  <c r="N78" i="9"/>
  <c r="N218" i="9"/>
  <c r="N288" i="9"/>
  <c r="N287" i="9"/>
  <c r="W86" i="4" s="1"/>
  <c r="E5" i="2"/>
  <c r="N33" i="9"/>
  <c r="W16" i="4" s="1"/>
  <c r="N32" i="9"/>
  <c r="W15" i="4" s="1"/>
  <c r="N234" i="9"/>
  <c r="AK89" i="4" s="1"/>
  <c r="N97" i="9"/>
  <c r="I14" i="4" s="1"/>
  <c r="N237" i="9"/>
  <c r="AK88" i="4" s="1"/>
  <c r="N133" i="9"/>
  <c r="N134" i="9"/>
  <c r="N224" i="9"/>
  <c r="N219" i="9"/>
  <c r="N331" i="9"/>
  <c r="I38" i="4" s="1"/>
  <c r="N327" i="9"/>
  <c r="N282" i="9"/>
  <c r="AK101" i="4" s="1"/>
  <c r="N279" i="9"/>
  <c r="I36" i="4" s="1"/>
  <c r="N102" i="9"/>
  <c r="W39" i="4" s="1"/>
  <c r="N212" i="9"/>
  <c r="N222" i="9"/>
  <c r="N23" i="9"/>
  <c r="AK12" i="4" s="1"/>
  <c r="N25" i="9"/>
  <c r="AK13" i="4" s="1"/>
  <c r="N160" i="9"/>
  <c r="N162" i="9"/>
  <c r="AK65" i="4" s="1"/>
  <c r="N190" i="9"/>
  <c r="AY28" i="4" s="1"/>
  <c r="N185" i="9"/>
  <c r="N225" i="9"/>
  <c r="W71" i="4" s="1"/>
  <c r="N226" i="9"/>
  <c r="N195" i="9"/>
  <c r="N197" i="9"/>
  <c r="N270" i="9"/>
  <c r="I35" i="4" s="1"/>
  <c r="N272" i="9"/>
  <c r="I34" i="4" s="1"/>
  <c r="N44" i="9"/>
  <c r="W19" i="4" s="1"/>
  <c r="N41" i="9"/>
  <c r="W18" i="4" s="1"/>
  <c r="N231" i="9"/>
  <c r="AK87" i="4" s="1"/>
  <c r="N230" i="9"/>
  <c r="N307" i="9"/>
  <c r="N146" i="9"/>
  <c r="W52" i="4" s="1"/>
  <c r="N49" i="9"/>
  <c r="N54" i="9"/>
  <c r="AY6" i="4" s="1"/>
  <c r="N248" i="9"/>
  <c r="AY32" i="4" s="1"/>
  <c r="N247" i="9"/>
  <c r="AK91" i="4" s="1"/>
  <c r="N63" i="9"/>
  <c r="AK31" i="4" s="1"/>
  <c r="N89" i="9"/>
  <c r="N91" i="9"/>
  <c r="W35" i="4" s="1"/>
  <c r="N141" i="9"/>
  <c r="AK59" i="4" s="1"/>
  <c r="N286" i="9"/>
  <c r="N283" i="9"/>
  <c r="AK102" i="4" s="1"/>
  <c r="N276" i="9"/>
  <c r="N277" i="9"/>
  <c r="N235" i="9"/>
  <c r="N227" i="9"/>
  <c r="W73" i="4" s="1"/>
  <c r="N343" i="9"/>
  <c r="N341" i="9"/>
  <c r="N260" i="9"/>
  <c r="N117" i="9"/>
  <c r="AK50" i="4" s="1"/>
  <c r="N114" i="9"/>
  <c r="W42" i="4" s="1"/>
  <c r="N250" i="9"/>
  <c r="N258" i="9"/>
  <c r="N253" i="9"/>
  <c r="N152" i="9"/>
  <c r="AY20" i="4" s="1"/>
  <c r="N155" i="9"/>
  <c r="AY22" i="4" s="1"/>
  <c r="N111" i="9"/>
  <c r="AY13" i="4" s="1"/>
  <c r="N113" i="9"/>
  <c r="AK48" i="4" s="1"/>
  <c r="N158" i="9"/>
  <c r="W54" i="4" s="1"/>
  <c r="N164" i="9"/>
  <c r="W57" i="4" s="1"/>
  <c r="N300" i="9"/>
  <c r="N297" i="9"/>
  <c r="N207" i="9"/>
  <c r="W66" i="4" s="1"/>
  <c r="N196" i="9"/>
  <c r="N320" i="9"/>
  <c r="N315" i="9"/>
  <c r="W99" i="4" s="1"/>
  <c r="N69" i="9"/>
  <c r="AY7" i="4" s="1"/>
  <c r="N70" i="9"/>
  <c r="W29" i="4" s="1"/>
  <c r="N216" i="9"/>
  <c r="W67" i="4" s="1"/>
  <c r="N217" i="9"/>
  <c r="N342" i="9"/>
  <c r="AY49" i="4" s="1"/>
  <c r="N336" i="9"/>
  <c r="N292" i="9"/>
  <c r="N295" i="9"/>
  <c r="W89" i="4" s="1"/>
  <c r="N198" i="9"/>
  <c r="N201" i="9"/>
  <c r="AY30" i="4" s="1"/>
  <c r="N189" i="9"/>
  <c r="AK77" i="4" s="1"/>
  <c r="N179" i="9"/>
  <c r="AK73" i="4" s="1"/>
  <c r="N239" i="9"/>
  <c r="N233" i="9"/>
  <c r="N302" i="9"/>
  <c r="N306" i="9"/>
  <c r="AY38" i="4" s="1"/>
  <c r="N50" i="9"/>
  <c r="I6" i="4" s="1"/>
  <c r="N48" i="9"/>
  <c r="N122" i="9"/>
  <c r="I20" i="4" s="1"/>
  <c r="N121" i="9"/>
  <c r="W43" i="4" s="1"/>
  <c r="N144" i="9"/>
  <c r="W50" i="4" s="1"/>
  <c r="N145" i="9"/>
  <c r="W51" i="4" s="1"/>
  <c r="N293" i="9"/>
  <c r="W87" i="4" s="1"/>
  <c r="N298" i="9"/>
  <c r="N90" i="9"/>
  <c r="W34" i="4" s="1"/>
  <c r="N92" i="9"/>
  <c r="N85" i="9"/>
  <c r="AK38" i="4" s="1"/>
  <c r="N82" i="9"/>
  <c r="W32" i="4" s="1"/>
  <c r="N35" i="9"/>
  <c r="N34" i="9"/>
  <c r="N84" i="9"/>
  <c r="AY10" i="4" s="1"/>
  <c r="N81" i="9"/>
  <c r="AK37" i="4" s="1"/>
  <c r="N109" i="9"/>
  <c r="I17" i="4" s="1"/>
  <c r="N106" i="9"/>
  <c r="AK46" i="4" s="1"/>
  <c r="N96" i="9"/>
  <c r="AK43" i="4" s="1"/>
  <c r="N99" i="9"/>
  <c r="N285" i="9"/>
  <c r="AY35" i="4" s="1"/>
  <c r="N278" i="9"/>
  <c r="AK99" i="4" s="1"/>
  <c r="N76" i="9"/>
  <c r="I12" i="4" s="1"/>
  <c r="N79" i="9"/>
  <c r="N161" i="9"/>
  <c r="N157" i="9"/>
  <c r="I27" i="4" s="1"/>
  <c r="N53" i="9"/>
  <c r="W22" i="4" s="1"/>
  <c r="N55" i="9"/>
  <c r="AK28" i="4" s="1"/>
  <c r="N223" i="9"/>
  <c r="W70" i="4" s="1"/>
  <c r="N236" i="9"/>
  <c r="N103" i="9"/>
  <c r="AK45" i="4" s="1"/>
  <c r="N104" i="9"/>
  <c r="I16" i="4" s="1"/>
  <c r="N256" i="9"/>
  <c r="N255" i="9"/>
  <c r="N124" i="9"/>
  <c r="AK52" i="4" s="1"/>
  <c r="N123" i="9"/>
  <c r="I21" i="4" s="1"/>
  <c r="N56" i="9"/>
  <c r="W23" i="4" s="1"/>
  <c r="N214" i="9"/>
  <c r="AK84" i="4" s="1"/>
  <c r="N211" i="9"/>
  <c r="N275" i="9"/>
  <c r="W83" i="4" s="1"/>
  <c r="N268" i="9"/>
  <c r="N163" i="9"/>
  <c r="W56" i="4" s="1"/>
  <c r="N165" i="9"/>
  <c r="W58" i="4" s="1"/>
  <c r="N65" i="9"/>
  <c r="AK32" i="4" s="1"/>
  <c r="N61" i="9"/>
  <c r="I7" i="4" s="1"/>
  <c r="N251" i="9"/>
  <c r="N254" i="9"/>
  <c r="AK93" i="4" s="1"/>
  <c r="N168" i="9"/>
  <c r="W60" i="4" s="1"/>
  <c r="N166" i="9"/>
  <c r="W59" i="4" s="1"/>
  <c r="N244" i="9"/>
  <c r="W76" i="4" s="1"/>
  <c r="N228" i="9"/>
  <c r="N265" i="9"/>
  <c r="AK96" i="4" s="1"/>
  <c r="N263" i="9"/>
  <c r="W81" i="4" s="1"/>
  <c r="N169" i="9"/>
  <c r="AK67" i="4" s="1"/>
  <c r="N170" i="9"/>
  <c r="AK68" i="4" s="1"/>
  <c r="N159" i="9"/>
  <c r="AK63" i="4" s="1"/>
  <c r="N156" i="9"/>
  <c r="AK62" i="4" s="1"/>
  <c r="N184" i="9"/>
  <c r="N193" i="9"/>
  <c r="N294" i="9"/>
  <c r="W88" i="4" s="1"/>
  <c r="N304" i="9"/>
  <c r="N57" i="9"/>
  <c r="W24" i="4" s="1"/>
  <c r="N59" i="9"/>
  <c r="AK30" i="4" s="1"/>
  <c r="N299" i="9"/>
  <c r="W90" i="4" s="1"/>
  <c r="N309" i="9"/>
  <c r="W95" i="4" s="1"/>
  <c r="N296" i="9"/>
  <c r="N305" i="9"/>
  <c r="W93" i="4" s="1"/>
  <c r="N311" i="9"/>
  <c r="W97" i="4" s="1"/>
  <c r="N321" i="9"/>
  <c r="AY41" i="4" s="1"/>
  <c r="N153" i="9"/>
  <c r="AK61" i="4" s="1"/>
  <c r="N154" i="9"/>
  <c r="I26" i="4" s="1"/>
  <c r="N246" i="9"/>
  <c r="AK90" i="4" s="1"/>
  <c r="N252" i="9"/>
  <c r="N204" i="9"/>
  <c r="I30" i="4" s="1"/>
  <c r="N206" i="9"/>
  <c r="N312" i="9"/>
  <c r="N328" i="9"/>
  <c r="N37" i="9"/>
  <c r="N36" i="9"/>
  <c r="AK19" i="4" s="1"/>
  <c r="N290" i="9"/>
  <c r="N281" i="9"/>
  <c r="AK100" i="4" s="1"/>
  <c r="N209" i="9"/>
  <c r="AK80" i="4" s="1"/>
  <c r="N210" i="9"/>
  <c r="AK81" i="4" s="1"/>
  <c r="N142" i="9"/>
  <c r="I24" i="4" s="1"/>
  <c r="N139" i="9"/>
  <c r="N329" i="9"/>
  <c r="N344" i="9"/>
  <c r="AY51" i="4" s="1"/>
  <c r="N58" i="9"/>
  <c r="AK29" i="4" s="1"/>
  <c r="N60" i="9"/>
  <c r="W25" i="4" s="1"/>
  <c r="N11" i="9"/>
  <c r="AK7" i="4" s="1"/>
  <c r="N10" i="9"/>
  <c r="W7" i="4" s="1"/>
  <c r="N140" i="9"/>
  <c r="N138" i="9"/>
  <c r="W47" i="4" s="1"/>
  <c r="N149" i="9"/>
  <c r="AK60" i="4" s="1"/>
  <c r="N147" i="9"/>
  <c r="W53" i="4" s="1"/>
  <c r="N289" i="9"/>
  <c r="N280" i="9"/>
  <c r="I37" i="4" s="1"/>
  <c r="N39" i="9"/>
  <c r="AK21" i="4" s="1"/>
  <c r="N42" i="9"/>
  <c r="AY5" i="4" s="1"/>
  <c r="N220" i="9"/>
  <c r="I31" i="4" s="1"/>
  <c r="N215" i="9"/>
  <c r="N313" i="9"/>
  <c r="W98" i="4" s="1"/>
  <c r="N330" i="9"/>
  <c r="N21" i="9"/>
  <c r="N19" i="9"/>
  <c r="N191" i="9"/>
  <c r="N199" i="9"/>
  <c r="W65" i="4" s="1"/>
  <c r="N335" i="9"/>
  <c r="W102" i="4" s="1"/>
  <c r="N352" i="9"/>
  <c r="N45" i="9"/>
  <c r="I5" i="4" s="1"/>
  <c r="N43" i="9"/>
  <c r="AK23" i="4" s="1"/>
  <c r="N186" i="9"/>
  <c r="W62" i="4" s="1"/>
  <c r="N194" i="9"/>
  <c r="AK78" i="4" s="1"/>
  <c r="N261" i="9"/>
  <c r="AK95" i="4" s="1"/>
  <c r="N262" i="9"/>
  <c r="W80" i="4" s="1"/>
  <c r="N308" i="9"/>
  <c r="W94" i="4" s="1"/>
  <c r="N314" i="9"/>
  <c r="N47" i="9"/>
  <c r="AK24" i="4" s="1"/>
  <c r="N46" i="9"/>
  <c r="W20" i="4" s="1"/>
  <c r="N267" i="9"/>
  <c r="I33" i="4" s="1"/>
  <c r="N266" i="9"/>
  <c r="W82" i="4" s="1"/>
  <c r="N240" i="9"/>
  <c r="W74" i="4" s="1"/>
  <c r="N221" i="9"/>
  <c r="N245" i="9"/>
  <c r="N241" i="9"/>
  <c r="N318" i="9"/>
  <c r="W100" i="4" s="1"/>
  <c r="N334" i="9"/>
  <c r="AY46" i="4" s="1"/>
  <c r="N259" i="9"/>
  <c r="W78" i="4" s="1"/>
  <c r="N257" i="9"/>
  <c r="N20" i="9"/>
  <c r="AK11" i="4" s="1"/>
  <c r="N16" i="9"/>
  <c r="AK10" i="4" s="1"/>
  <c r="N177" i="9"/>
  <c r="AY25" i="4" s="1"/>
  <c r="N172" i="9"/>
  <c r="N310" i="9"/>
  <c r="W96" i="4" s="1"/>
  <c r="N316" i="9"/>
  <c r="N15" i="9"/>
  <c r="AK9" i="4" s="1"/>
  <c r="N14" i="9"/>
  <c r="W9" i="4" s="1"/>
  <c r="N137" i="9"/>
  <c r="AK57" i="4" s="1"/>
  <c r="N136" i="9"/>
  <c r="I23" i="4" s="1"/>
  <c r="N150" i="9"/>
  <c r="I25" i="4" s="1"/>
  <c r="N148" i="9"/>
  <c r="AY19" i="4" s="1"/>
  <c r="N118" i="9"/>
  <c r="AY15" i="4" s="1"/>
  <c r="B17" i="3"/>
  <c r="N86" i="9"/>
  <c r="AK39" i="4" s="1"/>
  <c r="B7" i="3"/>
  <c r="N115" i="9"/>
  <c r="AY14" i="4" s="1"/>
  <c r="B16" i="3"/>
  <c r="N132" i="9"/>
  <c r="B20" i="3"/>
  <c r="N112" i="9"/>
  <c r="W41" i="4" s="1"/>
  <c r="B15" i="3"/>
  <c r="N100" i="9"/>
  <c r="AK44" i="4" s="1"/>
  <c r="B11" i="3"/>
  <c r="N83" i="9"/>
  <c r="AY9" i="4" s="1"/>
  <c r="B6" i="3"/>
  <c r="N94" i="9"/>
  <c r="W36" i="4" s="1"/>
  <c r="B9" i="3"/>
  <c r="N88" i="9"/>
  <c r="AK40" i="4" s="1"/>
  <c r="B8" i="3"/>
  <c r="N66" i="9"/>
  <c r="W27" i="4" s="1"/>
  <c r="B1" i="3"/>
  <c r="N110" i="9"/>
  <c r="I18" i="4" s="1"/>
  <c r="B14" i="3"/>
  <c r="N72" i="9"/>
  <c r="B3" i="3"/>
  <c r="N95" i="9"/>
  <c r="I13" i="4" s="1"/>
  <c r="B10" i="3"/>
  <c r="N108" i="9"/>
  <c r="AK47" i="4" s="1"/>
  <c r="B13" i="3"/>
  <c r="N80" i="9"/>
  <c r="W31" i="4" s="1"/>
  <c r="B5" i="3"/>
  <c r="N75" i="9"/>
  <c r="W30" i="4" s="1"/>
  <c r="B4" i="3"/>
  <c r="N131" i="9"/>
  <c r="W45" i="4" s="1"/>
  <c r="B19" i="3"/>
  <c r="N101" i="9"/>
  <c r="W38" i="4" s="1"/>
  <c r="B12" i="3"/>
  <c r="N67" i="9"/>
  <c r="I9" i="4" s="1"/>
  <c r="B2" i="3"/>
  <c r="N125" i="9"/>
  <c r="W44" i="4" s="1"/>
  <c r="B18" i="3"/>
  <c r="M367" i="9"/>
  <c r="M355" i="9"/>
  <c r="AY33" i="4" l="1"/>
  <c r="AY39" i="4"/>
  <c r="W69" i="4"/>
  <c r="AK58" i="4"/>
  <c r="AK55" i="4"/>
  <c r="W72" i="4"/>
  <c r="AK25" i="4"/>
  <c r="AK92" i="4"/>
  <c r="AK18" i="4"/>
  <c r="AY31" i="4"/>
  <c r="W55" i="4"/>
  <c r="W64" i="4"/>
  <c r="AY3" i="4"/>
  <c r="W46" i="4"/>
  <c r="W12" i="4"/>
  <c r="AK97" i="4"/>
  <c r="W84" i="4"/>
  <c r="W68" i="4"/>
  <c r="AY8" i="4"/>
  <c r="AK82" i="4"/>
  <c r="AY36" i="4"/>
  <c r="W11" i="4"/>
  <c r="AY47" i="4"/>
  <c r="W77" i="4"/>
  <c r="AY21" i="4"/>
  <c r="W63" i="4"/>
  <c r="I15" i="4"/>
  <c r="AK41" i="4"/>
  <c r="AK85" i="4"/>
  <c r="AK36" i="4"/>
  <c r="AK94" i="4"/>
  <c r="W61" i="4"/>
  <c r="I22" i="4"/>
  <c r="AK70" i="4"/>
  <c r="AK69" i="4"/>
  <c r="W79" i="4"/>
  <c r="AK26" i="4"/>
  <c r="AK64" i="4"/>
  <c r="W92" i="4"/>
  <c r="AK33" i="4"/>
  <c r="I10" i="4"/>
  <c r="I4" i="4"/>
  <c r="W17" i="4"/>
  <c r="AY29" i="4"/>
  <c r="W75" i="4"/>
  <c r="I32" i="4"/>
  <c r="E34" i="2" s="1"/>
  <c r="AY50" i="4"/>
  <c r="AK49" i="4"/>
  <c r="W48" i="4"/>
  <c r="AY37" i="4"/>
  <c r="AK86" i="4"/>
  <c r="W14" i="4"/>
  <c r="AK83" i="4"/>
  <c r="AK42" i="4"/>
  <c r="AY11" i="4"/>
  <c r="W85" i="4"/>
  <c r="AK22" i="4"/>
  <c r="AK98" i="4"/>
  <c r="E43" i="2"/>
  <c r="E21" i="2"/>
  <c r="M357" i="9"/>
  <c r="M369" i="9"/>
  <c r="E40" i="2" l="1"/>
  <c r="E44" i="2"/>
  <c r="E13" i="2"/>
  <c r="E29" i="2"/>
  <c r="E7" i="2"/>
  <c r="E30" i="2"/>
  <c r="E20" i="2"/>
  <c r="E25" i="2"/>
  <c r="E23" i="2"/>
  <c r="E6" i="2"/>
  <c r="E41" i="2"/>
  <c r="E16" i="2"/>
  <c r="E28" i="2"/>
  <c r="E27" i="2"/>
  <c r="E9" i="2"/>
  <c r="E36" i="2"/>
  <c r="E42" i="2"/>
  <c r="E14" i="2"/>
  <c r="E11" i="2"/>
  <c r="E17" i="2"/>
  <c r="E19" i="2"/>
  <c r="E33" i="2"/>
  <c r="E26" i="2"/>
  <c r="E12" i="2"/>
  <c r="E32" i="2"/>
  <c r="E31" i="2"/>
  <c r="E38" i="2"/>
  <c r="E35" i="2"/>
  <c r="E10" i="2"/>
  <c r="E15" i="2"/>
  <c r="E18" i="2"/>
  <c r="E8" i="2"/>
  <c r="E39" i="2"/>
  <c r="E37" i="2"/>
  <c r="E22" i="2"/>
  <c r="E24" i="2"/>
  <c r="M358" i="9"/>
  <c r="M378" i="9"/>
  <c r="M380" i="9" l="1"/>
  <c r="M359" i="9"/>
  <c r="M388" i="9" l="1"/>
  <c r="M366" i="9"/>
  <c r="M371" i="9" l="1"/>
  <c r="M389" i="9"/>
  <c r="M391" i="9" l="1"/>
  <c r="M372" i="9"/>
  <c r="M373" i="9" l="1"/>
  <c r="M400" i="9"/>
  <c r="M410" i="9" l="1"/>
  <c r="M374" i="9"/>
  <c r="M375" i="9" l="1"/>
  <c r="M412" i="9"/>
  <c r="M418" i="9" l="1"/>
  <c r="M379" i="9"/>
  <c r="M383" i="9" l="1"/>
  <c r="M420" i="9"/>
  <c r="M421" i="9" l="1"/>
  <c r="M384" i="9"/>
  <c r="M386" i="9" l="1"/>
  <c r="M425" i="9"/>
  <c r="M429" i="9" l="1"/>
  <c r="M390" i="9"/>
  <c r="M392" i="9" l="1"/>
  <c r="M430" i="9"/>
  <c r="M437" i="9" l="1"/>
  <c r="M436" i="9"/>
  <c r="M393" i="9"/>
  <c r="M396" i="9" l="1"/>
  <c r="M398" i="9" l="1"/>
  <c r="M404" i="9" l="1"/>
  <c r="M405" i="9" l="1"/>
  <c r="M408" i="9" l="1"/>
  <c r="M411" i="9" l="1"/>
  <c r="M416" i="9" l="1"/>
  <c r="M419" i="9" l="1"/>
  <c r="M431" i="9" l="1"/>
  <c r="M433" i="9" l="1"/>
  <c r="M434" i="9" l="1"/>
  <c r="M435" i="9" l="1"/>
  <c r="M452" i="9" l="1"/>
  <c r="M458" i="9" l="1"/>
  <c r="M461" i="9" l="1"/>
  <c r="M463" i="9" l="1"/>
  <c r="M464" i="9" l="1"/>
  <c r="M465" i="9" l="1"/>
  <c r="M466" i="9" l="1"/>
  <c r="M468" i="9" l="1"/>
  <c r="M470" i="9" l="1"/>
  <c r="M472" i="9" l="1"/>
  <c r="M474" i="9" l="1"/>
  <c r="M475" i="9" l="1"/>
  <c r="M492" i="9" l="1"/>
  <c r="M495" i="9" l="1"/>
  <c r="M500" i="9" l="1"/>
  <c r="M504" i="9" l="1"/>
  <c r="M505" i="9" l="1"/>
  <c r="M511" i="9" l="1"/>
  <c r="M515" i="9" l="1"/>
  <c r="M516" i="9" l="1"/>
  <c r="M517" i="9" l="1"/>
  <c r="M518" i="9" l="1"/>
  <c r="M519" i="9" l="1"/>
  <c r="M520" i="9" l="1"/>
  <c r="M521" i="9" l="1"/>
  <c r="M523" i="9" l="1"/>
  <c r="M524" i="9" l="1"/>
  <c r="M525" i="9" l="1"/>
  <c r="M526" i="9" l="1"/>
  <c r="M527" i="9" l="1"/>
  <c r="M531" i="9" l="1"/>
  <c r="M534" i="9" l="1"/>
  <c r="M550" i="9" l="1"/>
  <c r="M551" i="9" l="1"/>
  <c r="M558" i="9" l="1"/>
  <c r="M567" i="9" l="1"/>
  <c r="M578" i="9" l="1"/>
  <c r="M580" i="9" l="1"/>
  <c r="M583" i="9" l="1"/>
  <c r="M584" i="9" l="1"/>
  <c r="M586" i="9" l="1"/>
  <c r="M587" i="9" l="1"/>
  <c r="M588" i="9" l="1"/>
  <c r="M590" i="9" l="1"/>
  <c r="M591" i="9" l="1"/>
  <c r="M592" i="9" l="1"/>
  <c r="M593" i="9" l="1"/>
  <c r="M596" i="9" l="1"/>
  <c r="M595" i="9"/>
  <c r="C21" i="3" l="1"/>
  <c r="C42" i="3"/>
  <c r="C45" i="3"/>
  <c r="C18" i="3"/>
  <c r="C31" i="3"/>
  <c r="C39" i="3"/>
  <c r="C52" i="3"/>
  <c r="C3" i="3"/>
  <c r="C13" i="3"/>
  <c r="C35" i="3"/>
  <c r="C5" i="3"/>
  <c r="C1" i="3"/>
  <c r="C26" i="3"/>
  <c r="C47" i="3"/>
  <c r="C17" i="3"/>
  <c r="C22" i="3"/>
  <c r="C11" i="3"/>
  <c r="C24" i="3"/>
  <c r="C27" i="3"/>
  <c r="C12" i="3"/>
  <c r="C14" i="3"/>
  <c r="C29" i="3"/>
  <c r="C16" i="3"/>
  <c r="C44" i="3"/>
  <c r="C8" i="3"/>
  <c r="C40" i="3"/>
  <c r="C43" i="3"/>
  <c r="C46" i="3"/>
  <c r="C9" i="3"/>
  <c r="C37" i="3"/>
  <c r="C2" i="3"/>
  <c r="C51" i="3"/>
  <c r="C4" i="3"/>
  <c r="C28" i="3"/>
  <c r="C49" i="3"/>
  <c r="C48" i="3"/>
  <c r="C30" i="3"/>
  <c r="C32" i="3"/>
  <c r="C6" i="3"/>
  <c r="C23" i="3"/>
  <c r="C41" i="3"/>
  <c r="C19" i="3"/>
  <c r="C33" i="3"/>
  <c r="C36" i="3"/>
  <c r="C34" i="3"/>
  <c r="C25" i="3"/>
  <c r="C10" i="3"/>
  <c r="C38" i="3"/>
  <c r="C20" i="3"/>
  <c r="C50" i="3"/>
  <c r="C7" i="3"/>
  <c r="C15" i="3"/>
  <c r="G1" i="3" l="1"/>
  <c r="D42" i="1" s="1"/>
  <c r="D43" i="1" s="1"/>
  <c r="E1" i="3"/>
  <c r="C42" i="1" s="1"/>
  <c r="C43" i="1" s="1"/>
  <c r="I1" i="3"/>
  <c r="E42" i="1" s="1"/>
  <c r="E43" i="1" l="1"/>
  <c r="AR1" i="4" s="1"/>
  <c r="AD1" i="4"/>
  <c r="AE1" i="4" s="1"/>
  <c r="P1" i="4"/>
  <c r="B1" i="2" l="1"/>
  <c r="E61" i="2"/>
  <c r="D74" i="2"/>
  <c r="E75" i="2"/>
  <c r="D76" i="2"/>
  <c r="D83" i="2"/>
  <c r="E51" i="2"/>
  <c r="E63" i="2"/>
  <c r="D53" i="2"/>
  <c r="D58" i="2"/>
  <c r="E55" i="2"/>
  <c r="E71" i="2"/>
  <c r="D51" i="2"/>
  <c r="D78" i="2"/>
  <c r="E68" i="2"/>
  <c r="E50" i="2"/>
  <c r="D48" i="2"/>
  <c r="E83" i="2"/>
  <c r="E72" i="2"/>
  <c r="D64" i="2"/>
  <c r="E69" i="2"/>
  <c r="D71" i="2"/>
  <c r="E65" i="2"/>
  <c r="D54" i="2"/>
  <c r="E80" i="2"/>
  <c r="E77" i="2"/>
  <c r="E82" i="2"/>
  <c r="D55" i="2"/>
  <c r="D62" i="2"/>
  <c r="E60" i="2"/>
  <c r="E70" i="2"/>
  <c r="D69" i="2"/>
  <c r="D63" i="2"/>
  <c r="D81" i="2"/>
  <c r="E57" i="2"/>
  <c r="D52" i="2"/>
  <c r="E58" i="2"/>
  <c r="E74" i="2"/>
  <c r="E66" i="2"/>
  <c r="D70" i="2"/>
  <c r="D75" i="2"/>
  <c r="D72" i="2"/>
  <c r="D80" i="2"/>
  <c r="D61" i="2"/>
  <c r="D56" i="2"/>
  <c r="D77" i="2"/>
  <c r="E73" i="2"/>
  <c r="E48" i="2"/>
  <c r="E52" i="2"/>
  <c r="D84" i="2"/>
  <c r="E49" i="2"/>
  <c r="E84" i="2"/>
  <c r="E54" i="2"/>
  <c r="E81" i="2"/>
  <c r="D82" i="2"/>
  <c r="E59" i="2"/>
  <c r="D50" i="2"/>
  <c r="D73" i="2"/>
  <c r="D66" i="2"/>
  <c r="D65" i="2"/>
  <c r="E64" i="2"/>
  <c r="E62" i="2"/>
  <c r="D59" i="2"/>
  <c r="E79" i="2"/>
  <c r="D49" i="2"/>
  <c r="D79" i="2"/>
  <c r="D68" i="2"/>
  <c r="D67" i="2"/>
  <c r="D60" i="2"/>
  <c r="E76" i="2"/>
  <c r="E67" i="2"/>
  <c r="D57" i="2"/>
  <c r="AS1" i="4"/>
  <c r="AZ3" i="4" s="1"/>
  <c r="E78" i="2"/>
  <c r="E53" i="2"/>
  <c r="E56" i="2"/>
  <c r="Y82" i="2"/>
  <c r="X63" i="2"/>
  <c r="X68" i="2"/>
  <c r="X71" i="2"/>
  <c r="X31" i="2"/>
  <c r="X77" i="2"/>
  <c r="X10" i="2"/>
  <c r="X12" i="2"/>
  <c r="X62" i="2"/>
  <c r="X15" i="2"/>
  <c r="X24" i="2"/>
  <c r="Y13" i="2"/>
  <c r="Y81" i="2"/>
  <c r="Y71" i="2"/>
  <c r="X48" i="2"/>
  <c r="Y32" i="2"/>
  <c r="Y20" i="2"/>
  <c r="Y77" i="2"/>
  <c r="X74" i="2"/>
  <c r="Y22" i="2"/>
  <c r="X83" i="2"/>
  <c r="Y78" i="2"/>
  <c r="Y11" i="2"/>
  <c r="X37" i="2"/>
  <c r="Y79" i="2"/>
  <c r="Y39" i="2"/>
  <c r="Y46" i="2"/>
  <c r="X53" i="2"/>
  <c r="Y41" i="2"/>
  <c r="X22" i="2"/>
  <c r="X60" i="2"/>
  <c r="X14" i="2"/>
  <c r="Y75" i="2"/>
  <c r="Y19" i="2"/>
  <c r="X18" i="2"/>
  <c r="X66" i="2"/>
  <c r="Y29" i="2"/>
  <c r="Y35" i="2"/>
  <c r="X70" i="2"/>
  <c r="X20" i="2"/>
  <c r="X44" i="2"/>
  <c r="Y30" i="2"/>
  <c r="X52" i="2"/>
  <c r="Y58" i="2"/>
  <c r="Y23" i="2"/>
  <c r="Y24" i="2"/>
  <c r="X32" i="2"/>
  <c r="X25" i="2"/>
  <c r="Y15" i="2"/>
  <c r="X50" i="2"/>
  <c r="X81" i="2"/>
  <c r="X8" i="2"/>
  <c r="Y70" i="2"/>
  <c r="X42" i="2"/>
  <c r="X39" i="2"/>
  <c r="Y40" i="2"/>
  <c r="X28" i="2"/>
  <c r="X17" i="2"/>
  <c r="Y66" i="2"/>
  <c r="Y8" i="2"/>
  <c r="Y44" i="2"/>
  <c r="Y51" i="2"/>
  <c r="X84" i="2"/>
  <c r="Y74" i="2"/>
  <c r="X55" i="2"/>
  <c r="X64" i="2"/>
  <c r="X73" i="2"/>
  <c r="X38" i="2"/>
  <c r="Y45" i="2"/>
  <c r="X43" i="2"/>
  <c r="Y5" i="2"/>
  <c r="X82" i="2"/>
  <c r="Y52" i="2"/>
  <c r="Y34" i="2"/>
  <c r="Y17" i="2"/>
  <c r="Y56" i="2"/>
  <c r="X69" i="2"/>
  <c r="X80" i="2"/>
  <c r="Y64" i="2"/>
  <c r="X65" i="2"/>
  <c r="Y38" i="2"/>
  <c r="X45" i="2"/>
  <c r="Y25" i="2"/>
  <c r="Y69" i="2"/>
  <c r="X51" i="2"/>
  <c r="X58" i="2"/>
  <c r="Y76" i="2"/>
  <c r="X27" i="2"/>
  <c r="Y59" i="2"/>
  <c r="Y31" i="2"/>
  <c r="X21" i="2"/>
  <c r="Y53" i="2"/>
  <c r="Y62" i="2"/>
  <c r="X16" i="2"/>
  <c r="Y18" i="2"/>
  <c r="Y47" i="2"/>
  <c r="Y28" i="2"/>
  <c r="Y21" i="2"/>
  <c r="Y84" i="2"/>
  <c r="Y14" i="2"/>
  <c r="Y54" i="2"/>
  <c r="Y68" i="2"/>
  <c r="Y43" i="2"/>
  <c r="Y26" i="2"/>
  <c r="X36" i="2"/>
  <c r="Y73" i="2"/>
  <c r="X46" i="2"/>
  <c r="X7" i="2"/>
  <c r="Y65" i="2"/>
  <c r="Y67" i="2"/>
  <c r="Y42" i="2"/>
  <c r="X54" i="2"/>
  <c r="X72" i="2"/>
  <c r="X33" i="2"/>
  <c r="X59" i="2"/>
  <c r="Y61" i="2"/>
  <c r="Y60" i="2"/>
  <c r="X41" i="2"/>
  <c r="X29" i="2"/>
  <c r="X49" i="2"/>
  <c r="Y10" i="2"/>
  <c r="X9" i="2"/>
  <c r="X56" i="2"/>
  <c r="Y16" i="2"/>
  <c r="X47" i="2"/>
  <c r="X79" i="2"/>
  <c r="Y50" i="2"/>
  <c r="Y36" i="2"/>
  <c r="X78" i="2"/>
  <c r="X26" i="2"/>
  <c r="X34" i="2"/>
  <c r="Y72" i="2"/>
  <c r="Y55" i="2"/>
  <c r="Y80" i="2"/>
  <c r="X13" i="2"/>
  <c r="Y6" i="2"/>
  <c r="Y63" i="2"/>
  <c r="X19" i="2"/>
  <c r="X61" i="2"/>
  <c r="X30" i="2"/>
  <c r="X11" i="2"/>
  <c r="Y83" i="2"/>
  <c r="X75" i="2"/>
  <c r="Y37" i="2"/>
  <c r="X6" i="2"/>
  <c r="X5" i="2"/>
  <c r="X35" i="2"/>
  <c r="Y48" i="2"/>
  <c r="Y27" i="2"/>
  <c r="X57" i="2"/>
  <c r="X23" i="2"/>
  <c r="X40" i="2"/>
  <c r="Y7" i="2"/>
  <c r="Y33" i="2"/>
  <c r="X76" i="2"/>
  <c r="AL37" i="4"/>
  <c r="X67" i="2"/>
  <c r="Y9" i="2"/>
  <c r="Y12" i="2"/>
  <c r="Y49" i="2"/>
  <c r="Y57" i="2"/>
  <c r="O50" i="2"/>
  <c r="N82" i="2"/>
  <c r="N70" i="2"/>
  <c r="O27" i="2"/>
  <c r="O64" i="2"/>
  <c r="N45" i="2"/>
  <c r="O51" i="2"/>
  <c r="N68" i="2"/>
  <c r="O43" i="2"/>
  <c r="O18" i="2"/>
  <c r="O6" i="2"/>
  <c r="N76" i="2"/>
  <c r="O66" i="2"/>
  <c r="O26" i="2"/>
  <c r="N8" i="2"/>
  <c r="O49" i="2"/>
  <c r="O45" i="2"/>
  <c r="N53" i="2"/>
  <c r="O68" i="2"/>
  <c r="O58" i="2"/>
  <c r="N24" i="2"/>
  <c r="N23" i="2"/>
  <c r="O13" i="2"/>
  <c r="O20" i="2"/>
  <c r="N71" i="2"/>
  <c r="N67" i="2"/>
  <c r="O76" i="2"/>
  <c r="O39" i="2"/>
  <c r="O52" i="2"/>
  <c r="O80" i="2"/>
  <c r="O63" i="2"/>
  <c r="N52" i="2"/>
  <c r="N36" i="2"/>
  <c r="N40" i="2"/>
  <c r="O5" i="2"/>
  <c r="O40" i="2"/>
  <c r="N65" i="2"/>
  <c r="O7" i="2"/>
  <c r="O32" i="2"/>
  <c r="O57" i="2"/>
  <c r="N43" i="2"/>
  <c r="O48" i="2"/>
  <c r="O78" i="2"/>
  <c r="N37" i="2"/>
  <c r="O83" i="2"/>
  <c r="N84" i="2"/>
  <c r="O22" i="2"/>
  <c r="N61" i="2"/>
  <c r="O8" i="2"/>
  <c r="N14" i="2"/>
  <c r="O71" i="2"/>
  <c r="O37" i="2"/>
  <c r="N17" i="2"/>
  <c r="O31" i="2"/>
  <c r="O38" i="2"/>
  <c r="O36" i="2"/>
  <c r="N57" i="2"/>
  <c r="N18" i="2"/>
  <c r="N30" i="2"/>
  <c r="O42" i="2"/>
  <c r="O61" i="2"/>
  <c r="N25" i="2"/>
  <c r="N48" i="2"/>
  <c r="N22" i="2"/>
  <c r="N47" i="2"/>
  <c r="N6" i="2"/>
  <c r="N39" i="2"/>
  <c r="N63" i="2"/>
  <c r="O70" i="2"/>
  <c r="O15" i="2"/>
  <c r="N62" i="2"/>
  <c r="N79" i="2"/>
  <c r="O56" i="2"/>
  <c r="N32" i="2"/>
  <c r="N75" i="2"/>
  <c r="O47" i="2"/>
  <c r="N7" i="2"/>
  <c r="O21" i="2"/>
  <c r="O33" i="2"/>
  <c r="N69" i="2"/>
  <c r="O12" i="2"/>
  <c r="N20" i="2"/>
  <c r="O16" i="2"/>
  <c r="O62" i="2"/>
  <c r="O65" i="2"/>
  <c r="N9" i="2"/>
  <c r="N27" i="2"/>
  <c r="N66" i="2"/>
  <c r="N33" i="2"/>
  <c r="N13" i="2"/>
  <c r="N11" i="2"/>
  <c r="O53" i="2"/>
  <c r="O29" i="2"/>
  <c r="O72" i="2"/>
  <c r="N83" i="2"/>
  <c r="N31" i="2"/>
  <c r="N29" i="2"/>
  <c r="O10" i="2"/>
  <c r="N77" i="2"/>
  <c r="N38" i="2"/>
  <c r="N41" i="2"/>
  <c r="O81" i="2"/>
  <c r="O59" i="2"/>
  <c r="O9" i="2"/>
  <c r="N42" i="2"/>
  <c r="N56" i="2"/>
  <c r="O11" i="2"/>
  <c r="O41" i="2"/>
  <c r="N35" i="2"/>
  <c r="N54" i="2"/>
  <c r="N49" i="2"/>
  <c r="N16" i="2"/>
  <c r="N73" i="2"/>
  <c r="O28" i="2"/>
  <c r="N10" i="2"/>
  <c r="O55" i="2"/>
  <c r="O67" i="2"/>
  <c r="N60" i="2"/>
  <c r="N21" i="2"/>
  <c r="O54" i="2"/>
  <c r="O14" i="2"/>
  <c r="N80" i="2"/>
  <c r="N44" i="2"/>
  <c r="N15" i="2"/>
  <c r="N74" i="2"/>
  <c r="O77" i="2"/>
  <c r="N58" i="2"/>
  <c r="N28" i="2"/>
  <c r="O60" i="2"/>
  <c r="O79" i="2"/>
  <c r="N78" i="2"/>
  <c r="O35" i="2"/>
  <c r="O17" i="2"/>
  <c r="O82" i="2"/>
  <c r="N50" i="2"/>
  <c r="N46" i="2"/>
  <c r="O75" i="2"/>
  <c r="O30" i="2"/>
  <c r="O84" i="2"/>
  <c r="N26" i="2"/>
  <c r="O24" i="2"/>
  <c r="O74" i="2"/>
  <c r="O19" i="2"/>
  <c r="O44" i="2"/>
  <c r="N5" i="2"/>
  <c r="N19" i="2"/>
  <c r="N59" i="2"/>
  <c r="N34" i="2"/>
  <c r="O23" i="2"/>
  <c r="O34" i="2"/>
  <c r="N72" i="2"/>
  <c r="O25" i="2"/>
  <c r="O46" i="2"/>
  <c r="Q1" i="4"/>
  <c r="O73" i="2"/>
  <c r="N81" i="2"/>
  <c r="N12" i="2"/>
  <c r="O69" i="2"/>
  <c r="N55" i="2"/>
  <c r="N51" i="2"/>
  <c r="N64" i="2"/>
  <c r="AZ51" i="4" l="1"/>
  <c r="AZ32" i="4"/>
  <c r="AZ46" i="4"/>
  <c r="AZ26" i="4"/>
  <c r="AZ43" i="4"/>
  <c r="AZ47" i="4"/>
  <c r="X98" i="4"/>
  <c r="C1" i="4"/>
  <c r="AL7" i="4"/>
  <c r="AL59" i="4"/>
  <c r="AL98" i="4"/>
  <c r="AL64" i="4"/>
  <c r="AL100" i="4"/>
  <c r="AL89" i="4"/>
  <c r="AL45" i="4"/>
  <c r="AL79" i="4"/>
  <c r="AL92" i="4"/>
  <c r="AL70" i="4"/>
  <c r="AL10" i="4"/>
  <c r="AL72" i="4"/>
  <c r="AL31" i="4"/>
  <c r="AL9" i="4"/>
  <c r="AL27" i="4"/>
  <c r="AL58" i="4"/>
  <c r="AL69" i="4"/>
  <c r="AL32" i="4"/>
  <c r="AL11" i="4"/>
  <c r="AL86" i="4"/>
  <c r="AL91" i="4"/>
  <c r="AL49" i="4"/>
  <c r="AL6" i="4"/>
  <c r="AD8" i="2" s="1"/>
  <c r="AL3" i="4"/>
  <c r="AD6" i="2" s="1"/>
  <c r="AL50" i="4"/>
  <c r="AL33" i="4"/>
  <c r="AD34" i="2" s="1"/>
  <c r="AL19" i="4"/>
  <c r="AL4" i="4"/>
  <c r="AD5" i="2" s="1"/>
  <c r="AL62" i="4"/>
  <c r="AL75" i="4"/>
  <c r="AL66" i="4"/>
  <c r="AL96" i="4"/>
  <c r="AL68" i="4"/>
  <c r="AL28" i="4"/>
  <c r="AL93" i="4"/>
  <c r="AL47" i="4"/>
  <c r="AL71" i="4"/>
  <c r="AL15" i="4"/>
  <c r="AL8" i="4"/>
  <c r="AL90" i="4"/>
  <c r="AL35" i="4"/>
  <c r="AL16" i="4"/>
  <c r="AL38" i="4"/>
  <c r="AL30" i="4"/>
  <c r="AL5" i="4"/>
  <c r="AL41" i="4"/>
  <c r="AD46" i="2" s="1"/>
  <c r="AL24" i="4"/>
  <c r="AL51" i="4"/>
  <c r="AL102" i="4"/>
  <c r="AL74" i="4"/>
  <c r="AL83" i="4"/>
  <c r="AL40" i="4"/>
  <c r="AL101" i="4"/>
  <c r="AL81" i="4"/>
  <c r="AZ19" i="4"/>
  <c r="AZ12" i="4"/>
  <c r="J57" i="2" s="1"/>
  <c r="AZ10" i="4"/>
  <c r="AZ48" i="4"/>
  <c r="AZ40" i="4"/>
  <c r="AZ33" i="4"/>
  <c r="AZ7" i="4"/>
  <c r="AZ17" i="4"/>
  <c r="AZ22" i="4"/>
  <c r="AZ18" i="4"/>
  <c r="AZ13" i="4"/>
  <c r="AZ24" i="4"/>
  <c r="AZ14" i="4"/>
  <c r="AZ42" i="4"/>
  <c r="AZ4" i="4"/>
  <c r="J49" i="2" s="1"/>
  <c r="AZ11" i="4"/>
  <c r="AZ30" i="4"/>
  <c r="AZ29" i="4"/>
  <c r="AZ44" i="4"/>
  <c r="AZ5" i="4"/>
  <c r="J50" i="2" s="1"/>
  <c r="AZ20" i="4"/>
  <c r="AZ23" i="4"/>
  <c r="AZ6" i="4"/>
  <c r="AZ21" i="4"/>
  <c r="AZ8" i="4"/>
  <c r="AZ49" i="4"/>
  <c r="AZ28" i="4"/>
  <c r="AZ15" i="4"/>
  <c r="AZ41" i="4"/>
  <c r="AZ36" i="4"/>
  <c r="AZ25" i="4"/>
  <c r="AZ27" i="4"/>
  <c r="AZ38" i="4"/>
  <c r="AZ50" i="4"/>
  <c r="AZ52" i="4"/>
  <c r="AZ35" i="4"/>
  <c r="AZ37" i="4"/>
  <c r="AZ45" i="4"/>
  <c r="AZ31" i="4"/>
  <c r="AZ39" i="4"/>
  <c r="AZ34" i="4"/>
  <c r="AZ9" i="4"/>
  <c r="AL99" i="4"/>
  <c r="AL39" i="4"/>
  <c r="AZ16" i="4"/>
  <c r="AL23" i="4"/>
  <c r="AD23" i="2" s="1"/>
  <c r="AL85" i="4"/>
  <c r="AL29" i="4"/>
  <c r="AL42" i="4"/>
  <c r="AL55" i="4"/>
  <c r="AL87" i="4"/>
  <c r="AL21" i="4"/>
  <c r="AL44" i="4"/>
  <c r="AL17" i="4"/>
  <c r="AL48" i="4"/>
  <c r="AL12" i="4"/>
  <c r="AL78" i="4"/>
  <c r="AL67" i="4"/>
  <c r="AL84" i="4"/>
  <c r="AL73" i="4"/>
  <c r="AL22" i="4"/>
  <c r="AL26" i="4"/>
  <c r="AL61" i="4"/>
  <c r="AL25" i="4"/>
  <c r="AL76" i="4"/>
  <c r="AL13" i="4"/>
  <c r="AL14" i="4"/>
  <c r="AD17" i="2" s="1"/>
  <c r="AL63" i="4"/>
  <c r="AL54" i="4"/>
  <c r="AL80" i="4"/>
  <c r="AL57" i="4"/>
  <c r="AL46" i="4"/>
  <c r="AL20" i="4"/>
  <c r="AL43" i="4"/>
  <c r="AL94" i="4"/>
  <c r="AL97" i="4"/>
  <c r="AL18" i="4"/>
  <c r="AL34" i="4"/>
  <c r="AL82" i="4"/>
  <c r="AL52" i="4"/>
  <c r="AL77" i="4"/>
  <c r="AL95" i="4"/>
  <c r="AL88" i="4"/>
  <c r="AL53" i="4"/>
  <c r="AL56" i="4"/>
  <c r="AL65" i="4"/>
  <c r="AL36" i="4"/>
  <c r="AL60" i="4"/>
  <c r="X92" i="4"/>
  <c r="X55" i="4"/>
  <c r="X71" i="4"/>
  <c r="X10" i="4"/>
  <c r="X91" i="4"/>
  <c r="X74" i="4"/>
  <c r="X19" i="4"/>
  <c r="X13" i="4"/>
  <c r="X95" i="4"/>
  <c r="X12" i="4"/>
  <c r="X28" i="4"/>
  <c r="X63" i="4"/>
  <c r="X46" i="4"/>
  <c r="X81" i="4"/>
  <c r="X83" i="4"/>
  <c r="X80" i="4"/>
  <c r="X38" i="4"/>
  <c r="X14" i="4"/>
  <c r="X89" i="4"/>
  <c r="X27" i="4"/>
  <c r="X36" i="4"/>
  <c r="X47" i="4"/>
  <c r="X26" i="4"/>
  <c r="X18" i="4"/>
  <c r="X20" i="4"/>
  <c r="X4" i="4"/>
  <c r="T6" i="2" s="1"/>
  <c r="X35" i="4"/>
  <c r="X29" i="4"/>
  <c r="X31" i="4"/>
  <c r="X43" i="4"/>
  <c r="X11" i="4"/>
  <c r="X72" i="4"/>
  <c r="X77" i="4"/>
  <c r="X59" i="4"/>
  <c r="X37" i="4"/>
  <c r="X45" i="4"/>
  <c r="X86" i="4"/>
  <c r="X50" i="4"/>
  <c r="X88" i="4"/>
  <c r="X94" i="4"/>
  <c r="X102" i="4"/>
  <c r="X48" i="4"/>
  <c r="X73" i="4"/>
  <c r="X24" i="4"/>
  <c r="X33" i="4"/>
  <c r="X76" i="4"/>
  <c r="X97" i="4"/>
  <c r="X56" i="4"/>
  <c r="X23" i="4"/>
  <c r="X67" i="4"/>
  <c r="X9" i="4"/>
  <c r="X100" i="4"/>
  <c r="X53" i="4"/>
  <c r="X30" i="4"/>
  <c r="X42" i="4"/>
  <c r="X22" i="4"/>
  <c r="X8" i="4"/>
  <c r="X49" i="4"/>
  <c r="X68" i="4"/>
  <c r="X79" i="4"/>
  <c r="X82" i="4"/>
  <c r="X6" i="4"/>
  <c r="X99" i="4"/>
  <c r="X32" i="4"/>
  <c r="X69" i="4"/>
  <c r="X51" i="4"/>
  <c r="X78" i="4"/>
  <c r="X52" i="4"/>
  <c r="X5" i="4"/>
  <c r="X60" i="4"/>
  <c r="X44" i="4"/>
  <c r="X90" i="4"/>
  <c r="X87" i="4"/>
  <c r="X25" i="4"/>
  <c r="X96" i="4"/>
  <c r="X17" i="4"/>
  <c r="X84" i="4"/>
  <c r="X58" i="4"/>
  <c r="X54" i="4"/>
  <c r="X40" i="4"/>
  <c r="X75" i="4"/>
  <c r="X15" i="4"/>
  <c r="X101" i="4"/>
  <c r="X64" i="4"/>
  <c r="X41" i="4"/>
  <c r="X7" i="4"/>
  <c r="X70" i="4"/>
  <c r="X16" i="4"/>
  <c r="X57" i="4"/>
  <c r="X61" i="4"/>
  <c r="X21" i="4"/>
  <c r="X3" i="4"/>
  <c r="X62" i="4"/>
  <c r="X65" i="4"/>
  <c r="X34" i="4"/>
  <c r="X39" i="4"/>
  <c r="X85" i="4"/>
  <c r="X93" i="4"/>
  <c r="X66" i="4"/>
  <c r="AD59" i="2" l="1"/>
  <c r="AD44" i="2"/>
  <c r="T16" i="2"/>
  <c r="AD37" i="2"/>
  <c r="AD40" i="2"/>
  <c r="T41" i="2"/>
  <c r="AD13" i="2"/>
  <c r="AD73" i="2"/>
  <c r="T8" i="2"/>
  <c r="T35" i="2"/>
  <c r="AD81" i="2"/>
  <c r="T7" i="2"/>
  <c r="T80" i="2"/>
  <c r="T20" i="2"/>
  <c r="T22" i="2"/>
  <c r="AD9" i="2"/>
  <c r="AD10" i="2"/>
  <c r="AD16" i="2"/>
  <c r="J59" i="2"/>
  <c r="T27" i="2"/>
  <c r="J60" i="2"/>
  <c r="AD72" i="2"/>
  <c r="AD32" i="2"/>
  <c r="AD71" i="2"/>
  <c r="T70" i="2"/>
  <c r="AD74" i="2"/>
  <c r="AD62" i="2"/>
  <c r="J65" i="2"/>
  <c r="AD41" i="2"/>
  <c r="AD84" i="2"/>
  <c r="AD45" i="2"/>
  <c r="T77" i="2"/>
  <c r="J67" i="2"/>
  <c r="AD19" i="2"/>
  <c r="AD39" i="2"/>
  <c r="T23" i="2"/>
  <c r="J76" i="2"/>
  <c r="J77" i="2"/>
  <c r="AD61" i="2"/>
  <c r="J48" i="2"/>
  <c r="AD70" i="2"/>
  <c r="J55" i="2"/>
  <c r="T26" i="2"/>
  <c r="T19" i="2"/>
  <c r="AD48" i="2"/>
  <c r="AD68" i="2"/>
  <c r="J82" i="2"/>
  <c r="J70" i="2"/>
  <c r="AD77" i="2"/>
  <c r="T64" i="2"/>
  <c r="T25" i="2"/>
  <c r="AD25" i="2"/>
  <c r="J62" i="2"/>
  <c r="AD65" i="2"/>
  <c r="AD33" i="2"/>
  <c r="T18" i="2"/>
  <c r="J83" i="2"/>
  <c r="J61" i="2"/>
  <c r="AD18" i="2"/>
  <c r="J54" i="2"/>
  <c r="J81" i="2"/>
  <c r="T14" i="2"/>
  <c r="AD56" i="2"/>
  <c r="AD42" i="2"/>
  <c r="J58" i="2"/>
  <c r="J75" i="2"/>
  <c r="J63" i="2"/>
  <c r="AD30" i="2"/>
  <c r="AD54" i="2"/>
  <c r="T71" i="2"/>
  <c r="T15" i="2"/>
  <c r="T37" i="2"/>
  <c r="T74" i="2"/>
  <c r="T76" i="2"/>
  <c r="AD20" i="2"/>
  <c r="T28" i="2"/>
  <c r="T58" i="2"/>
  <c r="T81" i="2"/>
  <c r="AD12" i="2"/>
  <c r="T79" i="2"/>
  <c r="T68" i="2"/>
  <c r="AD47" i="2"/>
  <c r="AD51" i="2"/>
  <c r="AD83" i="2"/>
  <c r="T72" i="2"/>
  <c r="T36" i="2"/>
  <c r="AD55" i="2"/>
  <c r="AD15" i="2"/>
  <c r="AD24" i="2"/>
  <c r="T52" i="2"/>
  <c r="T31" i="2"/>
  <c r="T49" i="2"/>
  <c r="T48" i="2"/>
  <c r="T57" i="2"/>
  <c r="T21" i="2"/>
  <c r="T47" i="2"/>
  <c r="T30" i="2"/>
  <c r="T9" i="2"/>
  <c r="AD38" i="2"/>
  <c r="T65" i="2"/>
  <c r="AD63" i="2"/>
  <c r="T69" i="2"/>
  <c r="T83" i="2"/>
  <c r="T78" i="2"/>
  <c r="T38" i="2"/>
  <c r="AD21" i="2"/>
  <c r="AD80" i="2"/>
  <c r="AD28" i="2"/>
  <c r="T61" i="2"/>
  <c r="J71" i="2"/>
  <c r="J78" i="2"/>
  <c r="J72" i="2"/>
  <c r="J68" i="2"/>
  <c r="J50" i="4"/>
  <c r="J17" i="4"/>
  <c r="J31" i="4"/>
  <c r="J41" i="4"/>
  <c r="J22" i="4"/>
  <c r="J3" i="4"/>
  <c r="J28" i="4"/>
  <c r="J26" i="4"/>
  <c r="J30" i="4"/>
  <c r="J6" i="4"/>
  <c r="J23" i="4"/>
  <c r="J47" i="4"/>
  <c r="J13" i="4"/>
  <c r="J39" i="4"/>
  <c r="J25" i="4"/>
  <c r="J19" i="4"/>
  <c r="J44" i="4"/>
  <c r="J4" i="4"/>
  <c r="J15" i="4"/>
  <c r="J32" i="4"/>
  <c r="J48" i="4"/>
  <c r="J46" i="4"/>
  <c r="J5" i="4"/>
  <c r="J34" i="4"/>
  <c r="J40" i="4"/>
  <c r="J29" i="4"/>
  <c r="J9" i="4"/>
  <c r="J38" i="4"/>
  <c r="J27" i="4"/>
  <c r="J7" i="4"/>
  <c r="J36" i="4"/>
  <c r="J33" i="4"/>
  <c r="J16" i="4"/>
  <c r="J20" i="4"/>
  <c r="J35" i="4"/>
  <c r="J18" i="4"/>
  <c r="J14" i="4"/>
  <c r="J45" i="4"/>
  <c r="J43" i="4"/>
  <c r="J8" i="4"/>
  <c r="J42" i="4"/>
  <c r="J10" i="4"/>
  <c r="J12" i="4"/>
  <c r="J11" i="4"/>
  <c r="J37" i="4"/>
  <c r="J24" i="4"/>
  <c r="J21" i="4"/>
  <c r="J49" i="4"/>
  <c r="AD66" i="2"/>
  <c r="AD31" i="2"/>
  <c r="AD69" i="2"/>
  <c r="AD58" i="2"/>
  <c r="AD57" i="2"/>
  <c r="J79" i="2"/>
  <c r="AD64" i="2"/>
  <c r="AD11" i="2"/>
  <c r="AD79" i="2"/>
  <c r="J80" i="2"/>
  <c r="AD82" i="2"/>
  <c r="AD50" i="2"/>
  <c r="J53" i="2"/>
  <c r="J51" i="2"/>
  <c r="J64" i="2"/>
  <c r="AD52" i="2"/>
  <c r="J66" i="2"/>
  <c r="AD7" i="2"/>
  <c r="AD36" i="2"/>
  <c r="J52" i="2"/>
  <c r="AD26" i="2"/>
  <c r="BW5" i="4"/>
  <c r="AD43" i="2"/>
  <c r="J73" i="2"/>
  <c r="AD75" i="2"/>
  <c r="AD53" i="2"/>
  <c r="BW9" i="4"/>
  <c r="BW21" i="4"/>
  <c r="BW38" i="4"/>
  <c r="BW39" i="4"/>
  <c r="BW25" i="4"/>
  <c r="BW43" i="4"/>
  <c r="J84" i="2"/>
  <c r="BW40" i="4"/>
  <c r="BW26" i="4"/>
  <c r="BW16" i="4"/>
  <c r="J74" i="2"/>
  <c r="BW45" i="4"/>
  <c r="BW49" i="4"/>
  <c r="BW31" i="4"/>
  <c r="BW22" i="4"/>
  <c r="BW36" i="4"/>
  <c r="BW27" i="4"/>
  <c r="J56" i="2"/>
  <c r="BW17" i="4"/>
  <c r="BW13" i="4"/>
  <c r="BW42" i="4"/>
  <c r="BW46" i="4"/>
  <c r="BW34" i="4"/>
  <c r="BW14" i="4"/>
  <c r="BW23" i="4"/>
  <c r="BW35" i="4"/>
  <c r="BW10" i="4"/>
  <c r="AD60" i="2"/>
  <c r="BW41" i="4"/>
  <c r="BW28" i="4"/>
  <c r="BW33" i="4"/>
  <c r="BW37" i="4"/>
  <c r="BW24" i="4"/>
  <c r="BW32" i="4"/>
  <c r="BW11" i="4"/>
  <c r="BW48" i="4"/>
  <c r="BW18" i="4"/>
  <c r="BW51" i="4"/>
  <c r="BW30" i="4"/>
  <c r="BW44" i="4"/>
  <c r="BW20" i="4"/>
  <c r="BW7" i="4"/>
  <c r="BW6" i="4"/>
  <c r="BW19" i="4"/>
  <c r="J69" i="2"/>
  <c r="BW52" i="4"/>
  <c r="BW47" i="4"/>
  <c r="BW4" i="4"/>
  <c r="BW3" i="4"/>
  <c r="BX3" i="4" s="1"/>
  <c r="BW29" i="4"/>
  <c r="BW15" i="4"/>
  <c r="BW12" i="4"/>
  <c r="AZ1" i="4"/>
  <c r="BW8" i="4"/>
  <c r="BW50" i="4"/>
  <c r="AD49" i="2"/>
  <c r="AD14" i="2"/>
  <c r="AD27" i="2"/>
  <c r="AD76" i="2"/>
  <c r="AD67" i="2"/>
  <c r="AD78" i="2"/>
  <c r="T54" i="2"/>
  <c r="T82" i="2"/>
  <c r="T13" i="2"/>
  <c r="BR23" i="4"/>
  <c r="AD29" i="2"/>
  <c r="AD22" i="2"/>
  <c r="BR48" i="4"/>
  <c r="BR79" i="4"/>
  <c r="BR5" i="4"/>
  <c r="BR42" i="4"/>
  <c r="BR76" i="4"/>
  <c r="BR51" i="4"/>
  <c r="BR25" i="4"/>
  <c r="BR31" i="4"/>
  <c r="BR13" i="4"/>
  <c r="BR67" i="4"/>
  <c r="BR88" i="4"/>
  <c r="BR87" i="4"/>
  <c r="BR80" i="4"/>
  <c r="BR98" i="4"/>
  <c r="BR75" i="4"/>
  <c r="BR71" i="4"/>
  <c r="BR102" i="4"/>
  <c r="BR32" i="4"/>
  <c r="BR97" i="4"/>
  <c r="BR29" i="4"/>
  <c r="AL1" i="4"/>
  <c r="BR40" i="4"/>
  <c r="BR95" i="4"/>
  <c r="BR55" i="4"/>
  <c r="BR12" i="4"/>
  <c r="BR14" i="4"/>
  <c r="BR8" i="4"/>
  <c r="BR10" i="4"/>
  <c r="BR85" i="4"/>
  <c r="BR89" i="4"/>
  <c r="BR35" i="4"/>
  <c r="BR63" i="4"/>
  <c r="BR86" i="4"/>
  <c r="BR91" i="4"/>
  <c r="BR11" i="4"/>
  <c r="BR66" i="4"/>
  <c r="BR41" i="4"/>
  <c r="BR24" i="4"/>
  <c r="BR58" i="4"/>
  <c r="BR7" i="4"/>
  <c r="BR20" i="4"/>
  <c r="BR93" i="4"/>
  <c r="BR26" i="4"/>
  <c r="BR38" i="4"/>
  <c r="BR50" i="4"/>
  <c r="BR6" i="4"/>
  <c r="BR94" i="4"/>
  <c r="BR49" i="4"/>
  <c r="BR100" i="4"/>
  <c r="BR72" i="4"/>
  <c r="BR39" i="4"/>
  <c r="BR83" i="4"/>
  <c r="BR33" i="4"/>
  <c r="BR21" i="4"/>
  <c r="BR57" i="4"/>
  <c r="BR4" i="4"/>
  <c r="BR81" i="4"/>
  <c r="BR16" i="4"/>
  <c r="BR3" i="4"/>
  <c r="BS3" i="4" s="1"/>
  <c r="BR74" i="4"/>
  <c r="BR34" i="4"/>
  <c r="BR18" i="4"/>
  <c r="BR47" i="4"/>
  <c r="BR69" i="4"/>
  <c r="AD35" i="2"/>
  <c r="BR52" i="4"/>
  <c r="BR82" i="4"/>
  <c r="BR53" i="4"/>
  <c r="BR46" i="4"/>
  <c r="BR59" i="4"/>
  <c r="BR90" i="4"/>
  <c r="BR92" i="4"/>
  <c r="BR17" i="4"/>
  <c r="BR56" i="4"/>
  <c r="BR99" i="4"/>
  <c r="BR101" i="4"/>
  <c r="BR15" i="4"/>
  <c r="BR19" i="4"/>
  <c r="BR37" i="4"/>
  <c r="BR61" i="4"/>
  <c r="BR96" i="4"/>
  <c r="BR60" i="4"/>
  <c r="BR9" i="4"/>
  <c r="T11" i="2"/>
  <c r="BR43" i="4"/>
  <c r="BR78" i="4"/>
  <c r="BR22" i="4"/>
  <c r="BR54" i="4"/>
  <c r="BR27" i="4"/>
  <c r="BR70" i="4"/>
  <c r="BR84" i="4"/>
  <c r="BR68" i="4"/>
  <c r="BR45" i="4"/>
  <c r="BR73" i="4"/>
  <c r="BR30" i="4"/>
  <c r="BR64" i="4"/>
  <c r="BR62" i="4"/>
  <c r="BR28" i="4"/>
  <c r="BR65" i="4"/>
  <c r="BR44" i="4"/>
  <c r="BR77" i="4"/>
  <c r="BR36" i="4"/>
  <c r="T40" i="2"/>
  <c r="T17" i="2"/>
  <c r="T12" i="2"/>
  <c r="T50" i="2"/>
  <c r="T51" i="2"/>
  <c r="T62" i="2"/>
  <c r="T66" i="2"/>
  <c r="T33" i="2"/>
  <c r="T46" i="2"/>
  <c r="T45" i="2"/>
  <c r="T55" i="2"/>
  <c r="T63" i="2"/>
  <c r="T53" i="2"/>
  <c r="T75" i="2"/>
  <c r="T56" i="2"/>
  <c r="T59" i="2"/>
  <c r="T42" i="2"/>
  <c r="T67" i="2"/>
  <c r="T29" i="2"/>
  <c r="T43" i="2"/>
  <c r="T84" i="2"/>
  <c r="T39" i="2"/>
  <c r="BM102" i="4"/>
  <c r="BM36" i="4"/>
  <c r="BM78" i="4"/>
  <c r="BM87" i="4"/>
  <c r="T24" i="2"/>
  <c r="T32" i="2"/>
  <c r="T10" i="2"/>
  <c r="T44" i="2"/>
  <c r="BM43" i="4"/>
  <c r="BM11" i="4"/>
  <c r="BM92" i="4"/>
  <c r="BM72" i="4"/>
  <c r="T34" i="2"/>
  <c r="BM18" i="4"/>
  <c r="BM12" i="4"/>
  <c r="BM67" i="4"/>
  <c r="BM9" i="4"/>
  <c r="BM90" i="4"/>
  <c r="BM86" i="4"/>
  <c r="BM23" i="4"/>
  <c r="BM62" i="4"/>
  <c r="BM8" i="4"/>
  <c r="BM28" i="4"/>
  <c r="BM76" i="4"/>
  <c r="BM29" i="4"/>
  <c r="X1" i="4"/>
  <c r="BM51" i="4"/>
  <c r="BM101" i="4"/>
  <c r="BM46" i="4"/>
  <c r="T60" i="2"/>
  <c r="BM69" i="4"/>
  <c r="BM30" i="4"/>
  <c r="BM19" i="4"/>
  <c r="BM22" i="4"/>
  <c r="BM93" i="4"/>
  <c r="BM6" i="4"/>
  <c r="BM68" i="4"/>
  <c r="BM21" i="4"/>
  <c r="BM99" i="4"/>
  <c r="T73" i="2"/>
  <c r="BM13" i="4"/>
  <c r="BM45" i="4"/>
  <c r="BM60" i="4"/>
  <c r="BM83" i="4"/>
  <c r="T5" i="2"/>
  <c r="BM85" i="4"/>
  <c r="BM58" i="4"/>
  <c r="BM24" i="4"/>
  <c r="BM97" i="4"/>
  <c r="BM49" i="4"/>
  <c r="BM5" i="4"/>
  <c r="BM26" i="4"/>
  <c r="BM48" i="4"/>
  <c r="BM42" i="4"/>
  <c r="BM17" i="4"/>
  <c r="BM52" i="4"/>
  <c r="BM81" i="4"/>
  <c r="BM74" i="4"/>
  <c r="BM47" i="4"/>
  <c r="BM33" i="4"/>
  <c r="BM16" i="4"/>
  <c r="BM37" i="4"/>
  <c r="BM80" i="4"/>
  <c r="BM65" i="4"/>
  <c r="BM35" i="4"/>
  <c r="BM32" i="4"/>
  <c r="BM15" i="4"/>
  <c r="BM79" i="4"/>
  <c r="BM64" i="4"/>
  <c r="BM14" i="4"/>
  <c r="BM31" i="4"/>
  <c r="BM7" i="4"/>
  <c r="BM38" i="4"/>
  <c r="BM70" i="4"/>
  <c r="BM63" i="4"/>
  <c r="BM100" i="4"/>
  <c r="BM20" i="4"/>
  <c r="BM4" i="4"/>
  <c r="BM75" i="4"/>
  <c r="BM94" i="4"/>
  <c r="BM91" i="4"/>
  <c r="BM50" i="4"/>
  <c r="BM84" i="4"/>
  <c r="BM77" i="4"/>
  <c r="BM96" i="4"/>
  <c r="BM82" i="4"/>
  <c r="BM66" i="4"/>
  <c r="BM41" i="4"/>
  <c r="BM59" i="4"/>
  <c r="BM27" i="4"/>
  <c r="BM95" i="4"/>
  <c r="BM73" i="4"/>
  <c r="BM57" i="4"/>
  <c r="BM40" i="4"/>
  <c r="BM34" i="4"/>
  <c r="BM3" i="4"/>
  <c r="BN3" i="4" s="1"/>
  <c r="BM98" i="4"/>
  <c r="BM56" i="4"/>
  <c r="BM39" i="4"/>
  <c r="BM25" i="4"/>
  <c r="BM89" i="4"/>
  <c r="BM71" i="4"/>
  <c r="BM55" i="4"/>
  <c r="BM61" i="4"/>
  <c r="BM54" i="4"/>
  <c r="BM88" i="4"/>
  <c r="BM10" i="4"/>
  <c r="BM53" i="4"/>
  <c r="BM44" i="4"/>
  <c r="Q65" i="2" l="1"/>
  <c r="AA80" i="2"/>
  <c r="AA81" i="2"/>
  <c r="AA52" i="2"/>
  <c r="AA33" i="2"/>
  <c r="AA58" i="2"/>
  <c r="AA12" i="2"/>
  <c r="Q43" i="2"/>
  <c r="Q74" i="2"/>
  <c r="Q10" i="2"/>
  <c r="Q80" i="2"/>
  <c r="Q81" i="2"/>
  <c r="Q8" i="2"/>
  <c r="Q9" i="2"/>
  <c r="Q52" i="2"/>
  <c r="Q29" i="2"/>
  <c r="Q67" i="2"/>
  <c r="Q31" i="2"/>
  <c r="Q49" i="2"/>
  <c r="Q46" i="2"/>
  <c r="Q59" i="2"/>
  <c r="Q76" i="2"/>
  <c r="Q63" i="2"/>
  <c r="Q23" i="2"/>
  <c r="Q54" i="2"/>
  <c r="Q20" i="2"/>
  <c r="Q21" i="2"/>
  <c r="Q13" i="2"/>
  <c r="Q19" i="2"/>
  <c r="Q45" i="2"/>
  <c r="Q60" i="2"/>
  <c r="Q47" i="2"/>
  <c r="Q58" i="2"/>
  <c r="Q79" i="2"/>
  <c r="Q56" i="2"/>
  <c r="Q32" i="2"/>
  <c r="Q48" i="2"/>
  <c r="Q27" i="2"/>
  <c r="Q18" i="2"/>
  <c r="Q6" i="2"/>
  <c r="Q72" i="2"/>
  <c r="Q12" i="2"/>
  <c r="Q30" i="2"/>
  <c r="Q25" i="2"/>
  <c r="Q51" i="2"/>
  <c r="Q83" i="2"/>
  <c r="Q84" i="2"/>
  <c r="Q50" i="2"/>
  <c r="Q55" i="2"/>
  <c r="Q37" i="2"/>
  <c r="Q73" i="2"/>
  <c r="Q69" i="2"/>
  <c r="Q7" i="2"/>
  <c r="Q38" i="2"/>
  <c r="Q75" i="2"/>
  <c r="Q78" i="2"/>
  <c r="Q44" i="2"/>
  <c r="Q57" i="2"/>
  <c r="Q77" i="2"/>
  <c r="Q36" i="2"/>
  <c r="Q17" i="2"/>
  <c r="Q34" i="2"/>
  <c r="Q33" i="2"/>
  <c r="Q28" i="2"/>
  <c r="Q11" i="2"/>
  <c r="Q71" i="2"/>
  <c r="Q14" i="2"/>
  <c r="Q42" i="2"/>
  <c r="Q66" i="2"/>
  <c r="Q16" i="2"/>
  <c r="Q68" i="2"/>
  <c r="Q35" i="2"/>
  <c r="Q70" i="2"/>
  <c r="Q40" i="2"/>
  <c r="Q41" i="2"/>
  <c r="Q39" i="2"/>
  <c r="Q82" i="2"/>
  <c r="Q62" i="2"/>
  <c r="Q64" i="2"/>
  <c r="Q22" i="2"/>
  <c r="Q26" i="2"/>
  <c r="Q61" i="2"/>
  <c r="Q53" i="2"/>
  <c r="Q24" i="2"/>
  <c r="Q15" i="2"/>
  <c r="AA62" i="2"/>
  <c r="AA79" i="2"/>
  <c r="AA20" i="2"/>
  <c r="AA74" i="2"/>
  <c r="AA10" i="2"/>
  <c r="AA23" i="2"/>
  <c r="AA70" i="2"/>
  <c r="AA61" i="2"/>
  <c r="AA14" i="2"/>
  <c r="AA67" i="2"/>
  <c r="AA54" i="2"/>
  <c r="AA32" i="2"/>
  <c r="AA31" i="2"/>
  <c r="AA75" i="2"/>
  <c r="AA25" i="2"/>
  <c r="AA56" i="2"/>
  <c r="AA65" i="2"/>
  <c r="AA83" i="2"/>
  <c r="AA60" i="2"/>
  <c r="AA26" i="2"/>
  <c r="AA57" i="2"/>
  <c r="AA63" i="2"/>
  <c r="AA53" i="2"/>
  <c r="AA39" i="2"/>
  <c r="AA17" i="2"/>
  <c r="AA13" i="2"/>
  <c r="AA35" i="2"/>
  <c r="AA69" i="2"/>
  <c r="AA84" i="2"/>
  <c r="AA29" i="2"/>
  <c r="AA24" i="2"/>
  <c r="AA36" i="2"/>
  <c r="AA48" i="2"/>
  <c r="AA6" i="2"/>
  <c r="AA30" i="2"/>
  <c r="AA37" i="2"/>
  <c r="AA50" i="2"/>
  <c r="AA38" i="2"/>
  <c r="AA19" i="2"/>
  <c r="AA64" i="2"/>
  <c r="AA78" i="2"/>
  <c r="AA46" i="2"/>
  <c r="AA18" i="2"/>
  <c r="AA15" i="2"/>
  <c r="AA16" i="2"/>
  <c r="AA51" i="2"/>
  <c r="AA9" i="2"/>
  <c r="AA41" i="2"/>
  <c r="AA8" i="2"/>
  <c r="AA34" i="2"/>
  <c r="AA11" i="2"/>
  <c r="AA55" i="2"/>
  <c r="AA44" i="2"/>
  <c r="AA45" i="2"/>
  <c r="AA42" i="2"/>
  <c r="AA21" i="2"/>
  <c r="AA68" i="2"/>
  <c r="AA82" i="2"/>
  <c r="AA76" i="2"/>
  <c r="AA22" i="2"/>
  <c r="AA66" i="2"/>
  <c r="AA73" i="2"/>
  <c r="AA59" i="2"/>
  <c r="AA77" i="2"/>
  <c r="AA28" i="2"/>
  <c r="AA49" i="2"/>
  <c r="AA47" i="2"/>
  <c r="AA40" i="2"/>
  <c r="AA43" i="2"/>
  <c r="AA72" i="2"/>
  <c r="AA71" i="2"/>
  <c r="AA27" i="2"/>
  <c r="AA7" i="2"/>
  <c r="BO4" i="4"/>
  <c r="Z4" i="4" s="1"/>
  <c r="L6" i="2" s="1"/>
  <c r="BN4" i="4"/>
  <c r="BN5" i="4" s="1"/>
  <c r="BS4" i="4"/>
  <c r="BT4" i="4"/>
  <c r="BY4" i="4"/>
  <c r="BB4" i="4" s="1"/>
  <c r="J27" i="2"/>
  <c r="J8" i="2"/>
  <c r="J7" i="2"/>
  <c r="J40" i="2"/>
  <c r="J38" i="2"/>
  <c r="J26" i="2"/>
  <c r="J13" i="2"/>
  <c r="J11" i="2"/>
  <c r="J41" i="2"/>
  <c r="J14" i="2"/>
  <c r="J15" i="2"/>
  <c r="J25" i="2"/>
  <c r="J16" i="2"/>
  <c r="J32" i="2"/>
  <c r="J10" i="2"/>
  <c r="J42" i="2"/>
  <c r="J44" i="2"/>
  <c r="J31" i="2"/>
  <c r="J9" i="2"/>
  <c r="J37" i="2"/>
  <c r="J30" i="2"/>
  <c r="J29" i="2"/>
  <c r="BH47" i="4"/>
  <c r="BH42" i="4"/>
  <c r="BH34" i="4"/>
  <c r="BH14" i="4"/>
  <c r="BH6" i="4"/>
  <c r="BH41" i="4"/>
  <c r="BH28" i="4"/>
  <c r="BH10" i="4"/>
  <c r="BH35" i="4"/>
  <c r="BH21" i="4"/>
  <c r="BH29" i="4"/>
  <c r="BH33" i="4"/>
  <c r="BH7" i="4"/>
  <c r="BH12" i="4"/>
  <c r="BH39" i="4"/>
  <c r="BH43" i="4"/>
  <c r="BH32" i="4"/>
  <c r="BH44" i="4"/>
  <c r="BH4" i="4"/>
  <c r="BH46" i="4"/>
  <c r="BH23" i="4"/>
  <c r="BH51" i="4"/>
  <c r="BH25" i="4"/>
  <c r="BH38" i="4"/>
  <c r="BH9" i="4"/>
  <c r="BH11" i="4"/>
  <c r="J5" i="2"/>
  <c r="BH45" i="4"/>
  <c r="BH30" i="4"/>
  <c r="BH13" i="4"/>
  <c r="BH22" i="4"/>
  <c r="BH40" i="4"/>
  <c r="BH31" i="4"/>
  <c r="BH37" i="4"/>
  <c r="BH19" i="4"/>
  <c r="BH50" i="4"/>
  <c r="BH49" i="4"/>
  <c r="BH36" i="4"/>
  <c r="BH15" i="4"/>
  <c r="BH48" i="4"/>
  <c r="BH3" i="4"/>
  <c r="BI3" i="4" s="1"/>
  <c r="BH24" i="4"/>
  <c r="BH5" i="4"/>
  <c r="BH52" i="4"/>
  <c r="BH16" i="4"/>
  <c r="J1" i="4"/>
  <c r="B47" i="1" s="1"/>
  <c r="B48" i="1" s="1"/>
  <c r="K47" i="4" s="1"/>
  <c r="BH17" i="4"/>
  <c r="BH26" i="4"/>
  <c r="BH8" i="4"/>
  <c r="BH27" i="4"/>
  <c r="BH20" i="4"/>
  <c r="BH18" i="4"/>
  <c r="J12" i="2"/>
  <c r="J23" i="2"/>
  <c r="J20" i="2"/>
  <c r="J34" i="2"/>
  <c r="J43" i="2"/>
  <c r="J39" i="2"/>
  <c r="J18" i="2"/>
  <c r="J33" i="2"/>
  <c r="J22" i="2"/>
  <c r="J6" i="2"/>
  <c r="J19" i="2"/>
  <c r="J17" i="2"/>
  <c r="J36" i="2"/>
  <c r="J21" i="2"/>
  <c r="J24" i="2"/>
  <c r="J35" i="2"/>
  <c r="J28" i="2"/>
  <c r="BX4" i="4"/>
  <c r="BX5" i="4" s="1"/>
  <c r="G82" i="2"/>
  <c r="G81" i="2"/>
  <c r="G53" i="2"/>
  <c r="G75" i="2"/>
  <c r="G66" i="2"/>
  <c r="G60" i="2"/>
  <c r="G61" i="2"/>
  <c r="G67" i="2"/>
  <c r="G63" i="2"/>
  <c r="G65" i="2"/>
  <c r="G69" i="2"/>
  <c r="G79" i="2"/>
  <c r="G51" i="2"/>
  <c r="G62" i="2"/>
  <c r="G76" i="2"/>
  <c r="G74" i="2"/>
  <c r="G70" i="2"/>
  <c r="G59" i="2"/>
  <c r="G64" i="2"/>
  <c r="G52" i="2"/>
  <c r="G83" i="2"/>
  <c r="G57" i="2"/>
  <c r="G73" i="2"/>
  <c r="G58" i="2"/>
  <c r="G48" i="2"/>
  <c r="G56" i="2"/>
  <c r="G49" i="2"/>
  <c r="G72" i="2"/>
  <c r="G71" i="2"/>
  <c r="G54" i="2"/>
  <c r="G55" i="2"/>
  <c r="G68" i="2"/>
  <c r="G78" i="2"/>
  <c r="G50" i="2"/>
  <c r="G80" i="2"/>
  <c r="G84" i="2"/>
  <c r="AA5" i="2"/>
  <c r="Z3" i="4"/>
  <c r="L5" i="2" s="1"/>
  <c r="BB3" i="4"/>
  <c r="B48" i="2" s="1"/>
  <c r="Q5" i="2"/>
  <c r="G30" i="2" l="1"/>
  <c r="G32" i="2"/>
  <c r="G7" i="2"/>
  <c r="G17" i="2"/>
  <c r="G41" i="2"/>
  <c r="G42" i="2"/>
  <c r="G9" i="2"/>
  <c r="G33" i="2"/>
  <c r="G31" i="2"/>
  <c r="G22" i="2"/>
  <c r="G24" i="2"/>
  <c r="G27" i="2"/>
  <c r="G11" i="2"/>
  <c r="G13" i="2"/>
  <c r="G15" i="2"/>
  <c r="G34" i="2"/>
  <c r="G14" i="2"/>
  <c r="G38" i="2"/>
  <c r="G19" i="2"/>
  <c r="G26" i="2"/>
  <c r="G23" i="2"/>
  <c r="G40" i="2"/>
  <c r="G20" i="2"/>
  <c r="G10" i="2"/>
  <c r="G12" i="2"/>
  <c r="G16" i="2"/>
  <c r="G28" i="2"/>
  <c r="G25" i="2"/>
  <c r="G18" i="2"/>
  <c r="G29" i="2"/>
  <c r="G37" i="2"/>
  <c r="G36" i="2"/>
  <c r="G39" i="2"/>
  <c r="G43" i="2"/>
  <c r="G44" i="2"/>
  <c r="G35" i="2"/>
  <c r="G21" i="2"/>
  <c r="G8" i="2"/>
  <c r="G6" i="2"/>
  <c r="BT5" i="4"/>
  <c r="BO5" i="4"/>
  <c r="BO6" i="4" s="1"/>
  <c r="BS5" i="4"/>
  <c r="BN6" i="4"/>
  <c r="BX6" i="4"/>
  <c r="BJ4" i="4"/>
  <c r="BI4" i="4"/>
  <c r="BI5" i="4" s="1"/>
  <c r="BI6" i="4" s="1"/>
  <c r="BI7" i="4" s="1"/>
  <c r="BY5" i="4"/>
  <c r="BY6" i="4" s="1"/>
  <c r="B49" i="2"/>
  <c r="G5" i="2"/>
  <c r="Y26" i="4"/>
  <c r="K46" i="4"/>
  <c r="Y17" i="4"/>
  <c r="Y13" i="4"/>
  <c r="Y44" i="4"/>
  <c r="Y6" i="4"/>
  <c r="P8" i="2" s="1"/>
  <c r="Y37" i="4"/>
  <c r="P39" i="2" s="1"/>
  <c r="AM55" i="4"/>
  <c r="Y18" i="4"/>
  <c r="K12" i="4"/>
  <c r="F11" i="2" s="1"/>
  <c r="Y81" i="4"/>
  <c r="AM89" i="4"/>
  <c r="AM11" i="4"/>
  <c r="Z18" i="2" s="1"/>
  <c r="Y34" i="4"/>
  <c r="Y84" i="4"/>
  <c r="Y14" i="4"/>
  <c r="BA13" i="4"/>
  <c r="AM83" i="4"/>
  <c r="BA29" i="4"/>
  <c r="Y48" i="4"/>
  <c r="AM8" i="4"/>
  <c r="Z10" i="2" s="1"/>
  <c r="AM28" i="4"/>
  <c r="BA25" i="4"/>
  <c r="Y79" i="4"/>
  <c r="BA31" i="4"/>
  <c r="F80" i="2" s="1"/>
  <c r="Y49" i="4"/>
  <c r="Y33" i="4"/>
  <c r="Y90" i="4"/>
  <c r="AM98" i="4"/>
  <c r="BA49" i="4"/>
  <c r="AM54" i="4"/>
  <c r="AM32" i="4"/>
  <c r="Y82" i="4"/>
  <c r="Y53" i="4"/>
  <c r="Y64" i="4"/>
  <c r="P84" i="2" s="1"/>
  <c r="AM48" i="4"/>
  <c r="AM80" i="4"/>
  <c r="BA50" i="4"/>
  <c r="AM39" i="4"/>
  <c r="BA4" i="4"/>
  <c r="F49" i="2" s="1"/>
  <c r="BA46" i="4"/>
  <c r="AM43" i="4"/>
  <c r="Z35" i="2" s="1"/>
  <c r="BA47" i="4"/>
  <c r="AM92" i="4"/>
  <c r="BA17" i="4"/>
  <c r="Y8" i="4"/>
  <c r="BA45" i="4"/>
  <c r="Y93" i="4"/>
  <c r="Y56" i="4"/>
  <c r="P82" i="2" s="1"/>
  <c r="AM45" i="4"/>
  <c r="Z41" i="2" s="1"/>
  <c r="Y59" i="4"/>
  <c r="AM49" i="4"/>
  <c r="K22" i="4"/>
  <c r="AM101" i="4"/>
  <c r="Y77" i="4"/>
  <c r="BA27" i="4"/>
  <c r="F76" i="2" s="1"/>
  <c r="AM94" i="4"/>
  <c r="AM88" i="4"/>
  <c r="Y19" i="4"/>
  <c r="Y21" i="4"/>
  <c r="Y24" i="4"/>
  <c r="P29" i="2" s="1"/>
  <c r="K19" i="4"/>
  <c r="AM69" i="4"/>
  <c r="AM13" i="4"/>
  <c r="AM62" i="4"/>
  <c r="Y22" i="4"/>
  <c r="P23" i="2" s="1"/>
  <c r="AM44" i="4"/>
  <c r="BA12" i="4"/>
  <c r="F57" i="2" s="1"/>
  <c r="AM97" i="4"/>
  <c r="BA37" i="4"/>
  <c r="BA11" i="4"/>
  <c r="F54" i="2" s="1"/>
  <c r="AM14" i="4"/>
  <c r="Z16" i="2" s="1"/>
  <c r="Y42" i="4"/>
  <c r="AM91" i="4"/>
  <c r="AM26" i="4"/>
  <c r="Z28" i="2" s="1"/>
  <c r="AM31" i="4"/>
  <c r="Z30" i="2" s="1"/>
  <c r="BA9" i="4"/>
  <c r="K25" i="4"/>
  <c r="F29" i="2" s="1"/>
  <c r="Y20" i="4"/>
  <c r="P24" i="2" s="1"/>
  <c r="Y40" i="4"/>
  <c r="P38" i="2" s="1"/>
  <c r="AM72" i="4"/>
  <c r="AM10" i="4"/>
  <c r="Z11" i="2" s="1"/>
  <c r="K24" i="4"/>
  <c r="Y28" i="4"/>
  <c r="BA44" i="4"/>
  <c r="Y27" i="4"/>
  <c r="AM16" i="4"/>
  <c r="AM35" i="4"/>
  <c r="Y11" i="4"/>
  <c r="P12" i="2" s="1"/>
  <c r="Y67" i="4"/>
  <c r="Y54" i="4"/>
  <c r="Y45" i="4"/>
  <c r="P60" i="2" s="1"/>
  <c r="BA21" i="4"/>
  <c r="AM81" i="4"/>
  <c r="BA7" i="4"/>
  <c r="F56" i="2" s="1"/>
  <c r="AM23" i="4"/>
  <c r="BA16" i="4"/>
  <c r="F58" i="2" s="1"/>
  <c r="Y96" i="4"/>
  <c r="AM61" i="4"/>
  <c r="Z54" i="2" s="1"/>
  <c r="K14" i="4"/>
  <c r="BA3" i="4"/>
  <c r="F48" i="2" s="1"/>
  <c r="BA36" i="4"/>
  <c r="AM5" i="4"/>
  <c r="Z7" i="2" s="1"/>
  <c r="AM93" i="4"/>
  <c r="Y75" i="4"/>
  <c r="P80" i="2" s="1"/>
  <c r="AM68" i="4"/>
  <c r="Z74" i="2" s="1"/>
  <c r="K28" i="4"/>
  <c r="F25" i="2" s="1"/>
  <c r="Y63" i="4"/>
  <c r="P47" i="2" s="1"/>
  <c r="AM64" i="4"/>
  <c r="Z79" i="2" s="1"/>
  <c r="Y65" i="4"/>
  <c r="AM78" i="4"/>
  <c r="Z82" i="2" s="1"/>
  <c r="Y38" i="4"/>
  <c r="P37" i="2" s="1"/>
  <c r="Y100" i="4"/>
  <c r="K5" i="4"/>
  <c r="Y95" i="4"/>
  <c r="Y43" i="4"/>
  <c r="Y101" i="4"/>
  <c r="AM38" i="4"/>
  <c r="Z36" i="2" s="1"/>
  <c r="BA8" i="4"/>
  <c r="F55" i="2" s="1"/>
  <c r="AM46" i="4"/>
  <c r="Z48" i="2" s="1"/>
  <c r="AM71" i="4"/>
  <c r="K36" i="4"/>
  <c r="AM63" i="4"/>
  <c r="Z70" i="2" s="1"/>
  <c r="AM37" i="4"/>
  <c r="Z37" i="2" s="1"/>
  <c r="BA15" i="4"/>
  <c r="F62" i="2" s="1"/>
  <c r="Y58" i="4"/>
  <c r="BA35" i="4"/>
  <c r="Y71" i="4"/>
  <c r="P81" i="2" s="1"/>
  <c r="AM7" i="4"/>
  <c r="Z9" i="2" s="1"/>
  <c r="BA41" i="4"/>
  <c r="BA38" i="4"/>
  <c r="AM15" i="4"/>
  <c r="AM47" i="4"/>
  <c r="Z55" i="2" s="1"/>
  <c r="AM22" i="4"/>
  <c r="BA18" i="4"/>
  <c r="F61" i="2" s="1"/>
  <c r="AM75" i="4"/>
  <c r="Z71" i="2" s="1"/>
  <c r="AM33" i="4"/>
  <c r="BA19" i="4"/>
  <c r="F64" i="2" s="1"/>
  <c r="Y29" i="4"/>
  <c r="P33" i="2" s="1"/>
  <c r="BA40" i="4"/>
  <c r="Y76" i="4"/>
  <c r="Y98" i="4"/>
  <c r="Y32" i="4"/>
  <c r="P40" i="2" s="1"/>
  <c r="AM36" i="4"/>
  <c r="Z38" i="2" s="1"/>
  <c r="AM18" i="4"/>
  <c r="Z22" i="2" s="1"/>
  <c r="Y39" i="4"/>
  <c r="Y10" i="4"/>
  <c r="Y7" i="4"/>
  <c r="Y94" i="4"/>
  <c r="AM96" i="4"/>
  <c r="AM52" i="4"/>
  <c r="BA23" i="4"/>
  <c r="F70" i="2" s="1"/>
  <c r="Y4" i="4"/>
  <c r="P6" i="2" s="1"/>
  <c r="BA48" i="4"/>
  <c r="Y61" i="4"/>
  <c r="P57" i="2" s="1"/>
  <c r="Y60" i="4"/>
  <c r="P59" i="2" s="1"/>
  <c r="BA30" i="4"/>
  <c r="F73" i="2" s="1"/>
  <c r="AM51" i="4"/>
  <c r="Z39" i="2" s="1"/>
  <c r="AM79" i="4"/>
  <c r="Z62" i="2" s="1"/>
  <c r="Y99" i="4"/>
  <c r="Y66" i="4"/>
  <c r="P76" i="2" s="1"/>
  <c r="Y16" i="4"/>
  <c r="P17" i="2" s="1"/>
  <c r="BA28" i="4"/>
  <c r="F69" i="2" s="1"/>
  <c r="Y30" i="4"/>
  <c r="Y35" i="4"/>
  <c r="P35" i="2" s="1"/>
  <c r="AM58" i="4"/>
  <c r="AM87" i="4"/>
  <c r="Y86" i="4"/>
  <c r="K49" i="4"/>
  <c r="AM102" i="4"/>
  <c r="AM4" i="4"/>
  <c r="Z6" i="2" s="1"/>
  <c r="Y36" i="4"/>
  <c r="P43" i="2" s="1"/>
  <c r="Y31" i="4"/>
  <c r="P32" i="2" s="1"/>
  <c r="BA39" i="4"/>
  <c r="F83" i="2" s="1"/>
  <c r="AM9" i="4"/>
  <c r="Y52" i="4"/>
  <c r="P46" i="2" s="1"/>
  <c r="AM60" i="4"/>
  <c r="Z69" i="2" s="1"/>
  <c r="AM20" i="4"/>
  <c r="Z24" i="2" s="1"/>
  <c r="AM100" i="4"/>
  <c r="Y23" i="4"/>
  <c r="P22" i="2" s="1"/>
  <c r="BA20" i="4"/>
  <c r="F72" i="2" s="1"/>
  <c r="Y62" i="4"/>
  <c r="AM30" i="4"/>
  <c r="AM65" i="4"/>
  <c r="Y5" i="4"/>
  <c r="P7" i="2" s="1"/>
  <c r="Y97" i="4"/>
  <c r="AM40" i="4"/>
  <c r="Z56" i="2" s="1"/>
  <c r="K34" i="4"/>
  <c r="F38" i="2" s="1"/>
  <c r="AM50" i="4"/>
  <c r="AM67" i="4"/>
  <c r="Z72" i="2" s="1"/>
  <c r="AM3" i="4"/>
  <c r="Z5" i="2" s="1"/>
  <c r="Y55" i="4"/>
  <c r="P62" i="2" s="1"/>
  <c r="Y70" i="4"/>
  <c r="P48" i="2" s="1"/>
  <c r="AM70" i="4"/>
  <c r="Y102" i="4"/>
  <c r="Y78" i="4"/>
  <c r="Y51" i="4"/>
  <c r="P77" i="2" s="1"/>
  <c r="Y46" i="4"/>
  <c r="Y80" i="4"/>
  <c r="P71" i="2" s="1"/>
  <c r="K3" i="4"/>
  <c r="F5" i="2" s="1"/>
  <c r="K13" i="4"/>
  <c r="F18" i="2" s="1"/>
  <c r="K35" i="4"/>
  <c r="AM95" i="4"/>
  <c r="AM19" i="4"/>
  <c r="Z29" i="2" s="1"/>
  <c r="AM12" i="4"/>
  <c r="Z13" i="2" s="1"/>
  <c r="Y88" i="4"/>
  <c r="AM76" i="4"/>
  <c r="Y47" i="4"/>
  <c r="P53" i="2" s="1"/>
  <c r="AM84" i="4"/>
  <c r="BA32" i="4"/>
  <c r="K44" i="4"/>
  <c r="BA26" i="4"/>
  <c r="F82" i="2" s="1"/>
  <c r="AM73" i="4"/>
  <c r="Z80" i="2" s="1"/>
  <c r="AM53" i="4"/>
  <c r="K17" i="4"/>
  <c r="F16" i="2" s="1"/>
  <c r="BA51" i="4"/>
  <c r="Y3" i="4"/>
  <c r="P5" i="2" s="1"/>
  <c r="Y57" i="4"/>
  <c r="P79" i="2" s="1"/>
  <c r="AM21" i="4"/>
  <c r="Z25" i="2" s="1"/>
  <c r="Y85" i="4"/>
  <c r="AM86" i="4"/>
  <c r="AM85" i="4"/>
  <c r="AM25" i="4"/>
  <c r="K8" i="4"/>
  <c r="F15" i="2" s="1"/>
  <c r="BA6" i="4"/>
  <c r="F51" i="2" s="1"/>
  <c r="Y72" i="4"/>
  <c r="P50" i="2" s="1"/>
  <c r="AM6" i="4"/>
  <c r="Z8" i="2" s="1"/>
  <c r="Y68" i="4"/>
  <c r="P83" i="2" s="1"/>
  <c r="K42" i="4"/>
  <c r="Y15" i="4"/>
  <c r="P19" i="2" s="1"/>
  <c r="BA52" i="4"/>
  <c r="AM41" i="4"/>
  <c r="Z46" i="2" s="1"/>
  <c r="BA33" i="4"/>
  <c r="F78" i="2" s="1"/>
  <c r="Y87" i="4"/>
  <c r="AM66" i="4"/>
  <c r="Z84" i="2" s="1"/>
  <c r="BA34" i="4"/>
  <c r="F66" i="2" s="1"/>
  <c r="Y73" i="4"/>
  <c r="BA43" i="4"/>
  <c r="BA5" i="4"/>
  <c r="F50" i="2" s="1"/>
  <c r="BA14" i="4"/>
  <c r="F60" i="2" s="1"/>
  <c r="Y74" i="4"/>
  <c r="P69" i="2" s="1"/>
  <c r="Y41" i="4"/>
  <c r="P45" i="2" s="1"/>
  <c r="Y69" i="4"/>
  <c r="BA10" i="4"/>
  <c r="F52" i="2" s="1"/>
  <c r="BA22" i="4"/>
  <c r="F67" i="2" s="1"/>
  <c r="K23" i="4"/>
  <c r="AM29" i="4"/>
  <c r="Y89" i="4"/>
  <c r="AM99" i="4"/>
  <c r="AM34" i="4"/>
  <c r="Z45" i="2" s="1"/>
  <c r="BA42" i="4"/>
  <c r="AM74" i="4"/>
  <c r="Z68" i="2" s="1"/>
  <c r="AM77" i="4"/>
  <c r="AM24" i="4"/>
  <c r="Z27" i="2" s="1"/>
  <c r="AM56" i="4"/>
  <c r="Z59" i="2" s="1"/>
  <c r="AM57" i="4"/>
  <c r="Z58" i="2" s="1"/>
  <c r="Y50" i="4"/>
  <c r="P54" i="2" s="1"/>
  <c r="AM42" i="4"/>
  <c r="Z65" i="2" s="1"/>
  <c r="Y9" i="4"/>
  <c r="P11" i="2" s="1"/>
  <c r="K6" i="4"/>
  <c r="F9" i="2" s="1"/>
  <c r="K32" i="4"/>
  <c r="F34" i="2" s="1"/>
  <c r="K31" i="4"/>
  <c r="F33" i="2" s="1"/>
  <c r="Y12" i="4"/>
  <c r="P9" i="2" s="1"/>
  <c r="K37" i="4"/>
  <c r="K11" i="4"/>
  <c r="F12" i="2" s="1"/>
  <c r="K33" i="4"/>
  <c r="F35" i="2" s="1"/>
  <c r="AM90" i="4"/>
  <c r="AM59" i="4"/>
  <c r="Z43" i="2" s="1"/>
  <c r="Y25" i="4"/>
  <c r="P26" i="2" s="1"/>
  <c r="K30" i="4"/>
  <c r="F32" i="2" s="1"/>
  <c r="K27" i="4"/>
  <c r="F26" i="2" s="1"/>
  <c r="K38" i="4"/>
  <c r="F40" i="2" s="1"/>
  <c r="BA24" i="4"/>
  <c r="F65" i="2" s="1"/>
  <c r="Y91" i="4"/>
  <c r="AM17" i="4"/>
  <c r="AM27" i="4"/>
  <c r="K21" i="4"/>
  <c r="F22" i="2" s="1"/>
  <c r="K10" i="4"/>
  <c r="K29" i="4"/>
  <c r="F31" i="2" s="1"/>
  <c r="K4" i="4"/>
  <c r="F7" i="2" s="1"/>
  <c r="Y92" i="4"/>
  <c r="AM82" i="4"/>
  <c r="Z75" i="2" s="1"/>
  <c r="K43" i="4"/>
  <c r="K9" i="4"/>
  <c r="F8" i="2" s="1"/>
  <c r="Y83" i="4"/>
  <c r="K20" i="4"/>
  <c r="F21" i="2" s="1"/>
  <c r="K39" i="4"/>
  <c r="K7" i="4"/>
  <c r="F10" i="2" s="1"/>
  <c r="K41" i="4"/>
  <c r="F44" i="2" s="1"/>
  <c r="K40" i="4"/>
  <c r="F43" i="2" s="1"/>
  <c r="K18" i="4"/>
  <c r="K16" i="4"/>
  <c r="F17" i="2" s="1"/>
  <c r="K26" i="4"/>
  <c r="F28" i="2" s="1"/>
  <c r="K48" i="4"/>
  <c r="K15" i="4"/>
  <c r="F13" i="2" s="1"/>
  <c r="K50" i="4"/>
  <c r="K45" i="4"/>
  <c r="AN4" i="4"/>
  <c r="AN3" i="4"/>
  <c r="AN5" i="4"/>
  <c r="V7" i="2" s="1"/>
  <c r="Z5" i="4"/>
  <c r="L7" i="2" s="1"/>
  <c r="F42" i="2" l="1"/>
  <c r="P67" i="2"/>
  <c r="P66" i="2"/>
  <c r="Z78" i="2"/>
  <c r="F23" i="2"/>
  <c r="P15" i="2"/>
  <c r="P34" i="2"/>
  <c r="Z76" i="2"/>
  <c r="P73" i="2"/>
  <c r="Z42" i="2"/>
  <c r="P56" i="2"/>
  <c r="F75" i="2"/>
  <c r="F53" i="2"/>
  <c r="F63" i="2"/>
  <c r="P27" i="2"/>
  <c r="P68" i="2"/>
  <c r="P18" i="2"/>
  <c r="P44" i="2"/>
  <c r="P72" i="2"/>
  <c r="P51" i="2"/>
  <c r="F39" i="2"/>
  <c r="P52" i="2"/>
  <c r="Z53" i="2"/>
  <c r="Z73" i="2"/>
  <c r="P41" i="2"/>
  <c r="P21" i="2"/>
  <c r="F37" i="2"/>
  <c r="Z52" i="2"/>
  <c r="Z34" i="2"/>
  <c r="P75" i="2"/>
  <c r="Z47" i="2"/>
  <c r="F36" i="2"/>
  <c r="Z33" i="2"/>
  <c r="Z15" i="2"/>
  <c r="Z60" i="2"/>
  <c r="F79" i="2"/>
  <c r="Z31" i="2"/>
  <c r="Z40" i="2"/>
  <c r="P63" i="2"/>
  <c r="F19" i="2"/>
  <c r="F27" i="2"/>
  <c r="Z44" i="2"/>
  <c r="P49" i="2"/>
  <c r="P70" i="2"/>
  <c r="Z50" i="2"/>
  <c r="Z21" i="2"/>
  <c r="F84" i="2"/>
  <c r="P30" i="2"/>
  <c r="F77" i="2"/>
  <c r="Z32" i="2"/>
  <c r="P61" i="2"/>
  <c r="Z81" i="2"/>
  <c r="Z20" i="2"/>
  <c r="P64" i="2"/>
  <c r="P31" i="2"/>
  <c r="P16" i="2"/>
  <c r="Z19" i="2"/>
  <c r="P36" i="2"/>
  <c r="F20" i="2"/>
  <c r="P25" i="2"/>
  <c r="Z63" i="2"/>
  <c r="Z51" i="2"/>
  <c r="P78" i="2"/>
  <c r="P14" i="2"/>
  <c r="F41" i="2"/>
  <c r="F24" i="2"/>
  <c r="F14" i="2"/>
  <c r="Z17" i="2"/>
  <c r="P65" i="2"/>
  <c r="P10" i="2"/>
  <c r="F81" i="2"/>
  <c r="F30" i="2"/>
  <c r="Z49" i="2"/>
  <c r="P55" i="2"/>
  <c r="F68" i="2"/>
  <c r="P20" i="2"/>
  <c r="F71" i="2"/>
  <c r="Z77" i="2"/>
  <c r="P42" i="2"/>
  <c r="F6" i="2"/>
  <c r="P58" i="2"/>
  <c r="Z83" i="2"/>
  <c r="Z64" i="2"/>
  <c r="P74" i="2"/>
  <c r="F59" i="2"/>
  <c r="P28" i="2"/>
  <c r="Z26" i="2"/>
  <c r="Z14" i="2"/>
  <c r="Z57" i="2"/>
  <c r="P13" i="2"/>
  <c r="Z23" i="2"/>
  <c r="Z66" i="2"/>
  <c r="Z12" i="2"/>
  <c r="F74" i="2"/>
  <c r="Z67" i="2"/>
  <c r="Z61" i="2"/>
  <c r="BJ5" i="4"/>
  <c r="BS6" i="4"/>
  <c r="BT6" i="4"/>
  <c r="AN6" i="4" s="1"/>
  <c r="V8" i="2" s="1"/>
  <c r="BI8" i="4"/>
  <c r="BB5" i="4"/>
  <c r="B50" i="2" s="1"/>
  <c r="BX7" i="4"/>
  <c r="BX8" i="4" s="1"/>
  <c r="BY7" i="4"/>
  <c r="BN7" i="4"/>
  <c r="BN8" i="4" s="1"/>
  <c r="BO7" i="4"/>
  <c r="V6" i="2"/>
  <c r="V5" i="2"/>
  <c r="BB6" i="4"/>
  <c r="B51" i="2" s="1"/>
  <c r="BJ6" i="4" l="1"/>
  <c r="BJ7" i="4" s="1"/>
  <c r="BJ8" i="4" s="1"/>
  <c r="BJ9" i="4" s="1"/>
  <c r="L3" i="4"/>
  <c r="B5" i="2" s="1"/>
  <c r="L4" i="4"/>
  <c r="BY8" i="4"/>
  <c r="BY9" i="4" s="1"/>
  <c r="BS7" i="4"/>
  <c r="BS8" i="4" s="1"/>
  <c r="BT7" i="4"/>
  <c r="BO8" i="4"/>
  <c r="BO9" i="4" s="1"/>
  <c r="BX9" i="4"/>
  <c r="BI9" i="4"/>
  <c r="BN9" i="4"/>
  <c r="Z6" i="4"/>
  <c r="L8" i="2" s="1"/>
  <c r="BT8" i="4" l="1"/>
  <c r="BT9" i="4" s="1"/>
  <c r="BS9" i="4"/>
  <c r="BN10" i="4"/>
  <c r="BO10" i="4"/>
  <c r="BI10" i="4"/>
  <c r="BJ10" i="4"/>
  <c r="BX10" i="4"/>
  <c r="BY10" i="4"/>
  <c r="L5" i="4"/>
  <c r="L7" i="4"/>
  <c r="L6" i="4"/>
  <c r="BB8" i="4"/>
  <c r="B7" i="2" l="1"/>
  <c r="AN7" i="4"/>
  <c r="BS10" i="4"/>
  <c r="BT10" i="4"/>
  <c r="AN9" i="4" s="1"/>
  <c r="BI11" i="4"/>
  <c r="BJ11" i="4"/>
  <c r="L8" i="4" s="1"/>
  <c r="B10" i="2" s="1"/>
  <c r="BX11" i="4"/>
  <c r="BY11" i="4"/>
  <c r="BN11" i="4"/>
  <c r="BO11" i="4"/>
  <c r="B6" i="2"/>
  <c r="BB10" i="4"/>
  <c r="AN8" i="4"/>
  <c r="B9" i="2" l="1"/>
  <c r="V9" i="2"/>
  <c r="BT11" i="4"/>
  <c r="BS11" i="4"/>
  <c r="BX12" i="4"/>
  <c r="BY12" i="4"/>
  <c r="BB7" i="4" s="1"/>
  <c r="BN12" i="4"/>
  <c r="BO12" i="4"/>
  <c r="BI12" i="4"/>
  <c r="BJ12" i="4"/>
  <c r="V10" i="2"/>
  <c r="Z7" i="4"/>
  <c r="AN10" i="4"/>
  <c r="V11" i="2" s="1"/>
  <c r="B55" i="2" l="1"/>
  <c r="L12" i="4"/>
  <c r="L11" i="4"/>
  <c r="V12" i="2"/>
  <c r="BT12" i="4"/>
  <c r="BS12" i="4"/>
  <c r="BN13" i="4"/>
  <c r="BO13" i="4"/>
  <c r="BX13" i="4"/>
  <c r="BY13" i="4"/>
  <c r="BJ13" i="4"/>
  <c r="L9" i="4" s="1"/>
  <c r="B11" i="2" s="1"/>
  <c r="BI13" i="4"/>
  <c r="BB11" i="4"/>
  <c r="B54" i="2" s="1"/>
  <c r="Z8" i="4"/>
  <c r="BB9" i="4"/>
  <c r="B15" i="2" l="1"/>
  <c r="B56" i="2"/>
  <c r="B53" i="2"/>
  <c r="B52" i="2"/>
  <c r="BS13" i="4"/>
  <c r="BT13" i="4"/>
  <c r="BJ14" i="4"/>
  <c r="L10" i="4" s="1"/>
  <c r="BI14" i="4"/>
  <c r="BX14" i="4"/>
  <c r="BY14" i="4"/>
  <c r="BN14" i="4"/>
  <c r="BO14" i="4"/>
  <c r="Z12" i="4" s="1"/>
  <c r="Z9" i="4"/>
  <c r="AN12" i="4"/>
  <c r="BB12" i="4"/>
  <c r="B57" i="2" s="1"/>
  <c r="BT14" i="4" l="1"/>
  <c r="AN13" i="4" s="1"/>
  <c r="V14" i="2" s="1"/>
  <c r="BS14" i="4"/>
  <c r="BN15" i="4"/>
  <c r="BO15" i="4"/>
  <c r="BX15" i="4"/>
  <c r="BY15" i="4"/>
  <c r="BB14" i="4" s="1"/>
  <c r="BI15" i="4"/>
  <c r="BJ15" i="4"/>
  <c r="L13" i="4" s="1"/>
  <c r="Z13" i="4"/>
  <c r="B12" i="2" l="1"/>
  <c r="BT15" i="4"/>
  <c r="BS15" i="4"/>
  <c r="B8" i="2"/>
  <c r="BN16" i="4"/>
  <c r="BO16" i="4"/>
  <c r="BI16" i="4"/>
  <c r="BJ16" i="4"/>
  <c r="BX16" i="4"/>
  <c r="BY16" i="4"/>
  <c r="BB15" i="4" s="1"/>
  <c r="Z14" i="4"/>
  <c r="AN11" i="4"/>
  <c r="V13" i="2" s="1"/>
  <c r="L15" i="2" l="1"/>
  <c r="BT16" i="4"/>
  <c r="BS16" i="4"/>
  <c r="BI17" i="4"/>
  <c r="BJ17" i="4"/>
  <c r="L16" i="4" s="1"/>
  <c r="BX17" i="4"/>
  <c r="BY17" i="4"/>
  <c r="BB13" i="4" s="1"/>
  <c r="BO17" i="4"/>
  <c r="BN17" i="4"/>
  <c r="Z11" i="4"/>
  <c r="L14" i="2" s="1"/>
  <c r="AN14" i="4"/>
  <c r="L11" i="2" l="1"/>
  <c r="L16" i="2"/>
  <c r="BS17" i="4"/>
  <c r="BT17" i="4"/>
  <c r="AN15" i="4" s="1"/>
  <c r="V19" i="2" s="1"/>
  <c r="BN18" i="4"/>
  <c r="BO18" i="4"/>
  <c r="BJ18" i="4"/>
  <c r="BI18" i="4"/>
  <c r="BX18" i="4"/>
  <c r="BY18" i="4"/>
  <c r="BB16" i="4" s="1"/>
  <c r="B59" i="2"/>
  <c r="L13" i="2"/>
  <c r="L12" i="2"/>
  <c r="AN17" i="4"/>
  <c r="BB17" i="4" l="1"/>
  <c r="L18" i="4"/>
  <c r="B14" i="2" s="1"/>
  <c r="L14" i="4"/>
  <c r="B18" i="2" s="1"/>
  <c r="V18" i="2"/>
  <c r="B63" i="2"/>
  <c r="L17" i="4"/>
  <c r="L15" i="4"/>
  <c r="B13" i="2" s="1"/>
  <c r="BS18" i="4"/>
  <c r="BT18" i="4"/>
  <c r="BX19" i="4"/>
  <c r="BY19" i="4"/>
  <c r="BI19" i="4"/>
  <c r="BJ19" i="4"/>
  <c r="BO19" i="4"/>
  <c r="BN19" i="4"/>
  <c r="B60" i="2"/>
  <c r="B62" i="2"/>
  <c r="B58" i="2"/>
  <c r="Z18" i="4"/>
  <c r="AN16" i="4"/>
  <c r="V17" i="2" s="1"/>
  <c r="V16" i="2" l="1"/>
  <c r="B20" i="2"/>
  <c r="B16" i="2"/>
  <c r="B17" i="2"/>
  <c r="B19" i="2"/>
  <c r="BS19" i="4"/>
  <c r="BT19" i="4"/>
  <c r="BN20" i="4"/>
  <c r="BO20" i="4"/>
  <c r="BJ20" i="4"/>
  <c r="BI20" i="4"/>
  <c r="BY20" i="4"/>
  <c r="BX20" i="4"/>
  <c r="V15" i="2"/>
  <c r="Z15" i="4"/>
  <c r="BB18" i="4"/>
  <c r="BB19" i="4"/>
  <c r="B61" i="2" l="1"/>
  <c r="BS20" i="4"/>
  <c r="BT20" i="4"/>
  <c r="BX21" i="4"/>
  <c r="BY21" i="4"/>
  <c r="BI21" i="4"/>
  <c r="BJ21" i="4"/>
  <c r="BO21" i="4"/>
  <c r="BN21" i="4"/>
  <c r="B64" i="2"/>
  <c r="Z17" i="4"/>
  <c r="L19" i="2" s="1"/>
  <c r="BS21" i="4" l="1"/>
  <c r="BT21" i="4"/>
  <c r="BN22" i="4"/>
  <c r="BO22" i="4"/>
  <c r="BI22" i="4"/>
  <c r="BJ22" i="4"/>
  <c r="L19" i="4" s="1"/>
  <c r="BY22" i="4"/>
  <c r="BX22" i="4"/>
  <c r="L20" i="2"/>
  <c r="AN18" i="4"/>
  <c r="L21" i="4" l="1"/>
  <c r="L20" i="4"/>
  <c r="B21" i="2" s="1"/>
  <c r="BT22" i="4"/>
  <c r="BS22" i="4"/>
  <c r="BI23" i="4"/>
  <c r="BJ23" i="4"/>
  <c r="BX23" i="4"/>
  <c r="BY23" i="4"/>
  <c r="BB20" i="4" s="1"/>
  <c r="BN23" i="4"/>
  <c r="BO23" i="4"/>
  <c r="L17" i="2"/>
  <c r="Z20" i="4"/>
  <c r="AN23" i="4"/>
  <c r="B24" i="2" l="1"/>
  <c r="L22" i="4"/>
  <c r="B22" i="2" s="1"/>
  <c r="BS23" i="4"/>
  <c r="BT23" i="4"/>
  <c r="BN24" i="4"/>
  <c r="BO24" i="4"/>
  <c r="BX24" i="4"/>
  <c r="BY24" i="4"/>
  <c r="BI24" i="4"/>
  <c r="BJ24" i="4"/>
  <c r="Z22" i="4"/>
  <c r="B23" i="2" l="1"/>
  <c r="BS24" i="4"/>
  <c r="BT24" i="4"/>
  <c r="AN19" i="4" s="1"/>
  <c r="BX25" i="4"/>
  <c r="BY25" i="4"/>
  <c r="BB22" i="4" s="1"/>
  <c r="BI25" i="4"/>
  <c r="BJ25" i="4"/>
  <c r="BO25" i="4"/>
  <c r="BN25" i="4"/>
  <c r="Z21" i="4"/>
  <c r="AN22" i="4"/>
  <c r="L23" i="2" l="1"/>
  <c r="L24" i="2"/>
  <c r="L24" i="4"/>
  <c r="L23" i="4"/>
  <c r="BT25" i="4"/>
  <c r="AN20" i="4" s="1"/>
  <c r="V24" i="2" s="1"/>
  <c r="BS25" i="4"/>
  <c r="BO26" i="4"/>
  <c r="Z23" i="4" s="1"/>
  <c r="L22" i="2" s="1"/>
  <c r="BN26" i="4"/>
  <c r="BI26" i="4"/>
  <c r="BJ26" i="4"/>
  <c r="L25" i="4" s="1"/>
  <c r="BX26" i="4"/>
  <c r="BY26" i="4"/>
  <c r="BS26" i="4" l="1"/>
  <c r="BT26" i="4"/>
  <c r="BJ27" i="4"/>
  <c r="L28" i="4" s="1"/>
  <c r="BI27" i="4"/>
  <c r="BY27" i="4"/>
  <c r="BB24" i="4" s="1"/>
  <c r="BX27" i="4"/>
  <c r="BN27" i="4"/>
  <c r="BO27" i="4"/>
  <c r="Z24" i="4" s="1"/>
  <c r="AN21" i="4"/>
  <c r="V26" i="2" l="1"/>
  <c r="V21" i="2"/>
  <c r="BS27" i="4"/>
  <c r="BT27" i="4"/>
  <c r="AN24" i="4" s="1"/>
  <c r="BY28" i="4"/>
  <c r="BX28" i="4"/>
  <c r="BJ28" i="4"/>
  <c r="BI28" i="4"/>
  <c r="BN28" i="4"/>
  <c r="BO28" i="4"/>
  <c r="V23" i="2"/>
  <c r="Z26" i="4"/>
  <c r="L27" i="2" s="1"/>
  <c r="BB21" i="4"/>
  <c r="V29" i="2" l="1"/>
  <c r="B72" i="2"/>
  <c r="L27" i="4"/>
  <c r="B28" i="2" s="1"/>
  <c r="L26" i="4"/>
  <c r="B27" i="2" s="1"/>
  <c r="AN25" i="4"/>
  <c r="BS28" i="4"/>
  <c r="BT28" i="4"/>
  <c r="BX29" i="4"/>
  <c r="BY29" i="4"/>
  <c r="BJ29" i="4"/>
  <c r="BI29" i="4"/>
  <c r="B25" i="2"/>
  <c r="BN29" i="4"/>
  <c r="BO29" i="4"/>
  <c r="AN26" i="4"/>
  <c r="V20" i="2" s="1"/>
  <c r="B26" i="2" l="1"/>
  <c r="B29" i="2"/>
  <c r="B30" i="2"/>
  <c r="V22" i="2"/>
  <c r="BB30" i="4"/>
  <c r="BB23" i="4"/>
  <c r="BS29" i="4"/>
  <c r="BT29" i="4"/>
  <c r="BO30" i="4"/>
  <c r="Z28" i="4" s="1"/>
  <c r="BN30" i="4"/>
  <c r="BI30" i="4"/>
  <c r="BJ30" i="4"/>
  <c r="BY30" i="4"/>
  <c r="BX30" i="4"/>
  <c r="Z25" i="4"/>
  <c r="L28" i="2" s="1"/>
  <c r="L29" i="4" l="1"/>
  <c r="BS30" i="4"/>
  <c r="BT30" i="4"/>
  <c r="BX31" i="4"/>
  <c r="BY31" i="4"/>
  <c r="BN31" i="4"/>
  <c r="BO31" i="4"/>
  <c r="BI31" i="4"/>
  <c r="BJ31" i="4"/>
  <c r="L30" i="4" s="1"/>
  <c r="Z27" i="4"/>
  <c r="Z30" i="4"/>
  <c r="L25" i="2" l="1"/>
  <c r="L31" i="4"/>
  <c r="B33" i="2" s="1"/>
  <c r="BB29" i="4"/>
  <c r="AN27" i="4"/>
  <c r="V27" i="2" s="1"/>
  <c r="AN28" i="4"/>
  <c r="BS31" i="4"/>
  <c r="BT31" i="4"/>
  <c r="BI32" i="4"/>
  <c r="BJ32" i="4"/>
  <c r="L32" i="4" s="1"/>
  <c r="B34" i="2" s="1"/>
  <c r="BN32" i="4"/>
  <c r="BO32" i="4"/>
  <c r="BX32" i="4"/>
  <c r="BY32" i="4"/>
  <c r="L26" i="2"/>
  <c r="AN30" i="4"/>
  <c r="B32" i="2" l="1"/>
  <c r="B31" i="2"/>
  <c r="V28" i="2"/>
  <c r="V25" i="2"/>
  <c r="BB25" i="4"/>
  <c r="B67" i="2" s="1"/>
  <c r="BS32" i="4"/>
  <c r="BT32" i="4"/>
  <c r="BJ33" i="4"/>
  <c r="BI33" i="4"/>
  <c r="BX33" i="4"/>
  <c r="BY33" i="4"/>
  <c r="BN33" i="4"/>
  <c r="BO33" i="4"/>
  <c r="Z29" i="4"/>
  <c r="AN29" i="4"/>
  <c r="V31" i="2" s="1"/>
  <c r="L31" i="2" l="1"/>
  <c r="L30" i="2"/>
  <c r="V32" i="2"/>
  <c r="BB31" i="4"/>
  <c r="BT33" i="4"/>
  <c r="BS33" i="4"/>
  <c r="BY34" i="4"/>
  <c r="BB26" i="4" s="1"/>
  <c r="BX34" i="4"/>
  <c r="BN34" i="4"/>
  <c r="BO34" i="4"/>
  <c r="Z32" i="4" s="1"/>
  <c r="BI34" i="4"/>
  <c r="BJ34" i="4"/>
  <c r="B68" i="2"/>
  <c r="V30" i="2"/>
  <c r="L32" i="2"/>
  <c r="AN33" i="4"/>
  <c r="B70" i="2" l="1"/>
  <c r="B69" i="2"/>
  <c r="BB32" i="4"/>
  <c r="Z31" i="4"/>
  <c r="Z16" i="4"/>
  <c r="L18" i="2" s="1"/>
  <c r="B76" i="2"/>
  <c r="BS34" i="4"/>
  <c r="BT34" i="4"/>
  <c r="AN31" i="4" s="1"/>
  <c r="V33" i="2" s="1"/>
  <c r="BN35" i="4"/>
  <c r="BO35" i="4"/>
  <c r="BX35" i="4"/>
  <c r="BY35" i="4"/>
  <c r="BB28" i="4" s="1"/>
  <c r="BI35" i="4"/>
  <c r="BJ35" i="4"/>
  <c r="L34" i="4" s="1"/>
  <c r="B79" i="2" l="1"/>
  <c r="L33" i="4"/>
  <c r="B65" i="2"/>
  <c r="BS35" i="4"/>
  <c r="BT35" i="4"/>
  <c r="BX36" i="4"/>
  <c r="BY36" i="4"/>
  <c r="BB27" i="4" s="1"/>
  <c r="BJ36" i="4"/>
  <c r="L37" i="4" s="1"/>
  <c r="BI36" i="4"/>
  <c r="BN36" i="4"/>
  <c r="BO36" i="4"/>
  <c r="Z19" i="4" s="1"/>
  <c r="L21" i="2" s="1"/>
  <c r="B73" i="2" l="1"/>
  <c r="B75" i="2"/>
  <c r="BS36" i="4"/>
  <c r="BT36" i="4"/>
  <c r="AN34" i="4" s="1"/>
  <c r="BI37" i="4"/>
  <c r="BJ37" i="4"/>
  <c r="BN37" i="4"/>
  <c r="BO37" i="4"/>
  <c r="Z33" i="4" s="1"/>
  <c r="BX37" i="4"/>
  <c r="BY37" i="4"/>
  <c r="BB33" i="4" s="1"/>
  <c r="AN38" i="4"/>
  <c r="BB34" i="4" l="1"/>
  <c r="B71" i="2" s="1"/>
  <c r="BB35" i="4"/>
  <c r="B82" i="2" s="1"/>
  <c r="L36" i="4"/>
  <c r="L35" i="4"/>
  <c r="B39" i="2" s="1"/>
  <c r="BS37" i="4"/>
  <c r="BT37" i="4"/>
  <c r="AN32" i="4" s="1"/>
  <c r="BX38" i="4"/>
  <c r="BY38" i="4"/>
  <c r="BN38" i="4"/>
  <c r="BO38" i="4"/>
  <c r="BI38" i="4"/>
  <c r="BJ38" i="4"/>
  <c r="B38" i="2" l="1"/>
  <c r="B35" i="2"/>
  <c r="B37" i="2"/>
  <c r="B36" i="2"/>
  <c r="BS38" i="4"/>
  <c r="BT38" i="4"/>
  <c r="BN39" i="4"/>
  <c r="BO39" i="4"/>
  <c r="BJ39" i="4"/>
  <c r="L38" i="4" s="1"/>
  <c r="BI39" i="4"/>
  <c r="BX39" i="4"/>
  <c r="BY39" i="4"/>
  <c r="BB36" i="4" s="1"/>
  <c r="Z40" i="4"/>
  <c r="BS39" i="4" l="1"/>
  <c r="BT39" i="4"/>
  <c r="BX40" i="4"/>
  <c r="BY40" i="4"/>
  <c r="BI40" i="4"/>
  <c r="BJ40" i="4"/>
  <c r="BN40" i="4"/>
  <c r="BO40" i="4"/>
  <c r="AN35" i="4"/>
  <c r="BS40" i="4" l="1"/>
  <c r="BT40" i="4"/>
  <c r="BN41" i="4"/>
  <c r="BO41" i="4"/>
  <c r="BI41" i="4"/>
  <c r="BJ41" i="4"/>
  <c r="BX41" i="4"/>
  <c r="BY41" i="4"/>
  <c r="L34" i="2"/>
  <c r="V36" i="2"/>
  <c r="V34" i="2"/>
  <c r="Z42" i="4" l="1"/>
  <c r="BS41" i="4"/>
  <c r="BT41" i="4"/>
  <c r="BN42" i="4"/>
  <c r="BO42" i="4"/>
  <c r="Z38" i="4" s="1"/>
  <c r="BX42" i="4"/>
  <c r="BY42" i="4"/>
  <c r="BI42" i="4"/>
  <c r="BJ42" i="4"/>
  <c r="Z36" i="4"/>
  <c r="Z34" i="4" l="1"/>
  <c r="L41" i="2" s="1"/>
  <c r="BS42" i="4"/>
  <c r="BT42" i="4"/>
  <c r="AN36" i="4" s="1"/>
  <c r="BN43" i="4"/>
  <c r="BO43" i="4"/>
  <c r="BX43" i="4"/>
  <c r="BY43" i="4"/>
  <c r="BI43" i="4"/>
  <c r="BJ43" i="4"/>
  <c r="Z35" i="4" l="1"/>
  <c r="L37" i="2" s="1"/>
  <c r="Z37" i="4"/>
  <c r="L39" i="2" s="1"/>
  <c r="Z39" i="4"/>
  <c r="L35" i="2"/>
  <c r="L39" i="4"/>
  <c r="BS43" i="4"/>
  <c r="BT43" i="4"/>
  <c r="BJ44" i="4"/>
  <c r="L41" i="4" s="1"/>
  <c r="B44" i="2" s="1"/>
  <c r="BI44" i="4"/>
  <c r="BY44" i="4"/>
  <c r="BX44" i="4"/>
  <c r="BN44" i="4"/>
  <c r="BO44" i="4"/>
  <c r="Z41" i="4" s="1"/>
  <c r="L44" i="2" s="1"/>
  <c r="B81" i="2"/>
  <c r="L40" i="2" l="1"/>
  <c r="L38" i="2"/>
  <c r="L42" i="2"/>
  <c r="B40" i="2"/>
  <c r="BS44" i="4"/>
  <c r="BT44" i="4"/>
  <c r="BX45" i="4"/>
  <c r="BY45" i="4"/>
  <c r="BB41" i="4" s="1"/>
  <c r="BI45" i="4"/>
  <c r="BJ45" i="4"/>
  <c r="BO45" i="4"/>
  <c r="BN45" i="4"/>
  <c r="L42" i="4" l="1"/>
  <c r="L40" i="4"/>
  <c r="B42" i="2" s="1"/>
  <c r="BS45" i="4"/>
  <c r="BT45" i="4"/>
  <c r="BI46" i="4"/>
  <c r="BJ46" i="4"/>
  <c r="BN46" i="4"/>
  <c r="BO46" i="4"/>
  <c r="B41" i="2"/>
  <c r="B43" i="2"/>
  <c r="BY46" i="4"/>
  <c r="BB37" i="4" s="1"/>
  <c r="BX46" i="4"/>
  <c r="B84" i="2" l="1"/>
  <c r="BS46" i="4"/>
  <c r="BT46" i="4"/>
  <c r="BY47" i="4"/>
  <c r="BX47" i="4"/>
  <c r="BN47" i="4"/>
  <c r="BO47" i="4"/>
  <c r="BI47" i="4"/>
  <c r="BJ47" i="4"/>
  <c r="AN39" i="4"/>
  <c r="BB38" i="4" l="1"/>
  <c r="BS47" i="4"/>
  <c r="BT47" i="4"/>
  <c r="BJ48" i="4"/>
  <c r="L44" i="4" s="1"/>
  <c r="BI48" i="4"/>
  <c r="BX48" i="4"/>
  <c r="BY48" i="4"/>
  <c r="BB39" i="4" s="1"/>
  <c r="BN48" i="4"/>
  <c r="BO48" i="4"/>
  <c r="BB46" i="4" l="1"/>
  <c r="B83" i="2"/>
  <c r="B78" i="2"/>
  <c r="B74" i="2"/>
  <c r="B80" i="2"/>
  <c r="L43" i="4"/>
  <c r="B66" i="2"/>
  <c r="B77" i="2"/>
  <c r="BB40" i="4"/>
  <c r="BS48" i="4"/>
  <c r="BT48" i="4"/>
  <c r="AN49" i="4" s="1"/>
  <c r="BN49" i="4"/>
  <c r="BO49" i="4"/>
  <c r="BJ49" i="4"/>
  <c r="L47" i="4" s="1"/>
  <c r="BI49" i="4"/>
  <c r="BX49" i="4"/>
  <c r="BY49" i="4"/>
  <c r="BB49" i="4" s="1"/>
  <c r="L36" i="2"/>
  <c r="BB45" i="4" l="1"/>
  <c r="L50" i="4"/>
  <c r="BS49" i="4"/>
  <c r="BT49" i="4"/>
  <c r="BI50" i="4"/>
  <c r="BI51" i="4" s="1"/>
  <c r="BI52" i="4" s="1"/>
  <c r="BJ50" i="4"/>
  <c r="BY50" i="4"/>
  <c r="BB51" i="4" s="1"/>
  <c r="BX50" i="4"/>
  <c r="BN50" i="4"/>
  <c r="BO50" i="4"/>
  <c r="Z43" i="4" s="1"/>
  <c r="L43" i="2" l="1"/>
  <c r="L45" i="2"/>
  <c r="L45" i="4"/>
  <c r="L49" i="4"/>
  <c r="L46" i="4"/>
  <c r="BB48" i="4"/>
  <c r="AN46" i="4"/>
  <c r="AN47" i="4"/>
  <c r="BS50" i="4"/>
  <c r="BT50" i="4"/>
  <c r="BX51" i="4"/>
  <c r="BY51" i="4"/>
  <c r="BB43" i="4" s="1"/>
  <c r="BO51" i="4"/>
  <c r="BN51" i="4"/>
  <c r="BJ51" i="4"/>
  <c r="BJ52" i="4" s="1"/>
  <c r="L48" i="4"/>
  <c r="AN37" i="4"/>
  <c r="V45" i="2" s="1"/>
  <c r="V35" i="2" l="1"/>
  <c r="BB42" i="4"/>
  <c r="BT51" i="4"/>
  <c r="BS51" i="4"/>
  <c r="BO52" i="4"/>
  <c r="BN52" i="4"/>
  <c r="BY52" i="4"/>
  <c r="BB52" i="4" s="1"/>
  <c r="BX52" i="4"/>
  <c r="V49" i="2"/>
  <c r="AN40" i="4"/>
  <c r="BB44" i="4" l="1"/>
  <c r="Z44" i="4"/>
  <c r="BB50" i="4"/>
  <c r="BB47" i="4"/>
  <c r="BT52" i="4"/>
  <c r="AN50" i="4" s="1"/>
  <c r="BS52" i="4"/>
  <c r="BN53" i="4"/>
  <c r="BO53" i="4"/>
  <c r="V42" i="2"/>
  <c r="AN41" i="4"/>
  <c r="BS53" i="4" l="1"/>
  <c r="BT53" i="4"/>
  <c r="BN54" i="4"/>
  <c r="BO54" i="4"/>
  <c r="Z46" i="4" l="1"/>
  <c r="Z45" i="4"/>
  <c r="AN48" i="4"/>
  <c r="V48" i="2" s="1"/>
  <c r="BS54" i="4"/>
  <c r="BT54" i="4"/>
  <c r="AN51" i="4" s="1"/>
  <c r="BO55" i="4"/>
  <c r="BN55" i="4"/>
  <c r="AN45" i="4"/>
  <c r="V46" i="2" s="1"/>
  <c r="BT55" i="4" l="1"/>
  <c r="BS55" i="4"/>
  <c r="BN56" i="4"/>
  <c r="BO56" i="4"/>
  <c r="BS56" i="4" l="1"/>
  <c r="BT56" i="4"/>
  <c r="BN57" i="4"/>
  <c r="BO57" i="4"/>
  <c r="Z55" i="4" s="1"/>
  <c r="AN53" i="4"/>
  <c r="Z54" i="4" l="1"/>
  <c r="AN44" i="4"/>
  <c r="V53" i="2" s="1"/>
  <c r="AN43" i="4"/>
  <c r="BT57" i="4"/>
  <c r="BS57" i="4"/>
  <c r="BN58" i="4"/>
  <c r="BO58" i="4"/>
  <c r="V57" i="2" l="1"/>
  <c r="V56" i="2"/>
  <c r="V38" i="2"/>
  <c r="BS58" i="4"/>
  <c r="BT58" i="4"/>
  <c r="BO59" i="4"/>
  <c r="BN59" i="4"/>
  <c r="Z47" i="4" l="1"/>
  <c r="BT59" i="4"/>
  <c r="BS59" i="4"/>
  <c r="BN60" i="4"/>
  <c r="BO60" i="4"/>
  <c r="V50" i="2"/>
  <c r="L54" i="2" l="1"/>
  <c r="AN52" i="4"/>
  <c r="V55" i="2" s="1"/>
  <c r="BT60" i="4"/>
  <c r="BS60" i="4"/>
  <c r="BN61" i="4"/>
  <c r="BO61" i="4"/>
  <c r="Z50" i="4" s="1"/>
  <c r="L61" i="2" s="1"/>
  <c r="L58" i="2"/>
  <c r="AN54" i="4"/>
  <c r="AN42" i="4"/>
  <c r="V37" i="2" s="1"/>
  <c r="Z48" i="4"/>
  <c r="Z51" i="4" l="1"/>
  <c r="V44" i="2"/>
  <c r="V41" i="2"/>
  <c r="V40" i="2"/>
  <c r="Z53" i="4"/>
  <c r="Z49" i="4"/>
  <c r="BS61" i="4"/>
  <c r="BT61" i="4"/>
  <c r="BN62" i="4"/>
  <c r="BO62" i="4"/>
  <c r="L55" i="2" l="1"/>
  <c r="L53" i="2"/>
  <c r="Z57" i="4"/>
  <c r="BS62" i="4"/>
  <c r="BT62" i="4"/>
  <c r="BN63" i="4"/>
  <c r="BO63" i="4"/>
  <c r="AN55" i="4"/>
  <c r="AN57" i="4" l="1"/>
  <c r="V61" i="2" s="1"/>
  <c r="AN58" i="4"/>
  <c r="BT63" i="4"/>
  <c r="AN59" i="4" s="1"/>
  <c r="BS63" i="4"/>
  <c r="BN64" i="4"/>
  <c r="BO64" i="4"/>
  <c r="V58" i="2" l="1"/>
  <c r="V59" i="2"/>
  <c r="V51" i="2"/>
  <c r="BT64" i="4"/>
  <c r="BS64" i="4"/>
  <c r="BN65" i="4"/>
  <c r="BO65" i="4"/>
  <c r="BS65" i="4" l="1"/>
  <c r="BT65" i="4"/>
  <c r="BN66" i="4"/>
  <c r="BO66" i="4"/>
  <c r="BS66" i="4" l="1"/>
  <c r="BT66" i="4"/>
  <c r="BO67" i="4"/>
  <c r="BN67" i="4"/>
  <c r="BT67" i="4" l="1"/>
  <c r="BS67" i="4"/>
  <c r="BO68" i="4"/>
  <c r="BN68" i="4"/>
  <c r="BT68" i="4" l="1"/>
  <c r="BS68" i="4"/>
  <c r="BO69" i="4"/>
  <c r="BN69" i="4"/>
  <c r="L46" i="2"/>
  <c r="BS69" i="4" l="1"/>
  <c r="BT69" i="4"/>
  <c r="BN70" i="4"/>
  <c r="BO70" i="4"/>
  <c r="Z56" i="4" s="1"/>
  <c r="Z52" i="4" l="1"/>
  <c r="L60" i="2" s="1"/>
  <c r="Z10" i="4"/>
  <c r="L10" i="2" s="1"/>
  <c r="BT70" i="4"/>
  <c r="BS70" i="4"/>
  <c r="BO71" i="4"/>
  <c r="BN71" i="4"/>
  <c r="L9" i="2" l="1"/>
  <c r="L29" i="2"/>
  <c r="L33" i="2"/>
  <c r="BT71" i="4"/>
  <c r="BS71" i="4"/>
  <c r="BN72" i="4"/>
  <c r="BO72" i="4"/>
  <c r="Z58" i="4"/>
  <c r="L62" i="2" s="1"/>
  <c r="L57" i="2" l="1"/>
  <c r="L68" i="2"/>
  <c r="BS72" i="4"/>
  <c r="BT72" i="4"/>
  <c r="BN73" i="4"/>
  <c r="BO73" i="4"/>
  <c r="Z61" i="4" s="1"/>
  <c r="BS73" i="4" l="1"/>
  <c r="BT73" i="4"/>
  <c r="BN74" i="4"/>
  <c r="BO74" i="4"/>
  <c r="BS74" i="4" l="1"/>
  <c r="BT74" i="4"/>
  <c r="BO75" i="4"/>
  <c r="BN75" i="4"/>
  <c r="BT75" i="4" l="1"/>
  <c r="BS75" i="4"/>
  <c r="BO76" i="4"/>
  <c r="Z76" i="4" s="1"/>
  <c r="BN76" i="4"/>
  <c r="Z73" i="4" l="1"/>
  <c r="BS76" i="4"/>
  <c r="BT76" i="4"/>
  <c r="AN56" i="4" s="1"/>
  <c r="BN77" i="4"/>
  <c r="BO77" i="4"/>
  <c r="Z70" i="4" s="1"/>
  <c r="L50" i="2"/>
  <c r="V63" i="2" l="1"/>
  <c r="V60" i="2"/>
  <c r="AN61" i="4"/>
  <c r="BS77" i="4"/>
  <c r="BT77" i="4"/>
  <c r="BN78" i="4"/>
  <c r="BO78" i="4"/>
  <c r="V39" i="2" l="1"/>
  <c r="V65" i="2"/>
  <c r="BS78" i="4"/>
  <c r="BT78" i="4"/>
  <c r="AN62" i="4" s="1"/>
  <c r="BN79" i="4"/>
  <c r="BO79" i="4"/>
  <c r="AN60" i="4"/>
  <c r="V47" i="2" l="1"/>
  <c r="V43" i="2"/>
  <c r="BS79" i="4"/>
  <c r="BT79" i="4"/>
  <c r="BN80" i="4"/>
  <c r="BO80" i="4"/>
  <c r="Z62" i="4"/>
  <c r="L76" i="2" s="1"/>
  <c r="Z63" i="4" l="1"/>
  <c r="BT80" i="4"/>
  <c r="BS80" i="4"/>
  <c r="BO81" i="4"/>
  <c r="Z64" i="4" s="1"/>
  <c r="BN81" i="4"/>
  <c r="Z69" i="4"/>
  <c r="Z75" i="4"/>
  <c r="L79" i="2" l="1"/>
  <c r="Z67" i="4"/>
  <c r="Z59" i="4"/>
  <c r="Z60" i="4"/>
  <c r="Z66" i="4"/>
  <c r="BS81" i="4"/>
  <c r="BT81" i="4"/>
  <c r="AN64" i="4" s="1"/>
  <c r="Z68" i="4"/>
  <c r="BN82" i="4"/>
  <c r="BO82" i="4"/>
  <c r="L48" i="2" l="1"/>
  <c r="L51" i="2"/>
  <c r="L77" i="2"/>
  <c r="L49" i="2"/>
  <c r="L47" i="2"/>
  <c r="L73" i="2"/>
  <c r="BT82" i="4"/>
  <c r="BS82" i="4"/>
  <c r="BO83" i="4"/>
  <c r="BN83" i="4"/>
  <c r="BS83" i="4" l="1"/>
  <c r="BT83" i="4"/>
  <c r="BO84" i="4"/>
  <c r="BN84" i="4"/>
  <c r="Z71" i="4"/>
  <c r="Z78" i="4" l="1"/>
  <c r="L70" i="2"/>
  <c r="L69" i="2"/>
  <c r="Z74" i="4"/>
  <c r="L66" i="2" s="1"/>
  <c r="BT84" i="4"/>
  <c r="AN73" i="4" s="1"/>
  <c r="BS84" i="4"/>
  <c r="BN85" i="4"/>
  <c r="BO85" i="4"/>
  <c r="Z79" i="4" s="1"/>
  <c r="L83" i="2" l="1"/>
  <c r="AN79" i="4"/>
  <c r="AN75" i="4"/>
  <c r="V66" i="2" s="1"/>
  <c r="L59" i="2"/>
  <c r="L63" i="2"/>
  <c r="L67" i="2"/>
  <c r="Z82" i="4"/>
  <c r="L75" i="2" s="1"/>
  <c r="Z80" i="4"/>
  <c r="L80" i="2" s="1"/>
  <c r="BS85" i="4"/>
  <c r="BT85" i="4"/>
  <c r="BN86" i="4"/>
  <c r="BO86" i="4"/>
  <c r="AN65" i="4" l="1"/>
  <c r="AN78" i="4"/>
  <c r="AN77" i="4"/>
  <c r="L74" i="2"/>
  <c r="L72" i="2"/>
  <c r="BS86" i="4"/>
  <c r="BT86" i="4"/>
  <c r="AN67" i="4" s="1"/>
  <c r="BO87" i="4"/>
  <c r="BN87" i="4"/>
  <c r="AN76" i="4" l="1"/>
  <c r="AN63" i="4"/>
  <c r="BT87" i="4"/>
  <c r="AN84" i="4" s="1"/>
  <c r="BS87" i="4"/>
  <c r="BO88" i="4"/>
  <c r="Z77" i="4" s="1"/>
  <c r="BN88" i="4"/>
  <c r="L82" i="2" l="1"/>
  <c r="L84" i="2"/>
  <c r="Z84" i="4"/>
  <c r="BS88" i="4"/>
  <c r="BT88" i="4"/>
  <c r="BN89" i="4"/>
  <c r="BO89" i="4"/>
  <c r="AN66" i="4" l="1"/>
  <c r="Z85" i="4"/>
  <c r="Z65" i="4"/>
  <c r="V69" i="2"/>
  <c r="V79" i="2"/>
  <c r="Z87" i="4"/>
  <c r="BT89" i="4"/>
  <c r="AN86" i="4" s="1"/>
  <c r="BS89" i="4"/>
  <c r="BN90" i="4"/>
  <c r="BO90" i="4"/>
  <c r="V73" i="2"/>
  <c r="L65" i="2" l="1"/>
  <c r="L64" i="2"/>
  <c r="V52" i="2"/>
  <c r="V64" i="2"/>
  <c r="Z72" i="4"/>
  <c r="L78" i="2" s="1"/>
  <c r="AN72" i="4"/>
  <c r="BS90" i="4"/>
  <c r="BT90" i="4"/>
  <c r="BO91" i="4"/>
  <c r="BN91" i="4"/>
  <c r="Z83" i="4" l="1"/>
  <c r="Z81" i="4"/>
  <c r="L52" i="2"/>
  <c r="L56" i="2"/>
  <c r="BT91" i="4"/>
  <c r="AN94" i="4" s="1"/>
  <c r="BS91" i="4"/>
  <c r="BO92" i="4"/>
  <c r="BN92" i="4"/>
  <c r="L81" i="2" l="1"/>
  <c r="L71" i="2"/>
  <c r="BS92" i="4"/>
  <c r="BT92" i="4"/>
  <c r="BN93" i="4"/>
  <c r="BO93" i="4"/>
  <c r="BS93" i="4" l="1"/>
  <c r="BT93" i="4"/>
  <c r="AN69" i="4" s="1"/>
  <c r="BN94" i="4"/>
  <c r="BO94" i="4"/>
  <c r="Z86" i="4" s="1"/>
  <c r="V71" i="2" l="1"/>
  <c r="V84" i="2"/>
  <c r="AN71" i="4"/>
  <c r="BS94" i="4"/>
  <c r="BT94" i="4"/>
  <c r="BO95" i="4"/>
  <c r="BN95" i="4"/>
  <c r="V70" i="2" l="1"/>
  <c r="V68" i="2"/>
  <c r="Z88" i="4"/>
  <c r="Z89" i="4"/>
  <c r="AN70" i="4"/>
  <c r="BS95" i="4"/>
  <c r="BT95" i="4"/>
  <c r="AN68" i="4" s="1"/>
  <c r="V82" i="2" s="1"/>
  <c r="BN96" i="4"/>
  <c r="BO96" i="4"/>
  <c r="V67" i="2" l="1"/>
  <c r="V83" i="2"/>
  <c r="Z91" i="4"/>
  <c r="BS96" i="4"/>
  <c r="BT96" i="4"/>
  <c r="BN97" i="4"/>
  <c r="BO97" i="4"/>
  <c r="AN82" i="4" l="1"/>
  <c r="V76" i="2" s="1"/>
  <c r="AN97" i="4"/>
  <c r="AN74" i="4"/>
  <c r="V80" i="2" s="1"/>
  <c r="BT97" i="4"/>
  <c r="BS97" i="4"/>
  <c r="BN98" i="4"/>
  <c r="BO98" i="4"/>
  <c r="Z93" i="4" s="1"/>
  <c r="Z96" i="4" l="1"/>
  <c r="Z94" i="4"/>
  <c r="V54" i="2"/>
  <c r="Z90" i="4"/>
  <c r="Z97" i="4"/>
  <c r="BS98" i="4"/>
  <c r="BT98" i="4"/>
  <c r="BN99" i="4"/>
  <c r="BO99" i="4"/>
  <c r="Z92" i="4" l="1"/>
  <c r="Z100" i="4"/>
  <c r="AN99" i="4"/>
  <c r="Z95" i="4"/>
  <c r="AN95" i="4"/>
  <c r="BT99" i="4"/>
  <c r="AN83" i="4" s="1"/>
  <c r="BS99" i="4"/>
  <c r="BN100" i="4"/>
  <c r="BO100" i="4"/>
  <c r="Z99" i="4" s="1"/>
  <c r="AN85" i="4" l="1"/>
  <c r="AN93" i="4"/>
  <c r="BS100" i="4"/>
  <c r="BT100" i="4"/>
  <c r="Z98" i="4"/>
  <c r="Z101" i="4"/>
  <c r="Z102" i="4"/>
  <c r="BN101" i="4"/>
  <c r="BO101" i="4"/>
  <c r="AN81" i="4"/>
  <c r="AN80" i="4" l="1"/>
  <c r="V62" i="2" s="1"/>
  <c r="AN92" i="4"/>
  <c r="V81" i="2"/>
  <c r="V74" i="2"/>
  <c r="V77" i="2"/>
  <c r="V72" i="2"/>
  <c r="AN98" i="4"/>
  <c r="BS101" i="4"/>
  <c r="BT101" i="4"/>
  <c r="AN89" i="4" s="1"/>
  <c r="BN102" i="4"/>
  <c r="BO102" i="4"/>
  <c r="V75" i="2"/>
  <c r="V78" i="2"/>
  <c r="AN91" i="4" l="1"/>
  <c r="AN87" i="4"/>
  <c r="AN96" i="4"/>
  <c r="BT102" i="4"/>
  <c r="AN101" i="4" s="1"/>
  <c r="BS102" i="4"/>
  <c r="AN102" i="4" l="1"/>
  <c r="AN100" i="4"/>
  <c r="AN88" i="4"/>
  <c r="AN90" i="4"/>
</calcChain>
</file>

<file path=xl/sharedStrings.xml><?xml version="1.0" encoding="utf-8"?>
<sst xmlns="http://schemas.openxmlformats.org/spreadsheetml/2006/main" count="10234" uniqueCount="2117">
  <si>
    <t>LEAGUE SETTINGS &amp; SCORING INPUTS</t>
  </si>
  <si>
    <t>INPUT YOUR LEAGUE SCORING HERE</t>
  </si>
  <si>
    <t>LEAGUE &amp; ROSTER SETTINGS</t>
  </si>
  <si>
    <t>Setting:</t>
  </si>
  <si>
    <t>Points:</t>
  </si>
  <si>
    <t>DESCRIPTION</t>
  </si>
  <si>
    <t>#TEAMS:</t>
  </si>
  <si>
    <t>QB:</t>
  </si>
  <si>
    <t>RB:</t>
  </si>
  <si>
    <t>WR:</t>
  </si>
  <si>
    <t>TE:</t>
  </si>
  <si>
    <t>FLEX:</t>
  </si>
  <si>
    <t>BENCH:</t>
  </si>
  <si>
    <t>SUPERFLEX:</t>
  </si>
  <si>
    <t>PASSING</t>
  </si>
  <si>
    <t>PassINCMP</t>
  </si>
  <si>
    <t>Points Per Pass Incompletion (Use a Negative, Default is 0)</t>
  </si>
  <si>
    <t>ADVANCED SETTINGS</t>
  </si>
  <si>
    <t>PassCMP</t>
  </si>
  <si>
    <t>Points Per Pass Completion (Default is 0)</t>
  </si>
  <si>
    <t>ESTIMATED KEEPER SAVINGS</t>
  </si>
  <si>
    <t>PassYDS</t>
  </si>
  <si>
    <t>Passing Yards Per 1 Point (Default is 25)</t>
  </si>
  <si>
    <t>Budget:</t>
  </si>
  <si>
    <t>PassTDs</t>
  </si>
  <si>
    <t>Points Per Passing Touchdown (Default is 4)</t>
  </si>
  <si>
    <t>INTS</t>
  </si>
  <si>
    <t>Points Per Interception (Use a Negative, Default is -2)</t>
  </si>
  <si>
    <t>SACKS</t>
  </si>
  <si>
    <t>Points Per Sack (Use a Negative, Default is 0)</t>
  </si>
  <si>
    <t>RUSHING</t>
  </si>
  <si>
    <t>RushATT</t>
  </si>
  <si>
    <t>Points Per Rush Attempt (Default is 0)</t>
  </si>
  <si>
    <t>RushYDS</t>
  </si>
  <si>
    <t>Rushing Yards Per 1 Point (Default is 10)</t>
  </si>
  <si>
    <t>RushTDS</t>
  </si>
  <si>
    <t>Points Per Rushing Touchdown (Default is 6)</t>
  </si>
  <si>
    <t>RECEIVING</t>
  </si>
  <si>
    <t>RB PPR</t>
  </si>
  <si>
    <t>RB Points Per Reception (Examples: 0 , .5 , 1)</t>
  </si>
  <si>
    <t>WR PPR</t>
  </si>
  <si>
    <t>WR Points Per Reception (Examples: 0 , .5 , 1)</t>
  </si>
  <si>
    <t>TE PPR</t>
  </si>
  <si>
    <t>TE Points Per Reception (Examples: 0 , .5 , 1)</t>
  </si>
  <si>
    <t>RecYDS</t>
  </si>
  <si>
    <t>Receiving Yards Per 1 Point (Default is 10)</t>
  </si>
  <si>
    <t>RecTDS</t>
  </si>
  <si>
    <t>Points Per Receiving Touchdown (Default is 6)</t>
  </si>
  <si>
    <t>OTHER:</t>
  </si>
  <si>
    <t>FL</t>
  </si>
  <si>
    <t>Points Per Fumble Lost (Use a Negative, Default is -2)</t>
  </si>
  <si>
    <t>Pass1D</t>
  </si>
  <si>
    <t>Points Per Passing 1st Down (Default is 0)</t>
  </si>
  <si>
    <t>Rush1D</t>
  </si>
  <si>
    <t>Points Per Rushing 1st Down (Default is 0)</t>
  </si>
  <si>
    <t>Rec1D</t>
  </si>
  <si>
    <t>Points Per Receiving 1st Down (Default is 0)</t>
  </si>
  <si>
    <t>🔒  CALCULATED VALUES BELOW — DO NOT EDIT (used internally for VBD/Auction math)</t>
  </si>
  <si>
    <t>QBs:</t>
  </si>
  <si>
    <t>POINTS</t>
  </si>
  <si>
    <t>RBs:</t>
  </si>
  <si>
    <t>PPR</t>
  </si>
  <si>
    <t>WRs:</t>
  </si>
  <si>
    <t>TEs:</t>
  </si>
  <si>
    <t>Baseline Calcs</t>
  </si>
  <si>
    <t>Roster</t>
  </si>
  <si>
    <t>Flex:</t>
  </si>
  <si>
    <t>Total Dollars:</t>
  </si>
  <si>
    <t>Total Roster:</t>
  </si>
  <si>
    <t>Premium:</t>
  </si>
  <si>
    <t>Total VOR:</t>
  </si>
  <si>
    <t>Premium/VOR:</t>
  </si>
  <si>
    <t>PLAYER SEARCH</t>
  </si>
  <si>
    <t>TYPE NAME HERE:</t>
  </si>
  <si>
    <t>QUARTERBACK</t>
  </si>
  <si>
    <t>RUNNING BACK</t>
  </si>
  <si>
    <t>WIDE RECEIVER</t>
  </si>
  <si>
    <t>Position:</t>
  </si>
  <si>
    <t>TIER</t>
  </si>
  <si>
    <t>NAME</t>
  </si>
  <si>
    <t>TM/BYE</t>
  </si>
  <si>
    <t>PTS</t>
  </si>
  <si>
    <t>VALUE</t>
  </si>
  <si>
    <t>PS</t>
  </si>
  <si>
    <t>ECR</t>
  </si>
  <si>
    <t>DRAFT</t>
  </si>
  <si>
    <t>Tier:</t>
  </si>
  <si>
    <t>Name:</t>
  </si>
  <si>
    <t>TM/BYE:</t>
  </si>
  <si>
    <t>PTS:</t>
  </si>
  <si>
    <t>VALUE:</t>
  </si>
  <si>
    <t>PS:</t>
  </si>
  <si>
    <t>ECR:</t>
  </si>
  <si>
    <t>Drafted?:</t>
  </si>
  <si>
    <t>TIGHT END</t>
  </si>
  <si>
    <t>RB</t>
  </si>
  <si>
    <t>RB1</t>
  </si>
  <si>
    <t>RB2</t>
  </si>
  <si>
    <t>WR</t>
  </si>
  <si>
    <t>WR2</t>
  </si>
  <si>
    <t>WR1</t>
  </si>
  <si>
    <t>WR3</t>
  </si>
  <si>
    <t>RB4</t>
  </si>
  <si>
    <t>RB3</t>
  </si>
  <si>
    <t>WR4</t>
  </si>
  <si>
    <t>RB10</t>
  </si>
  <si>
    <t>RB8</t>
  </si>
  <si>
    <t>RB5</t>
  </si>
  <si>
    <t>RB6</t>
  </si>
  <si>
    <t>RB7</t>
  </si>
  <si>
    <t>WR7</t>
  </si>
  <si>
    <t>RB11</t>
  </si>
  <si>
    <t>RB17</t>
  </si>
  <si>
    <t>WR5</t>
  </si>
  <si>
    <t>WR6</t>
  </si>
  <si>
    <t>RB16</t>
  </si>
  <si>
    <t>RB9</t>
  </si>
  <si>
    <t>RB13</t>
  </si>
  <si>
    <t>RB15</t>
  </si>
  <si>
    <t>TE</t>
  </si>
  <si>
    <t>TE1</t>
  </si>
  <si>
    <t>RB14</t>
  </si>
  <si>
    <t>TE2</t>
  </si>
  <si>
    <t>WR8</t>
  </si>
  <si>
    <t>WR13</t>
  </si>
  <si>
    <t>RB18</t>
  </si>
  <si>
    <t>WR9</t>
  </si>
  <si>
    <t>RB12</t>
  </si>
  <si>
    <t>WR10</t>
  </si>
  <si>
    <t>WR11</t>
  </si>
  <si>
    <t>RB20</t>
  </si>
  <si>
    <t>RB21</t>
  </si>
  <si>
    <t>RB19</t>
  </si>
  <si>
    <t>WR12</t>
  </si>
  <si>
    <t>RB22</t>
  </si>
  <si>
    <t>RB26</t>
  </si>
  <si>
    <t>RB24</t>
  </si>
  <si>
    <t>WR15</t>
  </si>
  <si>
    <t>TE3</t>
  </si>
  <si>
    <t>WR14</t>
  </si>
  <si>
    <t>RB23</t>
  </si>
  <si>
    <t>RB27</t>
  </si>
  <si>
    <t>WR17</t>
  </si>
  <si>
    <t>WR18</t>
  </si>
  <si>
    <t>RB25</t>
  </si>
  <si>
    <t>RB29</t>
  </si>
  <si>
    <t>WR16</t>
  </si>
  <si>
    <t>RB28</t>
  </si>
  <si>
    <t>RB32</t>
  </si>
  <si>
    <t>RB30</t>
  </si>
  <si>
    <t>WR21</t>
  </si>
  <si>
    <t>TE4</t>
  </si>
  <si>
    <t>RB34</t>
  </si>
  <si>
    <t>WR19</t>
  </si>
  <si>
    <t>WR23</t>
  </si>
  <si>
    <t>TE8</t>
  </si>
  <si>
    <t>WR22</t>
  </si>
  <si>
    <t>TE6</t>
  </si>
  <si>
    <t>TE5</t>
  </si>
  <si>
    <t>WR25</t>
  </si>
  <si>
    <t>RB31</t>
  </si>
  <si>
    <t>WR20</t>
  </si>
  <si>
    <t>RB39</t>
  </si>
  <si>
    <t>RB40</t>
  </si>
  <si>
    <t>TE9</t>
  </si>
  <si>
    <t>RB35</t>
  </si>
  <si>
    <t>RB38</t>
  </si>
  <si>
    <t>RB42</t>
  </si>
  <si>
    <t>TE7</t>
  </si>
  <si>
    <t>RB36</t>
  </si>
  <si>
    <t>TE12</t>
  </si>
  <si>
    <t>TE10</t>
  </si>
  <si>
    <t>WR24</t>
  </si>
  <si>
    <t>RB41</t>
  </si>
  <si>
    <t>WR26</t>
  </si>
  <si>
    <t>RB37</t>
  </si>
  <si>
    <t>WR29</t>
  </si>
  <si>
    <t>WR27</t>
  </si>
  <si>
    <t>RB33</t>
  </si>
  <si>
    <t>WR28</t>
  </si>
  <si>
    <t>TE14</t>
  </si>
  <si>
    <t>TE13</t>
  </si>
  <si>
    <t>TE11</t>
  </si>
  <si>
    <t>WR31</t>
  </si>
  <si>
    <t>WR32</t>
  </si>
  <si>
    <t>TE15</t>
  </si>
  <si>
    <t>WR34</t>
  </si>
  <si>
    <t>RB46</t>
  </si>
  <si>
    <t>WR36</t>
  </si>
  <si>
    <t>WR30</t>
  </si>
  <si>
    <t>RB45</t>
  </si>
  <si>
    <t>RB50</t>
  </si>
  <si>
    <t>WR40</t>
  </si>
  <si>
    <t>WR33</t>
  </si>
  <si>
    <t>TE16</t>
  </si>
  <si>
    <t>TE17</t>
  </si>
  <si>
    <t>TE19</t>
  </si>
  <si>
    <t>WR37</t>
  </si>
  <si>
    <t>WR35</t>
  </si>
  <si>
    <t>RB43</t>
  </si>
  <si>
    <t>TE20</t>
  </si>
  <si>
    <t>WR38</t>
  </si>
  <si>
    <t>WR39</t>
  </si>
  <si>
    <t>WR48</t>
  </si>
  <si>
    <t>RB48</t>
  </si>
  <si>
    <t>WR45</t>
  </si>
  <si>
    <t>WR47</t>
  </si>
  <si>
    <t>WR46</t>
  </si>
  <si>
    <t>WR44</t>
  </si>
  <si>
    <t>TE21</t>
  </si>
  <si>
    <t>WR42</t>
  </si>
  <si>
    <t>RB44</t>
  </si>
  <si>
    <t>WR56</t>
  </si>
  <si>
    <t>WR49</t>
  </si>
  <si>
    <t>TE18</t>
  </si>
  <si>
    <t>RB49</t>
  </si>
  <si>
    <t>WR57</t>
  </si>
  <si>
    <t>TE27</t>
  </si>
  <si>
    <t>WR43</t>
  </si>
  <si>
    <t>RB74</t>
  </si>
  <si>
    <t>WR41</t>
  </si>
  <si>
    <t>TE25</t>
  </si>
  <si>
    <t>TE22</t>
  </si>
  <si>
    <t>WR50</t>
  </si>
  <si>
    <t>RB47</t>
  </si>
  <si>
    <t>TE24</t>
  </si>
  <si>
    <t>WR55</t>
  </si>
  <si>
    <t>TE28</t>
  </si>
  <si>
    <t>TE33</t>
  </si>
  <si>
    <t>WR52</t>
  </si>
  <si>
    <t>WR51</t>
  </si>
  <si>
    <t>WR58</t>
  </si>
  <si>
    <t>WR54</t>
  </si>
  <si>
    <t>RB53</t>
  </si>
  <si>
    <t>RB55</t>
  </si>
  <si>
    <t>WR53</t>
  </si>
  <si>
    <t>RB51</t>
  </si>
  <si>
    <t>TE26</t>
  </si>
  <si>
    <t>RB59</t>
  </si>
  <si>
    <t>TE23</t>
  </si>
  <si>
    <t>TE31</t>
  </si>
  <si>
    <t>RB83</t>
  </si>
  <si>
    <t>TE30</t>
  </si>
  <si>
    <t>WR93</t>
  </si>
  <si>
    <t>WR60</t>
  </si>
  <si>
    <t>WR63</t>
  </si>
  <si>
    <t>WR75</t>
  </si>
  <si>
    <t>RB52</t>
  </si>
  <si>
    <t>WR74</t>
  </si>
  <si>
    <t>RB56</t>
  </si>
  <si>
    <t>RB54</t>
  </si>
  <si>
    <t>TE39</t>
  </si>
  <si>
    <t>RB70</t>
  </si>
  <si>
    <t>WR62</t>
  </si>
  <si>
    <t>WR61</t>
  </si>
  <si>
    <t>WR82</t>
  </si>
  <si>
    <t>TE36</t>
  </si>
  <si>
    <t>TE29</t>
  </si>
  <si>
    <t>WR71</t>
  </si>
  <si>
    <t>WR67</t>
  </si>
  <si>
    <t>WR87</t>
  </si>
  <si>
    <t>WR78</t>
  </si>
  <si>
    <t>WR99</t>
  </si>
  <si>
    <t>WR64</t>
  </si>
  <si>
    <t>TE32</t>
  </si>
  <si>
    <t>RB63</t>
  </si>
  <si>
    <t>RB62</t>
  </si>
  <si>
    <t>RB73</t>
  </si>
  <si>
    <t>WR92</t>
  </si>
  <si>
    <t>WR59</t>
  </si>
  <si>
    <t>WR83</t>
  </si>
  <si>
    <t>WR90</t>
  </si>
  <si>
    <t>WR81</t>
  </si>
  <si>
    <t>WR86</t>
  </si>
  <si>
    <t>TE34</t>
  </si>
  <si>
    <t>WR65</t>
  </si>
  <si>
    <t>WR73</t>
  </si>
  <si>
    <t>RB79</t>
  </si>
  <si>
    <t>WR72</t>
  </si>
  <si>
    <t>RB71</t>
  </si>
  <si>
    <t>WR70</t>
  </si>
  <si>
    <t>TE41</t>
  </si>
  <si>
    <t>RB84</t>
  </si>
  <si>
    <t>WR76</t>
  </si>
  <si>
    <t>WR84</t>
  </si>
  <si>
    <t>TE38</t>
  </si>
  <si>
    <t>RB77</t>
  </si>
  <si>
    <t>RB88</t>
  </si>
  <si>
    <t>WR80</t>
  </si>
  <si>
    <t>WR66</t>
  </si>
  <si>
    <t>WR89</t>
  </si>
  <si>
    <t>WR68</t>
  </si>
  <si>
    <t>RB61</t>
  </si>
  <si>
    <t>WR95</t>
  </si>
  <si>
    <t>TE45</t>
  </si>
  <si>
    <t>RB64</t>
  </si>
  <si>
    <t>RB57</t>
  </si>
  <si>
    <t>WR77</t>
  </si>
  <si>
    <t>WR96</t>
  </si>
  <si>
    <t>TE49</t>
  </si>
  <si>
    <t>RB65</t>
  </si>
  <si>
    <t>WR98</t>
  </si>
  <si>
    <t>TE43</t>
  </si>
  <si>
    <t>RB75</t>
  </si>
  <si>
    <t>RB66</t>
  </si>
  <si>
    <t>TE48</t>
  </si>
  <si>
    <t>RB76</t>
  </si>
  <si>
    <t>RB67</t>
  </si>
  <si>
    <t>WR100</t>
  </si>
  <si>
    <t>WR97</t>
  </si>
  <si>
    <t>WR69</t>
  </si>
  <si>
    <t>WR88</t>
  </si>
  <si>
    <t>TE42</t>
  </si>
  <si>
    <t>TE35</t>
  </si>
  <si>
    <t>WR94</t>
  </si>
  <si>
    <t>WR91</t>
  </si>
  <si>
    <t>TE47</t>
  </si>
  <si>
    <t>WR79</t>
  </si>
  <si>
    <t>RB58</t>
  </si>
  <si>
    <t>TE37</t>
  </si>
  <si>
    <t>RB68</t>
  </si>
  <si>
    <t>RB60</t>
  </si>
  <si>
    <t>WR85</t>
  </si>
  <si>
    <t>RB80</t>
  </si>
  <si>
    <t>RB72</t>
  </si>
  <si>
    <t>TE46</t>
  </si>
  <si>
    <t>TE44</t>
  </si>
  <si>
    <t>RB69</t>
  </si>
  <si>
    <t>RB78</t>
  </si>
  <si>
    <t>RB81</t>
  </si>
  <si>
    <t>TE40</t>
  </si>
  <si>
    <t>RB86</t>
  </si>
  <si>
    <t>RB87</t>
  </si>
  <si>
    <t>RB85</t>
  </si>
  <si>
    <t>RB95</t>
  </si>
  <si>
    <t>TE50</t>
  </si>
  <si>
    <t>RB92</t>
  </si>
  <si>
    <t>RB97</t>
  </si>
  <si>
    <t>RB98</t>
  </si>
  <si>
    <t>RB90</t>
  </si>
  <si>
    <t>RB93</t>
  </si>
  <si>
    <t>RB91</t>
  </si>
  <si>
    <t>RB82</t>
  </si>
  <si>
    <t>RB89</t>
  </si>
  <si>
    <t>RB94</t>
  </si>
  <si>
    <t>RB96</t>
  </si>
  <si>
    <t>RB99</t>
  </si>
  <si>
    <t>RB100</t>
  </si>
  <si>
    <t>Baseline:</t>
  </si>
  <si>
    <t>PLAYER</t>
  </si>
  <si>
    <t>Team</t>
  </si>
  <si>
    <t>Bye</t>
  </si>
  <si>
    <t>Team/Bye</t>
  </si>
  <si>
    <t>LOW</t>
  </si>
  <si>
    <t>AVG</t>
  </si>
  <si>
    <t>HIGH</t>
  </si>
  <si>
    <t>Zscore Projection</t>
  </si>
  <si>
    <t>VBD</t>
  </si>
  <si>
    <t>Auc</t>
  </si>
  <si>
    <t>Tier</t>
  </si>
  <si>
    <t>Missed Games</t>
  </si>
  <si>
    <t>Auction</t>
  </si>
  <si>
    <t>V/R</t>
  </si>
  <si>
    <t>QB1</t>
  </si>
  <si>
    <t>QB2</t>
  </si>
  <si>
    <t>QB3</t>
  </si>
  <si>
    <t>QB4</t>
  </si>
  <si>
    <t>QB5</t>
  </si>
  <si>
    <t>QB6</t>
  </si>
  <si>
    <t>QB7</t>
  </si>
  <si>
    <t>QB8</t>
  </si>
  <si>
    <t>QB9</t>
  </si>
  <si>
    <t>QB10</t>
  </si>
  <si>
    <t>QB11</t>
  </si>
  <si>
    <t>QB12</t>
  </si>
  <si>
    <t>QB13</t>
  </si>
  <si>
    <t>QB14</t>
  </si>
  <si>
    <t>QB15</t>
  </si>
  <si>
    <t>QB16</t>
  </si>
  <si>
    <t>QB17</t>
  </si>
  <si>
    <t>QB18</t>
  </si>
  <si>
    <t>QB19</t>
  </si>
  <si>
    <t>QB20</t>
  </si>
  <si>
    <t>QB21</t>
  </si>
  <si>
    <t>QB22</t>
  </si>
  <si>
    <t>QB23</t>
  </si>
  <si>
    <t>QB24</t>
  </si>
  <si>
    <t>QB25</t>
  </si>
  <si>
    <t>QB26</t>
  </si>
  <si>
    <t>QB27</t>
  </si>
  <si>
    <t>QB28</t>
  </si>
  <si>
    <t>QB29</t>
  </si>
  <si>
    <t>QB30</t>
  </si>
  <si>
    <t>QB31</t>
  </si>
  <si>
    <t>QB32</t>
  </si>
  <si>
    <t>QB33</t>
  </si>
  <si>
    <t>QB34</t>
  </si>
  <si>
    <t>QB35</t>
  </si>
  <si>
    <t>QB36</t>
  </si>
  <si>
    <t>QB37</t>
  </si>
  <si>
    <t>QB38</t>
  </si>
  <si>
    <t>QB39</t>
  </si>
  <si>
    <t>QB40</t>
  </si>
  <si>
    <t>QB41</t>
  </si>
  <si>
    <t>QB42</t>
  </si>
  <si>
    <t>QB43</t>
  </si>
  <si>
    <t>QB44</t>
  </si>
  <si>
    <t>QB45</t>
  </si>
  <si>
    <t>QB46</t>
  </si>
  <si>
    <t>QB47</t>
  </si>
  <si>
    <t>QB48</t>
  </si>
  <si>
    <t>TE51</t>
  </si>
  <si>
    <t>TE52</t>
  </si>
  <si>
    <t>TE53</t>
  </si>
  <si>
    <t>TE54</t>
  </si>
  <si>
    <t>TE55</t>
  </si>
  <si>
    <t>TE56</t>
  </si>
  <si>
    <t>TE57</t>
  </si>
  <si>
    <t>TE58</t>
  </si>
  <si>
    <t>TE59</t>
  </si>
  <si>
    <t>TE60</t>
  </si>
  <si>
    <t>TE61</t>
  </si>
  <si>
    <t>TE62</t>
  </si>
  <si>
    <t>TE63</t>
  </si>
  <si>
    <t>TE64</t>
  </si>
  <si>
    <t>TE65</t>
  </si>
  <si>
    <t>TE66</t>
  </si>
  <si>
    <t>TE67</t>
  </si>
  <si>
    <t>TE68</t>
  </si>
  <si>
    <t>TE69</t>
  </si>
  <si>
    <t>TE70</t>
  </si>
  <si>
    <t>TE71</t>
  </si>
  <si>
    <t>TE72</t>
  </si>
  <si>
    <t>TE73</t>
  </si>
  <si>
    <t>TE74</t>
  </si>
  <si>
    <t>TE75</t>
  </si>
  <si>
    <t>TE76</t>
  </si>
  <si>
    <t>TE77</t>
  </si>
  <si>
    <t>TE78</t>
  </si>
  <si>
    <t>TE79</t>
  </si>
  <si>
    <t>TE80</t>
  </si>
  <si>
    <t>TE81</t>
  </si>
  <si>
    <t>TE82</t>
  </si>
  <si>
    <t>TE83</t>
  </si>
  <si>
    <t>TE84</t>
  </si>
  <si>
    <t>TE85</t>
  </si>
  <si>
    <t>TE86</t>
  </si>
  <si>
    <t>TE87</t>
  </si>
  <si>
    <t>TE88</t>
  </si>
  <si>
    <t>TE89</t>
  </si>
  <si>
    <t>TE90</t>
  </si>
  <si>
    <t>TE91</t>
  </si>
  <si>
    <t>TE92</t>
  </si>
  <si>
    <t>TE93</t>
  </si>
  <si>
    <t>TE94</t>
  </si>
  <si>
    <t>TE95</t>
  </si>
  <si>
    <t>TE96</t>
  </si>
  <si>
    <t>TE97</t>
  </si>
  <si>
    <t>TE98</t>
  </si>
  <si>
    <t>TE99</t>
  </si>
  <si>
    <t>TE100</t>
  </si>
  <si>
    <t>Player</t>
  </si>
  <si>
    <t>ATT</t>
  </si>
  <si>
    <t>CMP</t>
  </si>
  <si>
    <t>YDS</t>
  </si>
  <si>
    <t>TDS</t>
  </si>
  <si>
    <t>FPTS</t>
  </si>
  <si>
    <t>Pa1D</t>
  </si>
  <si>
    <t>Ru1D</t>
  </si>
  <si>
    <t>Â </t>
  </si>
  <si>
    <t>Josh Allen</t>
  </si>
  <si>
    <t>BUF</t>
  </si>
  <si>
    <t>high</t>
  </si>
  <si>
    <t>low</t>
  </si>
  <si>
    <t>Lamar Jackson</t>
  </si>
  <si>
    <t>BAL</t>
  </si>
  <si>
    <t>Drake Maye</t>
  </si>
  <si>
    <t>NE</t>
  </si>
  <si>
    <t>Jayden Daniels</t>
  </si>
  <si>
    <t>WAS</t>
  </si>
  <si>
    <t>Jalen Hurts</t>
  </si>
  <si>
    <t>PHI</t>
  </si>
  <si>
    <t>Joe Burrow</t>
  </si>
  <si>
    <t>CIN</t>
  </si>
  <si>
    <t>Jaxson Dart</t>
  </si>
  <si>
    <t>NYG</t>
  </si>
  <si>
    <t>Brock Purdy</t>
  </si>
  <si>
    <t>SF</t>
  </si>
  <si>
    <t>Trevor Lawrence</t>
  </si>
  <si>
    <t>JAC</t>
  </si>
  <si>
    <t>Dak Prescott</t>
  </si>
  <si>
    <t>DAL</t>
  </si>
  <si>
    <t>Patrick Mahomes II</t>
  </si>
  <si>
    <t>KC</t>
  </si>
  <si>
    <t>Caleb Williams</t>
  </si>
  <si>
    <t>CHI</t>
  </si>
  <si>
    <t>Justin Herbert</t>
  </si>
  <si>
    <t>LAC</t>
  </si>
  <si>
    <t>Bo Nix</t>
  </si>
  <si>
    <t>DEN</t>
  </si>
  <si>
    <t>Matthew Stafford</t>
  </si>
  <si>
    <t>LAR</t>
  </si>
  <si>
    <t>Jared Goff</t>
  </si>
  <si>
    <t>DET</t>
  </si>
  <si>
    <t>Tyler Shough</t>
  </si>
  <si>
    <t>NO</t>
  </si>
  <si>
    <t>Baker Mayfield</t>
  </si>
  <si>
    <t>TB</t>
  </si>
  <si>
    <t>Kyler Murray</t>
  </si>
  <si>
    <t>MIN</t>
  </si>
  <si>
    <t>Daniel Jones</t>
  </si>
  <si>
    <t>IND</t>
  </si>
  <si>
    <t>Malik Willis</t>
  </si>
  <si>
    <t>MIA</t>
  </si>
  <si>
    <t>Jordan Love</t>
  </si>
  <si>
    <t>GB</t>
  </si>
  <si>
    <t>Sam Darnold</t>
  </si>
  <si>
    <t>SEA</t>
  </si>
  <si>
    <t>C.J. Stroud</t>
  </si>
  <si>
    <t>HOU</t>
  </si>
  <si>
    <t>Bryce Young</t>
  </si>
  <si>
    <t>CAR</t>
  </si>
  <si>
    <t>Geno Smith</t>
  </si>
  <si>
    <t>NYJ</t>
  </si>
  <si>
    <t>Cam Ward</t>
  </si>
  <si>
    <t>TEN</t>
  </si>
  <si>
    <t>Jacoby Brissett</t>
  </si>
  <si>
    <t>ARI</t>
  </si>
  <si>
    <t>Aaron Rodgers</t>
  </si>
  <si>
    <t>PIT</t>
  </si>
  <si>
    <t>Fernando Mendoza</t>
  </si>
  <si>
    <t>LV</t>
  </si>
  <si>
    <t>Tua Tagovailoa</t>
  </si>
  <si>
    <t>ATL</t>
  </si>
  <si>
    <t>Deshaun Watson</t>
  </si>
  <si>
    <t>CLE</t>
  </si>
  <si>
    <t>Shedeur Sanders</t>
  </si>
  <si>
    <t>Michael Penix Jr.</t>
  </si>
  <si>
    <t>Kirk Cousins</t>
  </si>
  <si>
    <t>Ty Simpson</t>
  </si>
  <si>
    <t>Carson Beck</t>
  </si>
  <si>
    <t>J.J. McCarthy</t>
  </si>
  <si>
    <t>Marcus Mariota</t>
  </si>
  <si>
    <t>Riley Leonard</t>
  </si>
  <si>
    <t>Justin Fields</t>
  </si>
  <si>
    <t>Jameis Winston</t>
  </si>
  <si>
    <t>Quinn Ewers</t>
  </si>
  <si>
    <t>Tyson Bagent</t>
  </si>
  <si>
    <t>Will Levis</t>
  </si>
  <si>
    <t>Jake Browning</t>
  </si>
  <si>
    <t>Jarrett Stidham</t>
  </si>
  <si>
    <t>Davis Mills</t>
  </si>
  <si>
    <t>Tyrod Taylor</t>
  </si>
  <si>
    <t>Joshua Dobbs</t>
  </si>
  <si>
    <t>Tommy DeVito</t>
  </si>
  <si>
    <t>Tyler Huntley</t>
  </si>
  <si>
    <t>Mac Jones</t>
  </si>
  <si>
    <t>Trey Lance</t>
  </si>
  <si>
    <t>Anthony Richardson Sr.</t>
  </si>
  <si>
    <t>Joe Flacco</t>
  </si>
  <si>
    <t>Tanner McKee</t>
  </si>
  <si>
    <t>Kenny Pickett</t>
  </si>
  <si>
    <t>Spencer Rattler</t>
  </si>
  <si>
    <t>Sam Howell</t>
  </si>
  <si>
    <t>Drew Lock</t>
  </si>
  <si>
    <t>Andy Dalton</t>
  </si>
  <si>
    <t>Nick Mullens</t>
  </si>
  <si>
    <t>Gardner Minshew II</t>
  </si>
  <si>
    <t>Behren Morton</t>
  </si>
  <si>
    <t>Cade Klubnik</t>
  </si>
  <si>
    <t>Drew Allar</t>
  </si>
  <si>
    <t>Garrett Nussmeier</t>
  </si>
  <si>
    <t>Cole Payton</t>
  </si>
  <si>
    <t>Jalen Milroe</t>
  </si>
  <si>
    <t>Kyle Allen</t>
  </si>
  <si>
    <t>Mitchell Trubisky</t>
  </si>
  <si>
    <t>Joe Milton III</t>
  </si>
  <si>
    <t>Will Howard</t>
  </si>
  <si>
    <t>Mason Rudolph</t>
  </si>
  <si>
    <t>Brady Cook</t>
  </si>
  <si>
    <t>Josh Johnson</t>
  </si>
  <si>
    <t>Stetson Bennett IV</t>
  </si>
  <si>
    <t>Aidan O'Connell</t>
  </si>
  <si>
    <t>REC</t>
  </si>
  <si>
    <t>Jahmyr Gibbs</t>
  </si>
  <si>
    <t>Bijan Robinson</t>
  </si>
  <si>
    <t>Christian McCaffrey</t>
  </si>
  <si>
    <t>Jonathan Taylor</t>
  </si>
  <si>
    <t>Derrick Henry</t>
  </si>
  <si>
    <t>De'Von Achane</t>
  </si>
  <si>
    <t>James Cook III</t>
  </si>
  <si>
    <t>Chase Brown</t>
  </si>
  <si>
    <t>Saquon Barkley</t>
  </si>
  <si>
    <t>Kenneth Walker III</t>
  </si>
  <si>
    <t>Josh Jacobs</t>
  </si>
  <si>
    <t>Omarion Hampton</t>
  </si>
  <si>
    <t>Jeremiyah Love</t>
  </si>
  <si>
    <t>Kyren Williams</t>
  </si>
  <si>
    <t>Breece Hall</t>
  </si>
  <si>
    <t>Javonte Williams</t>
  </si>
  <si>
    <t>Ashton Jeanty</t>
  </si>
  <si>
    <t>Cam Skattebo</t>
  </si>
  <si>
    <t>Travis Etienne Jr.</t>
  </si>
  <si>
    <t>D'Andre Swift</t>
  </si>
  <si>
    <t>Bucky Irving</t>
  </si>
  <si>
    <t>Quinshon Judkins</t>
  </si>
  <si>
    <t>Bhayshul Tuten</t>
  </si>
  <si>
    <t>David Montgomery</t>
  </si>
  <si>
    <t>Jadarian Price</t>
  </si>
  <si>
    <t>Jaylen Warren</t>
  </si>
  <si>
    <t>TreVeyon Henderson</t>
  </si>
  <si>
    <t>Tony Pollard</t>
  </si>
  <si>
    <t>Rhamondre Stevenson</t>
  </si>
  <si>
    <t>J.K. Dobbins</t>
  </si>
  <si>
    <t>Rico Dowdle</t>
  </si>
  <si>
    <t>Chuba Hubbard</t>
  </si>
  <si>
    <t>Jonathon Brooks</t>
  </si>
  <si>
    <t>Kyle Monangai</t>
  </si>
  <si>
    <t>Rachaad White</t>
  </si>
  <si>
    <t>Kenny Gainwell</t>
  </si>
  <si>
    <t>Jacory Croskey-Merritt</t>
  </si>
  <si>
    <t>Aaron Jones Sr.</t>
  </si>
  <si>
    <t>RJ Harvey</t>
  </si>
  <si>
    <t>Jordan Mason</t>
  </si>
  <si>
    <t>Blake Corum</t>
  </si>
  <si>
    <t>Tyjae Spears</t>
  </si>
  <si>
    <t>Zach Charbonnet</t>
  </si>
  <si>
    <t>Woody Marks</t>
  </si>
  <si>
    <t>Isiah Pacheco</t>
  </si>
  <si>
    <t>Alvin Kamara</t>
  </si>
  <si>
    <t>Mike Washington Jr.</t>
  </si>
  <si>
    <t>Justice Hill</t>
  </si>
  <si>
    <t>Chris Rodriguez Jr.</t>
  </si>
  <si>
    <t>Tyrone Tracy Jr.</t>
  </si>
  <si>
    <t>AJ Dillon</t>
  </si>
  <si>
    <t>Dylan Sampson</t>
  </si>
  <si>
    <t>Brian Robinson Jr.</t>
  </si>
  <si>
    <t>Braelon Allen</t>
  </si>
  <si>
    <t>Samaje Perine</t>
  </si>
  <si>
    <t>Tyler Allgeier</t>
  </si>
  <si>
    <t>Kaelon Black</t>
  </si>
  <si>
    <t>Ty Johnson</t>
  </si>
  <si>
    <t>Tank Bigsby</t>
  </si>
  <si>
    <t>Keaton Mitchell</t>
  </si>
  <si>
    <t>Emari Demercado</t>
  </si>
  <si>
    <t>Jordan James</t>
  </si>
  <si>
    <t>Adam Randall</t>
  </si>
  <si>
    <t>Chris Brooks</t>
  </si>
  <si>
    <t>Najee Harris</t>
  </si>
  <si>
    <t>Kimani Vidal</t>
  </si>
  <si>
    <t>James Conner</t>
  </si>
  <si>
    <t>Jaydon Blue</t>
  </si>
  <si>
    <t>MarShawn Lloyd</t>
  </si>
  <si>
    <t>Emanuel Wilson</t>
  </si>
  <si>
    <t>Jaylen Wright</t>
  </si>
  <si>
    <t>Jawhar Jordan</t>
  </si>
  <si>
    <t>Malik Davis</t>
  </si>
  <si>
    <t>Jonah Coleman</t>
  </si>
  <si>
    <t>Kyle Juszczyk</t>
  </si>
  <si>
    <t>Emmett Johnson</t>
  </si>
  <si>
    <t>Isaiah Davis</t>
  </si>
  <si>
    <t>George Holani</t>
  </si>
  <si>
    <t>LeQuint Allen Jr.</t>
  </si>
  <si>
    <t>Frank Gore Jr.</t>
  </si>
  <si>
    <t>Roschon Johnson</t>
  </si>
  <si>
    <t>Ollie Gordon II</t>
  </si>
  <si>
    <t>Trayveon Williams</t>
  </si>
  <si>
    <t>Ray Davis</t>
  </si>
  <si>
    <t>DJ Giddens</t>
  </si>
  <si>
    <t>Sean Tucker</t>
  </si>
  <si>
    <t>Phil Mafah</t>
  </si>
  <si>
    <t>Brashard Smith</t>
  </si>
  <si>
    <t>Jam Miller</t>
  </si>
  <si>
    <t>Jeremy McNichols</t>
  </si>
  <si>
    <t>Jarquez Hunter</t>
  </si>
  <si>
    <t>Dameon Pierce</t>
  </si>
  <si>
    <t>Audric Estime</t>
  </si>
  <si>
    <t>Will Shipley</t>
  </si>
  <si>
    <t>Donovan Edwards</t>
  </si>
  <si>
    <t>Seth McGowan</t>
  </si>
  <si>
    <t>Kendre Miller</t>
  </si>
  <si>
    <t>Hunter Luepke</t>
  </si>
  <si>
    <t>Kaytron Allen</t>
  </si>
  <si>
    <t>Tahj Brooks</t>
  </si>
  <si>
    <t>Devin Neal</t>
  </si>
  <si>
    <t>Nicholas Singleton</t>
  </si>
  <si>
    <t>Demond Claiborne</t>
  </si>
  <si>
    <t>Michael Burton</t>
  </si>
  <si>
    <t>Isaac Guerendo</t>
  </si>
  <si>
    <t>Trevor Etienne</t>
  </si>
  <si>
    <t>Andrew Beck</t>
  </si>
  <si>
    <t>Alec Ingold</t>
  </si>
  <si>
    <t>Adam Prentice</t>
  </si>
  <si>
    <t>Connor Heyward</t>
  </si>
  <si>
    <t>Max Bredeson</t>
  </si>
  <si>
    <t>Riley Nowakowski</t>
  </si>
  <si>
    <t>Reggie Gilliam</t>
  </si>
  <si>
    <t>Patrick Ricard</t>
  </si>
  <si>
    <t>Kaleb Johnson</t>
  </si>
  <si>
    <t>British Brooks</t>
  </si>
  <si>
    <t>Devin Singletary</t>
  </si>
  <si>
    <t>DeeJay Dallas</t>
  </si>
  <si>
    <t>Jerome Ford</t>
  </si>
  <si>
    <t>Kene Nwangwu</t>
  </si>
  <si>
    <t>Tyler Badie</t>
  </si>
  <si>
    <t>Bam Knight</t>
  </si>
  <si>
    <t>Trey Benson</t>
  </si>
  <si>
    <t>Jacob Saylors</t>
  </si>
  <si>
    <t>Zavier Scott</t>
  </si>
  <si>
    <t>Rasheen Ali</t>
  </si>
  <si>
    <t>Dylan Laube</t>
  </si>
  <si>
    <t>Chris Collier</t>
  </si>
  <si>
    <t>Josh Williams</t>
  </si>
  <si>
    <t>Puka Nacua</t>
  </si>
  <si>
    <t>Ja'Marr Chase</t>
  </si>
  <si>
    <t>Jaxon Smith-Njigba</t>
  </si>
  <si>
    <t>Amon-Ra St. Brown</t>
  </si>
  <si>
    <t>Drake London</t>
  </si>
  <si>
    <t>Rashee Rice</t>
  </si>
  <si>
    <t>CeeDee Lamb</t>
  </si>
  <si>
    <t>Justin Jefferson</t>
  </si>
  <si>
    <t>Chris Olave</t>
  </si>
  <si>
    <t>A.J. Brown</t>
  </si>
  <si>
    <t>Nico Collins</t>
  </si>
  <si>
    <t>George Pickens</t>
  </si>
  <si>
    <t>Zay Flowers</t>
  </si>
  <si>
    <t>Malik Nabers</t>
  </si>
  <si>
    <t>Garrett Wilson</t>
  </si>
  <si>
    <t>Tetairoa McMillan</t>
  </si>
  <si>
    <t>DeVonta Smith</t>
  </si>
  <si>
    <t>Emeka Egbuka</t>
  </si>
  <si>
    <t>Davante Adams</t>
  </si>
  <si>
    <t>Tee Higgins</t>
  </si>
  <si>
    <t>Jameson Williams</t>
  </si>
  <si>
    <t>Ladd McConkey</t>
  </si>
  <si>
    <t>Terry McLaurin</t>
  </si>
  <si>
    <t>Rome Odunze</t>
  </si>
  <si>
    <t>DJ Moore</t>
  </si>
  <si>
    <t>Jaylen Waddle</t>
  </si>
  <si>
    <t>Luther Burden III</t>
  </si>
  <si>
    <t>Mike Evans</t>
  </si>
  <si>
    <t>Christian Watson</t>
  </si>
  <si>
    <t>Courtland Sutton</t>
  </si>
  <si>
    <t>Alec Pierce</t>
  </si>
  <si>
    <t>Marvin Harrison Jr.</t>
  </si>
  <si>
    <t>DK Metcalf</t>
  </si>
  <si>
    <t>Parker Washington</t>
  </si>
  <si>
    <t>Brian Thomas Jr.</t>
  </si>
  <si>
    <t>Michael Pittman Jr.</t>
  </si>
  <si>
    <t>Carnell Tate</t>
  </si>
  <si>
    <t>Jayden Reed</t>
  </si>
  <si>
    <t>Jakobi Meyers</t>
  </si>
  <si>
    <t>Quentin Johnston</t>
  </si>
  <si>
    <t>Michael Wilson</t>
  </si>
  <si>
    <t>Chris Godwin Jr.</t>
  </si>
  <si>
    <t>Jordan Addison</t>
  </si>
  <si>
    <t>Xavier Worthy</t>
  </si>
  <si>
    <t>Deebo Samuel Sr.</t>
  </si>
  <si>
    <t>Wan'Dale Robinson</t>
  </si>
  <si>
    <t>Matthew Golden</t>
  </si>
  <si>
    <t>Stefon Diggs</t>
  </si>
  <si>
    <t>Rashid Shaheed</t>
  </si>
  <si>
    <t>KC Concepcion</t>
  </si>
  <si>
    <t>Khalil Shakir</t>
  </si>
  <si>
    <t>Josh Downs</t>
  </si>
  <si>
    <t>Romeo Doubs</t>
  </si>
  <si>
    <t>Jalen Coker</t>
  </si>
  <si>
    <t>De'Zhaun Stribling</t>
  </si>
  <si>
    <t>Calvin Ridley</t>
  </si>
  <si>
    <t>Makai Lemon</t>
  </si>
  <si>
    <t>Tank Dell</t>
  </si>
  <si>
    <t>Denzel Boston</t>
  </si>
  <si>
    <t>Jerry Jeudy</t>
  </si>
  <si>
    <t>Tre Tucker</t>
  </si>
  <si>
    <t>Rashod Bateman</t>
  </si>
  <si>
    <t>Keenan Allen</t>
  </si>
  <si>
    <t>Jalen McMillan</t>
  </si>
  <si>
    <t>Jauan Jennings</t>
  </si>
  <si>
    <t>Ja'Kobi Lane</t>
  </si>
  <si>
    <t>Jalen Nailor</t>
  </si>
  <si>
    <t>Devaughn Vele</t>
  </si>
  <si>
    <t>Cooper Kupp</t>
  </si>
  <si>
    <t>Adonai Mitchell</t>
  </si>
  <si>
    <t>Caleb Douglas</t>
  </si>
  <si>
    <t>Kayshon Boutte</t>
  </si>
  <si>
    <t>Jaylin Noel</t>
  </si>
  <si>
    <t>Travis Hunter</t>
  </si>
  <si>
    <t>Malik Washington</t>
  </si>
  <si>
    <t>Germie Bernard</t>
  </si>
  <si>
    <t>Dontayvion Wicks</t>
  </si>
  <si>
    <t>Jordyn Tyson</t>
  </si>
  <si>
    <t>Bub Means</t>
  </si>
  <si>
    <t>Antonio Williams</t>
  </si>
  <si>
    <t>Tory Horton</t>
  </si>
  <si>
    <t>Darius Slayton</t>
  </si>
  <si>
    <t>Troy Franklin</t>
  </si>
  <si>
    <t>Tyquan Thornton</t>
  </si>
  <si>
    <t>Chris Bell</t>
  </si>
  <si>
    <t>Xavier Legette</t>
  </si>
  <si>
    <t>Jahan Dotson</t>
  </si>
  <si>
    <t>Xavier Hutchinson</t>
  </si>
  <si>
    <t>Omar Cooper Jr.</t>
  </si>
  <si>
    <t>Christian Kirk</t>
  </si>
  <si>
    <t>Tre' Harris</t>
  </si>
  <si>
    <t>Isaac TeSlaa</t>
  </si>
  <si>
    <t>Ryan Flournoy</t>
  </si>
  <si>
    <t>Jalen Tolbert</t>
  </si>
  <si>
    <t>Ted Hurst III</t>
  </si>
  <si>
    <t>Hollywood Brown</t>
  </si>
  <si>
    <t>Elic Ayomanor</t>
  </si>
  <si>
    <t>Malik Benson</t>
  </si>
  <si>
    <t>Andrei Iosivas</t>
  </si>
  <si>
    <t>Chimere Dike</t>
  </si>
  <si>
    <t>Zachariah Branch</t>
  </si>
  <si>
    <t>Keon Coleman</t>
  </si>
  <si>
    <t>Pat Bryant</t>
  </si>
  <si>
    <t>Joshua Palmer</t>
  </si>
  <si>
    <t>Ashton Dulin</t>
  </si>
  <si>
    <t>Marvin Mims Jr.</t>
  </si>
  <si>
    <t>KaVontae Turpin</t>
  </si>
  <si>
    <t>Olamide Zaccheaus</t>
  </si>
  <si>
    <t>Darnell Mooney</t>
  </si>
  <si>
    <t>Jack Bech</t>
  </si>
  <si>
    <t>DeMario Douglas</t>
  </si>
  <si>
    <t>Savion Williams</t>
  </si>
  <si>
    <t>Jahdae Walker</t>
  </si>
  <si>
    <t>Malachi Fields</t>
  </si>
  <si>
    <t>Tutu Atwell</t>
  </si>
  <si>
    <t>Cedric Tillman</t>
  </si>
  <si>
    <t>Demarcus Robinson</t>
  </si>
  <si>
    <t>Luke McCaffrey</t>
  </si>
  <si>
    <t>Kendrick Bourne</t>
  </si>
  <si>
    <t>Dyami Brown</t>
  </si>
  <si>
    <t>Treylon Burks</t>
  </si>
  <si>
    <t>Kalif Raymond</t>
  </si>
  <si>
    <t>Devontez Walker</t>
  </si>
  <si>
    <t>Cyrus Allen</t>
  </si>
  <si>
    <t>Isaiah Williams</t>
  </si>
  <si>
    <t>Colbie Young</t>
  </si>
  <si>
    <t>Bryce Lance</t>
  </si>
  <si>
    <t>Zavion Thomas</t>
  </si>
  <si>
    <t>Jaylin Lane</t>
  </si>
  <si>
    <t>Elijah Sarratt</t>
  </si>
  <si>
    <t>Kevin Coleman Jr.</t>
  </si>
  <si>
    <t>Jordan Whittington</t>
  </si>
  <si>
    <t>Isaiah Bond</t>
  </si>
  <si>
    <t>Konata Mumpfield</t>
  </si>
  <si>
    <t>Skyler Bell</t>
  </si>
  <si>
    <t>Roman Wilson</t>
  </si>
  <si>
    <t>Brenen Thompson</t>
  </si>
  <si>
    <t>Mack Hollins</t>
  </si>
  <si>
    <t>Justin Watson</t>
  </si>
  <si>
    <t>Odell Beckham Jr.</t>
  </si>
  <si>
    <t>Kyle Williams</t>
  </si>
  <si>
    <t>Tez Johnson</t>
  </si>
  <si>
    <t>Jimmy Horn Jr.</t>
  </si>
  <si>
    <t>Jalen Royals</t>
  </si>
  <si>
    <t>KeAndre Lambert-Smith</t>
  </si>
  <si>
    <t>Nick Westbrook-Ikhine</t>
  </si>
  <si>
    <t>Mason Tipton</t>
  </si>
  <si>
    <t>Dont'e Thornton Jr.</t>
  </si>
  <si>
    <t>Greg Dortch</t>
  </si>
  <si>
    <t>Bo Melton</t>
  </si>
  <si>
    <t>Barion Brown</t>
  </si>
  <si>
    <t>Tyrell Shavers</t>
  </si>
  <si>
    <t>Derius Davis</t>
  </si>
  <si>
    <t>Malachi Corley</t>
  </si>
  <si>
    <t>Mitch Tinsley</t>
  </si>
  <si>
    <t>Xavier Smith</t>
  </si>
  <si>
    <t>CJ Daniels</t>
  </si>
  <si>
    <t>Tai Felton</t>
  </si>
  <si>
    <t>Jonathan Mingo</t>
  </si>
  <si>
    <t>Darius Cooper</t>
  </si>
  <si>
    <t>Lewis Bond</t>
  </si>
  <si>
    <t>Reggie Virgil</t>
  </si>
  <si>
    <t>Brycen Tremayne</t>
  </si>
  <si>
    <t>Arian Smith</t>
  </si>
  <si>
    <t>Ben Skowronek</t>
  </si>
  <si>
    <t>Jalen Reagor</t>
  </si>
  <si>
    <t>Kameron Johnson</t>
  </si>
  <si>
    <t>Kaden Wetjen</t>
  </si>
  <si>
    <t>Laquon Treadwell</t>
  </si>
  <si>
    <t>David Moore</t>
  </si>
  <si>
    <t>Braxton Berrios</t>
  </si>
  <si>
    <t>Devin Duvernay</t>
  </si>
  <si>
    <t>Michael Bandy</t>
  </si>
  <si>
    <t>Skyy Moore</t>
  </si>
  <si>
    <t>Britain Covey</t>
  </si>
  <si>
    <t>Dareke Young</t>
  </si>
  <si>
    <t>Jacob Cowing</t>
  </si>
  <si>
    <t>Charlie Jones</t>
  </si>
  <si>
    <t>Jalen Brooks</t>
  </si>
  <si>
    <t>Nikko Remigio</t>
  </si>
  <si>
    <t>Anthony Gould</t>
  </si>
  <si>
    <t>Jeshaun Jones</t>
  </si>
  <si>
    <t>Efton Chism III</t>
  </si>
  <si>
    <t>LaJohntay Wester</t>
  </si>
  <si>
    <t>Ke'Shawn Williams</t>
  </si>
  <si>
    <t>Myles Price</t>
  </si>
  <si>
    <t>Gage Larvadain</t>
  </si>
  <si>
    <t>Josh Cameron</t>
  </si>
  <si>
    <t>Trey McBride</t>
  </si>
  <si>
    <t>Brock Bowers</t>
  </si>
  <si>
    <t>Colston Loveland</t>
  </si>
  <si>
    <t>Tyler Warren</t>
  </si>
  <si>
    <t>Kyle Pitts Sr.</t>
  </si>
  <si>
    <t>Harold Fannin Jr.</t>
  </si>
  <si>
    <t>Tucker Kraft</t>
  </si>
  <si>
    <t>George Kittle</t>
  </si>
  <si>
    <t>Dallas Goedert</t>
  </si>
  <si>
    <t>Sam LaPorta</t>
  </si>
  <si>
    <t>Travis Kelce</t>
  </si>
  <si>
    <t>Mark Andrews</t>
  </si>
  <si>
    <t>Isaiah Likely</t>
  </si>
  <si>
    <t>Dalton Kincaid</t>
  </si>
  <si>
    <t>Jake Ferguson</t>
  </si>
  <si>
    <t>Hunter Henry</t>
  </si>
  <si>
    <t>Juwan Johnson</t>
  </si>
  <si>
    <t>Brenton Strange</t>
  </si>
  <si>
    <t>Dalton Schultz</t>
  </si>
  <si>
    <t>T.J. Hockenson</t>
  </si>
  <si>
    <t>Pat Freiermuth</t>
  </si>
  <si>
    <t>Greg Dulcich</t>
  </si>
  <si>
    <t>Kenyon Sadiq</t>
  </si>
  <si>
    <t>Terrance Ferguson</t>
  </si>
  <si>
    <t>Cade Otton</t>
  </si>
  <si>
    <t>AJ Barner</t>
  </si>
  <si>
    <t>Chig Okonkwo</t>
  </si>
  <si>
    <t>Darren Waller</t>
  </si>
  <si>
    <t>Evan Engram</t>
  </si>
  <si>
    <t>Gunnar Helm</t>
  </si>
  <si>
    <t>David Njoku</t>
  </si>
  <si>
    <t>Mike Gesicki</t>
  </si>
  <si>
    <t>Oronde Gadsden II</t>
  </si>
  <si>
    <t>Mason Taylor</t>
  </si>
  <si>
    <t>Colby Parkinson</t>
  </si>
  <si>
    <t>Michael Mayer</t>
  </si>
  <si>
    <t>Dawson Knox</t>
  </si>
  <si>
    <t>Theo Johnson</t>
  </si>
  <si>
    <t>Darnell Washington</t>
  </si>
  <si>
    <t>Tyler Higbee</t>
  </si>
  <si>
    <t>Cole Kmet</t>
  </si>
  <si>
    <t>Erick All Jr.</t>
  </si>
  <si>
    <t>Noah Fant</t>
  </si>
  <si>
    <t>Will Kacmarek</t>
  </si>
  <si>
    <t>Elijah Arroyo</t>
  </si>
  <si>
    <t>Charlie Kolar</t>
  </si>
  <si>
    <t>Austin Hooper</t>
  </si>
  <si>
    <t>Brock Wright</t>
  </si>
  <si>
    <t>Josh Oliver</t>
  </si>
  <si>
    <t>Daniel Bellinger</t>
  </si>
  <si>
    <t>Noah Gray</t>
  </si>
  <si>
    <t>Eli Stowers</t>
  </si>
  <si>
    <t>Tommy Tremble</t>
  </si>
  <si>
    <t>Adam Trautman</t>
  </si>
  <si>
    <t>Luke Musgrave</t>
  </si>
  <si>
    <t>Eli Raridon</t>
  </si>
  <si>
    <t>Marlin Klein</t>
  </si>
  <si>
    <t>Davis Allen</t>
  </si>
  <si>
    <t>Ben Sims</t>
  </si>
  <si>
    <t>Ja'Tavion Sanders</t>
  </si>
  <si>
    <t>Elijah Higgins</t>
  </si>
  <si>
    <t>John Bates</t>
  </si>
  <si>
    <t>Jake Tonges</t>
  </si>
  <si>
    <t>Jeremy Ruckert</t>
  </si>
  <si>
    <t>Nate Boerkircher</t>
  </si>
  <si>
    <t>Nick Vannett</t>
  </si>
  <si>
    <t>Drew Sample</t>
  </si>
  <si>
    <t>Cade Stover</t>
  </si>
  <si>
    <t>Nate Adkins</t>
  </si>
  <si>
    <t>Jackson Hawes</t>
  </si>
  <si>
    <t>Ben Sinnott</t>
  </si>
  <si>
    <t>Jack Endries</t>
  </si>
  <si>
    <t>Luke Schoonmaker</t>
  </si>
  <si>
    <t>Will Mallory</t>
  </si>
  <si>
    <t>Charlie Woerner</t>
  </si>
  <si>
    <t>Grant Calcaterra</t>
  </si>
  <si>
    <t>Foster Moreau</t>
  </si>
  <si>
    <t>Teagan Quitoriano</t>
  </si>
  <si>
    <t>Tanner Hudson</t>
  </si>
  <si>
    <t>Dallen Bentley</t>
  </si>
  <si>
    <t>Mo Alie-Cox</t>
  </si>
  <si>
    <t>Drake Dabney</t>
  </si>
  <si>
    <t>Durham Smythe</t>
  </si>
  <si>
    <t>Oscar Delp</t>
  </si>
  <si>
    <t>Mitchell Evans</t>
  </si>
  <si>
    <t>Max Klare</t>
  </si>
  <si>
    <t>Brevyn Spann-Ford</t>
  </si>
  <si>
    <t>Devin Culp</t>
  </si>
  <si>
    <t>Sam Roush</t>
  </si>
  <si>
    <t>Payne Durham</t>
  </si>
  <si>
    <t>Josh Cuevas</t>
  </si>
  <si>
    <t>Hunter Long</t>
  </si>
  <si>
    <t>Joe Royer</t>
  </si>
  <si>
    <t>Chris Manhertz</t>
  </si>
  <si>
    <t>Lucas Krull</t>
  </si>
  <si>
    <t>Luke Farrell</t>
  </si>
  <si>
    <t>Justin Joly</t>
  </si>
  <si>
    <t>Tanner Koziol</t>
  </si>
  <si>
    <t>CJ Dippre</t>
  </si>
  <si>
    <t>Ko Kieft</t>
  </si>
  <si>
    <t>Tyler Conklin</t>
  </si>
  <si>
    <t>Drew Ogletree</t>
  </si>
  <si>
    <t>Josh Whyle</t>
  </si>
  <si>
    <t>Eric Saubert</t>
  </si>
  <si>
    <t>Tip Reiman</t>
  </si>
  <si>
    <t>Johnny Mundt</t>
  </si>
  <si>
    <t>Ian Thomas</t>
  </si>
  <si>
    <t>Jack Stoll</t>
  </si>
  <si>
    <t>Quintin Morris</t>
  </si>
  <si>
    <t>Jelani Woods</t>
  </si>
  <si>
    <t>Blake Whiteheart</t>
  </si>
  <si>
    <t>Julian Hill</t>
  </si>
  <si>
    <t>RK</t>
  </si>
  <si>
    <t>TIERS</t>
  </si>
  <si>
    <t>PLAYER NAME</t>
  </si>
  <si>
    <t>TEAM</t>
  </si>
  <si>
    <t>POS</t>
  </si>
  <si>
    <t>BYE WEEK</t>
  </si>
  <si>
    <t xml:space="preserve">UPSIDE </t>
  </si>
  <si>
    <t xml:space="preserve">BUST </t>
  </si>
  <si>
    <t>SOS SEASON</t>
  </si>
  <si>
    <t>ECR VS. ADP</t>
  </si>
  <si>
    <t xml:space="preserve">% OVER </t>
  </si>
  <si>
    <t>Proj Missed</t>
  </si>
  <si>
    <t>5 out of 5</t>
  </si>
  <si>
    <t>1 out of 5</t>
  </si>
  <si>
    <t>5 out of 5 stars</t>
  </si>
  <si>
    <t>2 out of 5 stars</t>
  </si>
  <si>
    <t>4 out of 5 stars</t>
  </si>
  <si>
    <t>2 out of 5</t>
  </si>
  <si>
    <t>1 out of 5 stars</t>
  </si>
  <si>
    <t>3 out of 5 stars</t>
  </si>
  <si>
    <t>4 out of 5</t>
  </si>
  <si>
    <t>3 out of 5</t>
  </si>
  <si>
    <t>-</t>
  </si>
  <si>
    <t>Houston Texans</t>
  </si>
  <si>
    <t>DST1</t>
  </si>
  <si>
    <t>Denver Broncos</t>
  </si>
  <si>
    <t>DST2</t>
  </si>
  <si>
    <t>Seattle Seahawks</t>
  </si>
  <si>
    <t>DST3</t>
  </si>
  <si>
    <t>Los Angeles Rams</t>
  </si>
  <si>
    <t>DST4</t>
  </si>
  <si>
    <t>Philadelphia Eagles</t>
  </si>
  <si>
    <t>DST5</t>
  </si>
  <si>
    <t>0 out of 5 stars</t>
  </si>
  <si>
    <t>Jacksonville Jaguars</t>
  </si>
  <si>
    <t>DST6</t>
  </si>
  <si>
    <t>New England Patriots</t>
  </si>
  <si>
    <t>DST7</t>
  </si>
  <si>
    <t>Pittsburgh Steelers</t>
  </si>
  <si>
    <t>DST8</t>
  </si>
  <si>
    <t>Brandon Aubrey</t>
  </si>
  <si>
    <t>K1</t>
  </si>
  <si>
    <t>Los Angeles Chargers</t>
  </si>
  <si>
    <t>DST9</t>
  </si>
  <si>
    <t>Minnesota Vikings</t>
  </si>
  <si>
    <t>DST10</t>
  </si>
  <si>
    <t>Ka'imi Fairbairn</t>
  </si>
  <si>
    <t>K2</t>
  </si>
  <si>
    <t>Cameron Dicker</t>
  </si>
  <si>
    <t>K3</t>
  </si>
  <si>
    <t>Baltimore Ravens</t>
  </si>
  <si>
    <t>DST11</t>
  </si>
  <si>
    <t>Cam Little</t>
  </si>
  <si>
    <t>K4</t>
  </si>
  <si>
    <t>Kansas City Chiefs</t>
  </si>
  <si>
    <t>DST12</t>
  </si>
  <si>
    <t>Jason Myers</t>
  </si>
  <si>
    <t>K5</t>
  </si>
  <si>
    <t>Tyler Loop</t>
  </si>
  <si>
    <t>K6</t>
  </si>
  <si>
    <t>Green Bay Packers</t>
  </si>
  <si>
    <t>DST13</t>
  </si>
  <si>
    <t>Eddy Pineiro</t>
  </si>
  <si>
    <t>K7</t>
  </si>
  <si>
    <t>Jake Bates</t>
  </si>
  <si>
    <t>K8</t>
  </si>
  <si>
    <t>Buffalo Bills</t>
  </si>
  <si>
    <t>DST14</t>
  </si>
  <si>
    <t>Cairo Santos</t>
  </si>
  <si>
    <t>K9</t>
  </si>
  <si>
    <t>Detroit Lions</t>
  </si>
  <si>
    <t>DST15</t>
  </si>
  <si>
    <t>Harrison Mevis</t>
  </si>
  <si>
    <t>K10</t>
  </si>
  <si>
    <t>Chase McLaughlin</t>
  </si>
  <si>
    <t>K11</t>
  </si>
  <si>
    <t>Evan McPherson</t>
  </si>
  <si>
    <t>K12</t>
  </si>
  <si>
    <t>Andy Borregales</t>
  </si>
  <si>
    <t>K13</t>
  </si>
  <si>
    <t>Cleveland Browns</t>
  </si>
  <si>
    <t>DST16</t>
  </si>
  <si>
    <t>Harrison Butker</t>
  </si>
  <si>
    <t>K14</t>
  </si>
  <si>
    <t>Chris Boswell</t>
  </si>
  <si>
    <t>K15</t>
  </si>
  <si>
    <t>Wil Lutz</t>
  </si>
  <si>
    <t>K16</t>
  </si>
  <si>
    <t>Will Reichard</t>
  </si>
  <si>
    <t>K17</t>
  </si>
  <si>
    <t>San Francisco 49ers</t>
  </si>
  <si>
    <t>DST17</t>
  </si>
  <si>
    <t>WR101</t>
  </si>
  <si>
    <t>Atlanta Falcons</t>
  </si>
  <si>
    <t>DST18</t>
  </si>
  <si>
    <t>WR102</t>
  </si>
  <si>
    <t>WR103</t>
  </si>
  <si>
    <t>WR104</t>
  </si>
  <si>
    <t>New Orleans Saints</t>
  </si>
  <si>
    <t>DST19</t>
  </si>
  <si>
    <t>WR105</t>
  </si>
  <si>
    <t>WR106</t>
  </si>
  <si>
    <t>Charlie Smyth</t>
  </si>
  <si>
    <t>K18</t>
  </si>
  <si>
    <t>WR107</t>
  </si>
  <si>
    <t>Jaleel McLaughlin</t>
  </si>
  <si>
    <t>Brandon Aiyuk</t>
  </si>
  <si>
    <t>WR108</t>
  </si>
  <si>
    <t>Indianapolis Colts</t>
  </si>
  <si>
    <t>DST20</t>
  </si>
  <si>
    <t>Tyreek Hill</t>
  </si>
  <si>
    <t>FA</t>
  </si>
  <si>
    <t>WR109</t>
  </si>
  <si>
    <t>Chicago Bears</t>
  </si>
  <si>
    <t>DST21</t>
  </si>
  <si>
    <t>WR110</t>
  </si>
  <si>
    <t>Kareem Hunt</t>
  </si>
  <si>
    <t>WR111</t>
  </si>
  <si>
    <t>Joe Mixon</t>
  </si>
  <si>
    <t>WR112</t>
  </si>
  <si>
    <t>WR113</t>
  </si>
  <si>
    <t>WR114</t>
  </si>
  <si>
    <t>WR115</t>
  </si>
  <si>
    <t>Dallas Cowboys</t>
  </si>
  <si>
    <t>DST22</t>
  </si>
  <si>
    <t>WR116</t>
  </si>
  <si>
    <t>WR117</t>
  </si>
  <si>
    <t>WR118</t>
  </si>
  <si>
    <t>Chris Brazzell II</t>
  </si>
  <si>
    <t>WR119</t>
  </si>
  <si>
    <t>WR120</t>
  </si>
  <si>
    <t>WR121</t>
  </si>
  <si>
    <t>WR122</t>
  </si>
  <si>
    <t>WR123</t>
  </si>
  <si>
    <t>RB101</t>
  </si>
  <si>
    <t>WR124</t>
  </si>
  <si>
    <t>WR125</t>
  </si>
  <si>
    <t>WR126</t>
  </si>
  <si>
    <t>Carolina Panthers</t>
  </si>
  <si>
    <t>DST23</t>
  </si>
  <si>
    <t>Jake Elliott</t>
  </si>
  <si>
    <t>K19</t>
  </si>
  <si>
    <t>Eli Heidenreich</t>
  </si>
  <si>
    <t>RB102</t>
  </si>
  <si>
    <t>WR127</t>
  </si>
  <si>
    <t>Michael Carter</t>
  </si>
  <si>
    <t>RB103</t>
  </si>
  <si>
    <t>RB104</t>
  </si>
  <si>
    <t>Tyler Bass</t>
  </si>
  <si>
    <t>K20</t>
  </si>
  <si>
    <t>WR128</t>
  </si>
  <si>
    <t>WR129</t>
  </si>
  <si>
    <t>WR130</t>
  </si>
  <si>
    <t>WR131</t>
  </si>
  <si>
    <t>WR132</t>
  </si>
  <si>
    <t>New York Giants</t>
  </si>
  <si>
    <t>DST24</t>
  </si>
  <si>
    <t>Tampa Bay Buccaneers</t>
  </si>
  <si>
    <t>DST25</t>
  </si>
  <si>
    <t>RB105</t>
  </si>
  <si>
    <t>WR133</t>
  </si>
  <si>
    <t>Raheim Sanders</t>
  </si>
  <si>
    <t>RB106</t>
  </si>
  <si>
    <t>WR134</t>
  </si>
  <si>
    <t>WR135</t>
  </si>
  <si>
    <t>John Metchie III</t>
  </si>
  <si>
    <t>WR136</t>
  </si>
  <si>
    <t>Cincinnati Bengals</t>
  </si>
  <si>
    <t>DST26</t>
  </si>
  <si>
    <t>RB107</t>
  </si>
  <si>
    <t>RB108</t>
  </si>
  <si>
    <t>WR137</t>
  </si>
  <si>
    <t>J'Mari Taylor</t>
  </si>
  <si>
    <t>RB109</t>
  </si>
  <si>
    <t>WR138</t>
  </si>
  <si>
    <t>WR139</t>
  </si>
  <si>
    <t>WR140</t>
  </si>
  <si>
    <t>WR141</t>
  </si>
  <si>
    <t>Tennessee Titans</t>
  </si>
  <si>
    <t>DST27</t>
  </si>
  <si>
    <t>Austin Ekeler</t>
  </si>
  <si>
    <t>RB110</t>
  </si>
  <si>
    <t>Zane Gonzalez</t>
  </si>
  <si>
    <t>K21</t>
  </si>
  <si>
    <t>WR142</t>
  </si>
  <si>
    <t>WR143</t>
  </si>
  <si>
    <t>Trey Smack</t>
  </si>
  <si>
    <t>K22</t>
  </si>
  <si>
    <t>WR144</t>
  </si>
  <si>
    <t>RB111</t>
  </si>
  <si>
    <t>WR145</t>
  </si>
  <si>
    <t>Damien Martinez</t>
  </si>
  <si>
    <t>RB112</t>
  </si>
  <si>
    <t>WR146</t>
  </si>
  <si>
    <t>Miami Dolphins</t>
  </si>
  <si>
    <t>DST28</t>
  </si>
  <si>
    <t>RB113</t>
  </si>
  <si>
    <t>WR147</t>
  </si>
  <si>
    <t>Robert Henry Jr.</t>
  </si>
  <si>
    <t>RB114</t>
  </si>
  <si>
    <t>Sione Vaki</t>
  </si>
  <si>
    <t>RB115</t>
  </si>
  <si>
    <t>Nick Folk</t>
  </si>
  <si>
    <t>K23</t>
  </si>
  <si>
    <t>RB116</t>
  </si>
  <si>
    <t>Blake Grupe</t>
  </si>
  <si>
    <t>K24</t>
  </si>
  <si>
    <t>RB117</t>
  </si>
  <si>
    <t>Terrell Jennings</t>
  </si>
  <si>
    <t>RB118</t>
  </si>
  <si>
    <t>WR148</t>
  </si>
  <si>
    <t>Las Vegas Raiders</t>
  </si>
  <si>
    <t>DST29</t>
  </si>
  <si>
    <t>Deion Burks</t>
  </si>
  <si>
    <t>WR149</t>
  </si>
  <si>
    <t>WR150</t>
  </si>
  <si>
    <t>Tim Patrick</t>
  </si>
  <si>
    <t>WR151</t>
  </si>
  <si>
    <t>RB119</t>
  </si>
  <si>
    <t>Tyler Goodson</t>
  </si>
  <si>
    <t>RB120</t>
  </si>
  <si>
    <t>Matt Hibner</t>
  </si>
  <si>
    <t>Tommy Myers</t>
  </si>
  <si>
    <t>RB121</t>
  </si>
  <si>
    <t>RB122</t>
  </si>
  <si>
    <t>Antonio Gibson</t>
  </si>
  <si>
    <t>RB123</t>
  </si>
  <si>
    <t>QB49</t>
  </si>
  <si>
    <t>Ronnie Rivers</t>
  </si>
  <si>
    <t>RB124</t>
  </si>
  <si>
    <t>RB125</t>
  </si>
  <si>
    <t>RB126</t>
  </si>
  <si>
    <t>WR152</t>
  </si>
  <si>
    <t>Noah Whittington</t>
  </si>
  <si>
    <t>RB127</t>
  </si>
  <si>
    <t>WR153</t>
  </si>
  <si>
    <t>WR154</t>
  </si>
  <si>
    <t>RB128</t>
  </si>
  <si>
    <t>WR155</t>
  </si>
  <si>
    <t>WR156</t>
  </si>
  <si>
    <t>WR157</t>
  </si>
  <si>
    <t>WR158</t>
  </si>
  <si>
    <t>Washington Commanders</t>
  </si>
  <si>
    <t>DST30</t>
  </si>
  <si>
    <t>WR159</t>
  </si>
  <si>
    <t>New York Jets</t>
  </si>
  <si>
    <t>DST31</t>
  </si>
  <si>
    <t>Lil'Jordan Humphrey</t>
  </si>
  <si>
    <t>WR160</t>
  </si>
  <si>
    <t>QB50</t>
  </si>
  <si>
    <t>Marquez Valdes-Scantling</t>
  </si>
  <si>
    <t>WR161</t>
  </si>
  <si>
    <t>QB51</t>
  </si>
  <si>
    <t>WR162</t>
  </si>
  <si>
    <t>WR163</t>
  </si>
  <si>
    <t>Roman Hemby</t>
  </si>
  <si>
    <t>RB129</t>
  </si>
  <si>
    <t>RB130</t>
  </si>
  <si>
    <t>RB131</t>
  </si>
  <si>
    <t>RB132</t>
  </si>
  <si>
    <t>RB133</t>
  </si>
  <si>
    <t>Jaydn Ott</t>
  </si>
  <si>
    <t>RB134</t>
  </si>
  <si>
    <t>Joey Slye</t>
  </si>
  <si>
    <t>K25</t>
  </si>
  <si>
    <t>RB135</t>
  </si>
  <si>
    <t>RB136</t>
  </si>
  <si>
    <t>RB137</t>
  </si>
  <si>
    <t>RB138</t>
  </si>
  <si>
    <t>Scotty Miller</t>
  </si>
  <si>
    <t>WR164</t>
  </si>
  <si>
    <t>Jake Bobo</t>
  </si>
  <si>
    <t>WR165</t>
  </si>
  <si>
    <t>RB139</t>
  </si>
  <si>
    <t>Ben Sauls</t>
  </si>
  <si>
    <t>K26</t>
  </si>
  <si>
    <t>RB140</t>
  </si>
  <si>
    <t>WR166</t>
  </si>
  <si>
    <t>Daniel Carlson</t>
  </si>
  <si>
    <t>K27</t>
  </si>
  <si>
    <t>RB141</t>
  </si>
  <si>
    <t>RB142</t>
  </si>
  <si>
    <t>WR167</t>
  </si>
  <si>
    <t>WR168</t>
  </si>
  <si>
    <t>Brandon McManus</t>
  </si>
  <si>
    <t>K28</t>
  </si>
  <si>
    <t>K29</t>
  </si>
  <si>
    <t>K30</t>
  </si>
  <si>
    <t>RB143</t>
  </si>
  <si>
    <t>RB144</t>
  </si>
  <si>
    <t>WR169</t>
  </si>
  <si>
    <t>QB52</t>
  </si>
  <si>
    <t>Jason Sanders</t>
  </si>
  <si>
    <t>K31</t>
  </si>
  <si>
    <t>QB53</t>
  </si>
  <si>
    <t>WR170</t>
  </si>
  <si>
    <t>WR171</t>
  </si>
  <si>
    <t>WR172</t>
  </si>
  <si>
    <t>WR173</t>
  </si>
  <si>
    <t>WR174</t>
  </si>
  <si>
    <t>WR175</t>
  </si>
  <si>
    <t>WR176</t>
  </si>
  <si>
    <t>Arizona Cardinals</t>
  </si>
  <si>
    <t>DST32</t>
  </si>
  <si>
    <t>Chris Blair</t>
  </si>
  <si>
    <t>WR177</t>
  </si>
  <si>
    <t>WR178</t>
  </si>
  <si>
    <t>WR179</t>
  </si>
  <si>
    <t>WR180</t>
  </si>
  <si>
    <t>WR181</t>
  </si>
  <si>
    <t>QB54</t>
  </si>
  <si>
    <t>QB55</t>
  </si>
  <si>
    <t>QB56</t>
  </si>
  <si>
    <t>WR182</t>
  </si>
  <si>
    <t>QB57</t>
  </si>
  <si>
    <t>WR183</t>
  </si>
  <si>
    <t>Michael Trigg</t>
  </si>
  <si>
    <t>RB145</t>
  </si>
  <si>
    <t>RB146</t>
  </si>
  <si>
    <t>RB147</t>
  </si>
  <si>
    <t>RB148</t>
  </si>
  <si>
    <t>RB149</t>
  </si>
  <si>
    <t>Lew Nichols III</t>
  </si>
  <si>
    <t>RB150</t>
  </si>
  <si>
    <t>Ulysses Bentley IV</t>
  </si>
  <si>
    <t>RB151</t>
  </si>
  <si>
    <t>WR184</t>
  </si>
  <si>
    <t>WR185</t>
  </si>
  <si>
    <t>Ahmani Marshall</t>
  </si>
  <si>
    <t>RB152</t>
  </si>
  <si>
    <t>Chad Ryland</t>
  </si>
  <si>
    <t>K32</t>
  </si>
  <si>
    <t>RB153</t>
  </si>
  <si>
    <t>WR186</t>
  </si>
  <si>
    <t>Nathan Carter</t>
  </si>
  <si>
    <t>RB154</t>
  </si>
  <si>
    <t>RB155</t>
  </si>
  <si>
    <t>Ryan Fitzgerald</t>
  </si>
  <si>
    <t>RB156</t>
  </si>
  <si>
    <t>WR187</t>
  </si>
  <si>
    <t>RB157</t>
  </si>
  <si>
    <t>Spencer Shrader</t>
  </si>
  <si>
    <t>RB158</t>
  </si>
  <si>
    <t>RB159</t>
  </si>
  <si>
    <t>RB160</t>
  </si>
  <si>
    <t>Jermar Jefferson</t>
  </si>
  <si>
    <t>WR188</t>
  </si>
  <si>
    <t>WR189</t>
  </si>
  <si>
    <t>QB58</t>
  </si>
  <si>
    <t>WR190</t>
  </si>
  <si>
    <t>WR191</t>
  </si>
  <si>
    <t>QB59</t>
  </si>
  <si>
    <t>WR192</t>
  </si>
  <si>
    <t>WR193</t>
  </si>
  <si>
    <t>J. Michael Sturdivant</t>
  </si>
  <si>
    <t>WR194</t>
  </si>
  <si>
    <t>QB60</t>
  </si>
  <si>
    <t>WR195</t>
  </si>
  <si>
    <t>WR196</t>
  </si>
  <si>
    <t>WR197</t>
  </si>
  <si>
    <t>WR198</t>
  </si>
  <si>
    <t>QB61</t>
  </si>
  <si>
    <t>WR199</t>
  </si>
  <si>
    <t>WR200</t>
  </si>
  <si>
    <t>WR201</t>
  </si>
  <si>
    <t>WR202</t>
  </si>
  <si>
    <t>WR203</t>
  </si>
  <si>
    <t>WR204</t>
  </si>
  <si>
    <t>WR205</t>
  </si>
  <si>
    <t>WR206</t>
  </si>
  <si>
    <t>WR207</t>
  </si>
  <si>
    <t>WR208</t>
  </si>
  <si>
    <t>Taylen Green</t>
  </si>
  <si>
    <t>QB62</t>
  </si>
  <si>
    <t>WR209</t>
  </si>
  <si>
    <t>TE101</t>
  </si>
  <si>
    <t>WR210</t>
  </si>
  <si>
    <t>WR211</t>
  </si>
  <si>
    <t>WR212</t>
  </si>
  <si>
    <t>Cooper Rush</t>
  </si>
  <si>
    <t>QB63</t>
  </si>
  <si>
    <t>WR213</t>
  </si>
  <si>
    <t>WR214</t>
  </si>
  <si>
    <t>QB64</t>
  </si>
  <si>
    <t>QB65</t>
  </si>
  <si>
    <t>QB66</t>
  </si>
  <si>
    <t>QB67</t>
  </si>
  <si>
    <t>TE102</t>
  </si>
  <si>
    <t>TE103</t>
  </si>
  <si>
    <t>Seydou Traore</t>
  </si>
  <si>
    <t>TE104</t>
  </si>
  <si>
    <t>Thomas Fidone II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</si>
  <si>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</si>
  <si>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</si>
  <si>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</si>
  <si>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</si>
  <si>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</si>
  <si>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</si>
  <si>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</si>
  <si>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</si>
  <si>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</si>
  <si>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Hayden Rucci</t>
  </si>
  <si>
    <t>Jack Velling</t>
  </si>
  <si>
    <t>Jamal Haynes</t>
  </si>
  <si>
    <t>Dean Connors</t>
  </si>
  <si>
    <t>CJ Donaldson</t>
  </si>
  <si>
    <t>Zaire Mitchell-Paden</t>
  </si>
  <si>
    <t>Chip Trayanum</t>
  </si>
  <si>
    <t>Kendrick Law</t>
  </si>
  <si>
    <t>Dae'Quan Wright</t>
  </si>
  <si>
    <t>Kentrel Bullock</t>
  </si>
  <si>
    <t>Terion Stewart</t>
  </si>
  <si>
    <t>Desmond Reid</t>
  </si>
  <si>
    <t>Jeff Caldwell</t>
  </si>
  <si>
    <t>Tyren Montgomery</t>
  </si>
  <si>
    <t>Noah Thomas</t>
  </si>
  <si>
    <t>Eric Rivers Jr.</t>
  </si>
  <si>
    <t>Dane Key</t>
  </si>
  <si>
    <t>Harrison Wallace III</t>
  </si>
  <si>
    <t>Position</t>
  </si>
  <si>
    <t>Projected Games Adjustment</t>
  </si>
  <si>
    <t>QB68</t>
  </si>
  <si>
    <t>QB69</t>
  </si>
  <si>
    <t>QB70</t>
  </si>
  <si>
    <t>QB71</t>
  </si>
  <si>
    <t>QB72</t>
  </si>
  <si>
    <t>QB73</t>
  </si>
  <si>
    <t>QB74</t>
  </si>
  <si>
    <t>QB75</t>
  </si>
  <si>
    <t>Brendan Sorsby</t>
  </si>
  <si>
    <t>Diego Pavia</t>
  </si>
  <si>
    <t>Aaron Anderson</t>
  </si>
  <si>
    <t>Eric McAlister</t>
  </si>
  <si>
    <t>TJ Harden</t>
  </si>
  <si>
    <t>John Michael Gyllenborg</t>
  </si>
  <si>
    <t>Luke Altmyer</t>
  </si>
  <si>
    <t>Joe Fagnano</t>
  </si>
  <si>
    <t>Rahsul Faison</t>
  </si>
  <si>
    <t>Trebor Pena</t>
  </si>
  <si>
    <t>Haynes King</t>
  </si>
  <si>
    <t>Miller Moss</t>
  </si>
  <si>
    <t>Joey Aguilar</t>
  </si>
  <si>
    <t>Sawyer Robertson</t>
  </si>
  <si>
    <t>Jalon Daniels</t>
  </si>
  <si>
    <t>Chase Roberts</t>
  </si>
  <si>
    <t>Rueben Owens II</t>
  </si>
  <si>
    <t xml:space="preserve">Baselines: </t>
  </si>
  <si>
    <t>Est. Total Saved (Auction Keepers)</t>
  </si>
  <si>
    <t>RB Tier</t>
  </si>
  <si>
    <t>QB</t>
  </si>
  <si>
    <t>QBTier</t>
  </si>
  <si>
    <t>WRTier</t>
  </si>
  <si>
    <t>TETier</t>
  </si>
  <si>
    <t>WRRank</t>
  </si>
  <si>
    <t>RBRank</t>
  </si>
  <si>
    <t>QBRank</t>
  </si>
  <si>
    <t>TERank</t>
  </si>
  <si>
    <t>QBPts</t>
  </si>
  <si>
    <t>RBPts</t>
  </si>
  <si>
    <t>WRPts</t>
  </si>
  <si>
    <t>TEPts</t>
  </si>
  <si>
    <t>Pts</t>
  </si>
  <si>
    <t>Snake OR Auction</t>
  </si>
  <si>
    <r>
      <t>In the Yellow Cell (Dropdown) Change from</t>
    </r>
    <r>
      <rPr>
        <b/>
        <u/>
        <sz val="16"/>
        <color rgb="FFFF0000"/>
        <rFont val="Aptos Narrow"/>
        <family val="2"/>
      </rPr>
      <t xml:space="preserve"> SNAKE</t>
    </r>
    <r>
      <rPr>
        <b/>
        <sz val="16"/>
        <color rgb="FFFF0000"/>
        <rFont val="Aptos Narrow"/>
        <family val="2"/>
        <charset val="1"/>
      </rPr>
      <t xml:space="preserve"> to</t>
    </r>
    <r>
      <rPr>
        <b/>
        <u/>
        <sz val="16"/>
        <color rgb="FFFF0000"/>
        <rFont val="Aptos Narrow"/>
        <family val="2"/>
      </rPr>
      <t xml:space="preserve"> AUCTION</t>
    </r>
    <r>
      <rPr>
        <b/>
        <sz val="16"/>
        <color rgb="FFFF0000"/>
        <rFont val="Aptos Narrow"/>
        <family val="2"/>
        <charset val="1"/>
      </rPr>
      <t xml:space="preserve"> if you want </t>
    </r>
    <r>
      <rPr>
        <b/>
        <u/>
        <sz val="16"/>
        <color rgb="FFFF0000"/>
        <rFont val="Aptos Narrow"/>
        <family val="2"/>
      </rPr>
      <t>AUCTION Values</t>
    </r>
    <r>
      <rPr>
        <b/>
        <sz val="16"/>
        <color rgb="FFFF0000"/>
        <rFont val="Aptos Narrow"/>
        <family val="2"/>
        <charset val="1"/>
      </rPr>
      <t xml:space="preserve">. </t>
    </r>
  </si>
  <si>
    <t>Israel Abanikanda</t>
  </si>
  <si>
    <t>Carlos Washington Jr.</t>
  </si>
  <si>
    <t>Deuce Vaughn</t>
  </si>
  <si>
    <t>Theo Wease Jr.</t>
  </si>
  <si>
    <t>Jonnu Smith</t>
  </si>
  <si>
    <t>Bauer Sharp</t>
  </si>
  <si>
    <t>Cam Grandy</t>
  </si>
  <si>
    <t>Tanner Conner</t>
  </si>
  <si>
    <t>Jared Wiley</t>
  </si>
  <si>
    <t>Cole Turner</t>
  </si>
  <si>
    <t>Drew Stevens</t>
  </si>
  <si>
    <t>Zach Ertz</t>
  </si>
  <si>
    <t>Lan Larison</t>
  </si>
  <si>
    <t>Jaret Patterson</t>
  </si>
  <si>
    <t>Xavier Restrepo</t>
  </si>
  <si>
    <t>Khalil Herbert</t>
  </si>
  <si>
    <t>Van Jefferson</t>
  </si>
  <si>
    <t>Elijah Moore</t>
  </si>
  <si>
    <t>Cedrick Wilson Jr.</t>
  </si>
  <si>
    <t>David Sills V</t>
  </si>
  <si>
    <t>DeAndre Hopkins</t>
  </si>
  <si>
    <t>Velus Jones Jr.</t>
  </si>
  <si>
    <t>Tyler Lockett</t>
  </si>
  <si>
    <t>Cash Jones</t>
  </si>
  <si>
    <t>Kevin Austin Jr.</t>
  </si>
  <si>
    <t>K33</t>
  </si>
  <si>
    <t>Jared Wayne</t>
  </si>
  <si>
    <t>Travis Homer</t>
  </si>
  <si>
    <t>Sincere McCormick</t>
  </si>
  <si>
    <t>Casey Washington</t>
  </si>
  <si>
    <t>Cody White</t>
  </si>
  <si>
    <t>Jordan Watkins</t>
  </si>
  <si>
    <t>Coleman Owen</t>
  </si>
  <si>
    <t>Moliki Matavao</t>
  </si>
  <si>
    <t>Eric Gray</t>
  </si>
  <si>
    <t>Jaheim Bell</t>
  </si>
  <si>
    <t>Albert Okwuegbunam Jr.</t>
  </si>
  <si>
    <t>Corey Kiner</t>
  </si>
  <si>
    <t>Miles Sanders</t>
  </si>
  <si>
    <t>Alexander Mattison</t>
  </si>
  <si>
    <t>Khalil Dinkins</t>
  </si>
  <si>
    <t>Andre Szmyt</t>
  </si>
  <si>
    <t>K34</t>
  </si>
  <si>
    <t>Dohnte Meyers</t>
  </si>
  <si>
    <t>Stone Smartt</t>
  </si>
  <si>
    <t>Joel Wilson</t>
  </si>
  <si>
    <t>Jake Moody</t>
  </si>
  <si>
    <t>K35</t>
  </si>
  <si>
    <t>Dominic Zvada</t>
  </si>
  <si>
    <t>K36</t>
  </si>
  <si>
    <t>JaMycal Hasty</t>
  </si>
  <si>
    <t>Kalel Mullings</t>
  </si>
  <si>
    <t>Brevin Jordan</t>
  </si>
  <si>
    <t>Carsen Ryan</t>
  </si>
  <si>
    <t>Joshua Simon</t>
  </si>
  <si>
    <t>TE114</t>
  </si>
  <si>
    <t>Ty Pezza</t>
  </si>
  <si>
    <t>TE115</t>
  </si>
  <si>
    <t>Craig Reynolds</t>
  </si>
  <si>
    <t>TE116</t>
  </si>
  <si>
    <t>Gavin Bartholomew</t>
  </si>
  <si>
    <t>TE117</t>
  </si>
  <si>
    <t>Jake Briningstool</t>
  </si>
  <si>
    <t>TE118</t>
  </si>
  <si>
    <t>Isaiah Hodgins</t>
  </si>
  <si>
    <t>Kylen Granson</t>
  </si>
  <si>
    <t>TE119</t>
  </si>
  <si>
    <t>TE120</t>
  </si>
  <si>
    <t>Ben Yurosek</t>
  </si>
  <si>
    <t>TE121</t>
  </si>
  <si>
    <t>Jabari Small</t>
  </si>
  <si>
    <t>Hassan Haskins</t>
  </si>
  <si>
    <t>TE122</t>
  </si>
  <si>
    <t>Michael Woods II</t>
  </si>
  <si>
    <t>Michael Wortham</t>
  </si>
  <si>
    <t>TE123</t>
  </si>
  <si>
    <t>TE124</t>
  </si>
  <si>
    <t>TE125</t>
  </si>
  <si>
    <t>Bryson Nesbit</t>
  </si>
  <si>
    <t>TE126</t>
  </si>
  <si>
    <t>TE127</t>
  </si>
  <si>
    <t>Ray-Ray McCloud III</t>
  </si>
  <si>
    <t>Ameer Abdullah</t>
  </si>
  <si>
    <t>Tyler Johnson</t>
  </si>
  <si>
    <t>Ronnie Bell</t>
  </si>
  <si>
    <t>Mecole Hardman Jr.</t>
  </si>
  <si>
    <t>TE128</t>
  </si>
  <si>
    <t>WR215</t>
  </si>
  <si>
    <t>WR216</t>
  </si>
  <si>
    <t>Tahj Washington</t>
  </si>
  <si>
    <t>WR217</t>
  </si>
  <si>
    <t>Sterling Shepard</t>
  </si>
  <si>
    <t>WR218</t>
  </si>
  <si>
    <t>RB161</t>
  </si>
  <si>
    <t>TE129</t>
  </si>
  <si>
    <t>Miles Davis</t>
  </si>
  <si>
    <t>RB162</t>
  </si>
  <si>
    <t>Brayden Willis</t>
  </si>
  <si>
    <t>TE130</t>
  </si>
  <si>
    <t>RB163</t>
  </si>
  <si>
    <t>WR219</t>
  </si>
  <si>
    <t>TE131</t>
  </si>
  <si>
    <t>TE132</t>
  </si>
  <si>
    <t>WR220</t>
  </si>
  <si>
    <t>Colson Yankoff</t>
  </si>
  <si>
    <t>TE133</t>
  </si>
  <si>
    <t>WR221</t>
  </si>
  <si>
    <t>TE134</t>
  </si>
  <si>
    <t>WR222</t>
  </si>
  <si>
    <t>Kendric Pryor</t>
  </si>
  <si>
    <t>WR223</t>
  </si>
  <si>
    <t>RB164</t>
  </si>
  <si>
    <t>TE135</t>
  </si>
  <si>
    <t>RB165</t>
  </si>
  <si>
    <t>TE136</t>
  </si>
  <si>
    <t>WR224</t>
  </si>
  <si>
    <t>WR225</t>
  </si>
  <si>
    <t>TE137</t>
  </si>
  <si>
    <t>TE138</t>
  </si>
  <si>
    <t>TE139</t>
  </si>
  <si>
    <t>Terrace Marshall Jr.</t>
  </si>
  <si>
    <t>WR226</t>
  </si>
  <si>
    <t>K.J. Osborn</t>
  </si>
  <si>
    <t>WR227</t>
  </si>
  <si>
    <t>Riley Patterson</t>
  </si>
  <si>
    <t>K37</t>
  </si>
  <si>
    <t>Dominic Lovett</t>
  </si>
  <si>
    <t>WR228</t>
  </si>
  <si>
    <t>TE140</t>
  </si>
  <si>
    <t>WR229</t>
  </si>
  <si>
    <t>K38</t>
  </si>
  <si>
    <t>WR230</t>
  </si>
  <si>
    <t>Dalevon Campbell</t>
  </si>
  <si>
    <t>WR231</t>
  </si>
  <si>
    <t>David Martin-Robinson</t>
  </si>
  <si>
    <t>TE141</t>
  </si>
  <si>
    <t>WR232</t>
  </si>
  <si>
    <t>RB166</t>
  </si>
  <si>
    <t>Princeton Fant</t>
  </si>
  <si>
    <t>TE142</t>
  </si>
  <si>
    <t>Xavier Weaver</t>
  </si>
  <si>
    <t>WR233</t>
  </si>
  <si>
    <t>Zay Jones</t>
  </si>
  <si>
    <t>WR234</t>
  </si>
  <si>
    <t>TE143</t>
  </si>
  <si>
    <t>TE144</t>
  </si>
  <si>
    <t>Jack Westover</t>
  </si>
  <si>
    <t>TE145</t>
  </si>
  <si>
    <t>Shedrick Jackson</t>
  </si>
  <si>
    <t>WR235</t>
  </si>
  <si>
    <t>Deven Thompkins</t>
  </si>
  <si>
    <t>WR236</t>
  </si>
  <si>
    <t>Cameron Latu</t>
  </si>
  <si>
    <t>TE146</t>
  </si>
  <si>
    <t>RB167</t>
  </si>
  <si>
    <t>Chris Moore</t>
  </si>
  <si>
    <t>WR237</t>
  </si>
  <si>
    <t>TE147</t>
  </si>
  <si>
    <t>Tanner Arkin</t>
  </si>
  <si>
    <t>TE148</t>
  </si>
  <si>
    <t>Gunner Olszewski</t>
  </si>
  <si>
    <t>WR238</t>
  </si>
  <si>
    <t>RB168</t>
  </si>
  <si>
    <t>Zach Horton</t>
  </si>
  <si>
    <t>TE149</t>
  </si>
  <si>
    <t>TE150</t>
  </si>
  <si>
    <t>Tylan Wallace</t>
  </si>
  <si>
    <t>WR239</t>
  </si>
  <si>
    <t>WR240</t>
  </si>
  <si>
    <t>Lake McRee</t>
  </si>
  <si>
    <t>TE151</t>
  </si>
  <si>
    <t>Tay Martin</t>
  </si>
  <si>
    <t>WR241</t>
  </si>
  <si>
    <t>Tre Watson</t>
  </si>
  <si>
    <t>TE152</t>
  </si>
  <si>
    <t>James Mitchell</t>
  </si>
  <si>
    <t>TE153</t>
  </si>
  <si>
    <t>WR242</t>
  </si>
  <si>
    <t>E.J. Jenkins</t>
  </si>
  <si>
    <t>TE154</t>
  </si>
  <si>
    <t>TE155</t>
  </si>
  <si>
    <t>RB169</t>
  </si>
  <si>
    <t>Thomas Gordon</t>
  </si>
  <si>
    <t>TE156</t>
  </si>
  <si>
    <t>Tom Kennedy</t>
  </si>
  <si>
    <t>WR243</t>
  </si>
  <si>
    <t>DJ Rogers</t>
  </si>
  <si>
    <t>TE157</t>
  </si>
  <si>
    <t>Dylan Drummond</t>
  </si>
  <si>
    <t>WR244</t>
  </si>
  <si>
    <t>Ryan Miller</t>
  </si>
  <si>
    <t>WR245</t>
  </si>
  <si>
    <t>Noah Brown</t>
  </si>
  <si>
    <t>WR246</t>
  </si>
  <si>
    <t>Jamari Thrash</t>
  </si>
  <si>
    <t>WR247</t>
  </si>
  <si>
    <t>Quentin Moore</t>
  </si>
  <si>
    <t>TE158</t>
  </si>
  <si>
    <t>KhaDarel Hodge</t>
  </si>
  <si>
    <t>WR248</t>
  </si>
  <si>
    <t>Nick Kallerup</t>
  </si>
  <si>
    <t>TE159</t>
  </si>
  <si>
    <t>Pierre Strong Jr.</t>
  </si>
  <si>
    <t>RB170</t>
  </si>
  <si>
    <t>Austin Trammell</t>
  </si>
  <si>
    <t>WR249</t>
  </si>
  <si>
    <t>Jalin Hyatt</t>
  </si>
  <si>
    <t>WR250</t>
  </si>
  <si>
    <t>Curtis Samuel</t>
  </si>
  <si>
    <t>WR251</t>
  </si>
  <si>
    <t>TE160</t>
  </si>
  <si>
    <t>Patrick Herbert</t>
  </si>
  <si>
    <t>TE161</t>
  </si>
  <si>
    <t>Joshua Cephus</t>
  </si>
  <si>
    <t>WR252</t>
  </si>
  <si>
    <t>Deontay Burnett</t>
  </si>
  <si>
    <t>WR253</t>
  </si>
  <si>
    <t>Carson Towt</t>
  </si>
  <si>
    <t>TE162</t>
  </si>
  <si>
    <t>Shane Zylstra</t>
  </si>
  <si>
    <t>TE163</t>
  </si>
  <si>
    <t>TE164</t>
  </si>
  <si>
    <t>RB171</t>
  </si>
  <si>
    <t>Samori Toure</t>
  </si>
  <si>
    <t>WR254</t>
  </si>
  <si>
    <t>Messiah Swinson</t>
  </si>
  <si>
    <t>TE165</t>
  </si>
  <si>
    <t>Jordan Waters</t>
  </si>
  <si>
    <t>RB172</t>
  </si>
  <si>
    <t>Carter Runyon</t>
  </si>
  <si>
    <t>TE166</t>
  </si>
  <si>
    <t>Xavier Gipson</t>
  </si>
  <si>
    <t>WR255</t>
  </si>
  <si>
    <t>Treyton Welch</t>
  </si>
  <si>
    <t>TE167</t>
  </si>
  <si>
    <t>Jameson Geers</t>
  </si>
  <si>
    <t>TE168</t>
  </si>
  <si>
    <t>Brittain Brown</t>
  </si>
  <si>
    <t>RB173</t>
  </si>
  <si>
    <t>Keleki Latu</t>
  </si>
  <si>
    <t>TE169</t>
  </si>
  <si>
    <t>RB174</t>
  </si>
  <si>
    <t>Patrick Taylor Jr.</t>
  </si>
  <si>
    <t>RB175</t>
  </si>
  <si>
    <t>Miles Kitselman</t>
  </si>
  <si>
    <t>TE170</t>
  </si>
  <si>
    <t>Bryce Oliver</t>
  </si>
  <si>
    <t>WR256</t>
  </si>
  <si>
    <t>Tim Jones</t>
  </si>
  <si>
    <t>WR257</t>
  </si>
  <si>
    <t>TE171</t>
  </si>
  <si>
    <t>Gary Brightwell</t>
  </si>
  <si>
    <t>RB176</t>
  </si>
  <si>
    <t>Simi Fehoko</t>
  </si>
  <si>
    <t>WR258</t>
  </si>
  <si>
    <t>Jaren Kanak</t>
  </si>
  <si>
    <t>TE172</t>
  </si>
  <si>
    <t>RB177</t>
  </si>
  <si>
    <t>Jason Brownlee</t>
  </si>
  <si>
    <t>WR259</t>
  </si>
  <si>
    <t>TE173</t>
  </si>
  <si>
    <t>RB178</t>
  </si>
  <si>
    <t>Beaux Collins</t>
  </si>
  <si>
    <t>WR260</t>
  </si>
  <si>
    <t>Evan Svoboda</t>
  </si>
  <si>
    <t>TE174</t>
  </si>
  <si>
    <t>Alex Bachman</t>
  </si>
  <si>
    <t>WR261</t>
  </si>
  <si>
    <t>TE175</t>
  </si>
  <si>
    <t>Trent Sherfield Sr.</t>
  </si>
  <si>
    <t>WR262</t>
  </si>
  <si>
    <t>TE176</t>
  </si>
  <si>
    <t>TE177</t>
  </si>
  <si>
    <t>Sean McKeon</t>
  </si>
  <si>
    <t>TE178</t>
  </si>
  <si>
    <t>Jimmy Holiday</t>
  </si>
  <si>
    <t>WR263</t>
  </si>
  <si>
    <t>TE179</t>
  </si>
  <si>
    <t>Tejhaun Palmer</t>
  </si>
  <si>
    <t>WR264</t>
  </si>
  <si>
    <t>Dalen Cambre</t>
  </si>
  <si>
    <t>WR265</t>
  </si>
  <si>
    <t>Cody Schrader</t>
  </si>
  <si>
    <t>RB179</t>
  </si>
  <si>
    <t>Hayden Large</t>
  </si>
  <si>
    <t>TE180</t>
  </si>
  <si>
    <t>TE181</t>
  </si>
  <si>
    <t>Zamir White</t>
  </si>
  <si>
    <t>RB180</t>
  </si>
  <si>
    <t>WR266</t>
  </si>
  <si>
    <t>RJ Maryland</t>
  </si>
  <si>
    <t>TE182</t>
  </si>
  <si>
    <t>RB181</t>
  </si>
  <si>
    <t>Nikola Kalinic</t>
  </si>
  <si>
    <t>TE183</t>
  </si>
  <si>
    <t>WR267</t>
  </si>
  <si>
    <t>TE184</t>
  </si>
  <si>
    <t>Dillon Gabriel</t>
  </si>
  <si>
    <t>TE185</t>
  </si>
  <si>
    <t>Davon Booth</t>
  </si>
  <si>
    <t>RB182</t>
  </si>
  <si>
    <t>Carson Wentz</t>
  </si>
  <si>
    <t>QB76</t>
  </si>
  <si>
    <t>QB77</t>
  </si>
  <si>
    <t>Kurtis Rourke</t>
  </si>
  <si>
    <t>QB78</t>
  </si>
  <si>
    <t>Sam Ehlinger</t>
  </si>
  <si>
    <t>QB79</t>
  </si>
  <si>
    <t>QB80</t>
  </si>
  <si>
    <t>Athan Kaliakmanis</t>
  </si>
  <si>
    <t>QB81</t>
  </si>
  <si>
    <t>QB82</t>
  </si>
  <si>
    <t>QB83</t>
  </si>
  <si>
    <t>QB84</t>
  </si>
  <si>
    <t>Myles Montgomery</t>
  </si>
  <si>
    <t>RB183</t>
  </si>
  <si>
    <t>Jack Strand</t>
  </si>
  <si>
    <t>QB85</t>
  </si>
  <si>
    <t>QB86</t>
  </si>
  <si>
    <t>Dominic Richardson</t>
  </si>
  <si>
    <t>RB184</t>
  </si>
  <si>
    <t>Julius Chestnut</t>
  </si>
  <si>
    <t>RB185</t>
  </si>
  <si>
    <t>QB87</t>
  </si>
  <si>
    <t>Zach Wilson</t>
  </si>
  <si>
    <t>QB88</t>
  </si>
  <si>
    <t>QB89</t>
  </si>
  <si>
    <t>Carson Steele</t>
  </si>
  <si>
    <t>RB186</t>
  </si>
  <si>
    <t>Coleman Bennett</t>
  </si>
  <si>
    <t>RB187</t>
  </si>
  <si>
    <t>RB188</t>
  </si>
  <si>
    <t>Jacardia Wright</t>
  </si>
  <si>
    <t>RB189</t>
  </si>
  <si>
    <t>Kendall Milton</t>
  </si>
  <si>
    <t>RB190</t>
  </si>
  <si>
    <t>Kyle McCord</t>
  </si>
  <si>
    <t>QB90</t>
  </si>
  <si>
    <t>QB91</t>
  </si>
  <si>
    <t>Brandon Allen</t>
  </si>
  <si>
    <t>QB92</t>
  </si>
  <si>
    <t>Sam Hartman</t>
  </si>
  <si>
    <t>QB93</t>
  </si>
  <si>
    <t>QB94</t>
  </si>
  <si>
    <t>EJ Smith</t>
  </si>
  <si>
    <t>RB191</t>
  </si>
  <si>
    <t>QB95</t>
  </si>
  <si>
    <t>Case Keenum</t>
  </si>
  <si>
    <t>QB96</t>
  </si>
  <si>
    <t>QB97</t>
  </si>
  <si>
    <t>Evan Hull</t>
  </si>
  <si>
    <t>RB192</t>
  </si>
  <si>
    <t>Dante Miller</t>
  </si>
  <si>
    <t>RB193</t>
  </si>
  <si>
    <t>RB194</t>
  </si>
  <si>
    <t>RB195</t>
  </si>
  <si>
    <t>JuJu Smith-Schuster</t>
  </si>
  <si>
    <t>WR268</t>
  </si>
  <si>
    <t>Kenny McIntosh</t>
  </si>
  <si>
    <t>RB196</t>
  </si>
  <si>
    <t>Josiah Deguara</t>
  </si>
  <si>
    <t>TE186</t>
  </si>
  <si>
    <t>Montorie Foster Jr.</t>
  </si>
  <si>
    <t>WR269</t>
  </si>
  <si>
    <t>TE187</t>
  </si>
  <si>
    <t>Michael Briscoe</t>
  </si>
  <si>
    <t>WR270</t>
  </si>
  <si>
    <t>Pharaoh Brown</t>
  </si>
  <si>
    <t>TE188</t>
  </si>
  <si>
    <t>Raheem Blackshear</t>
  </si>
  <si>
    <t>RB197</t>
  </si>
  <si>
    <t>Raheem Mostert</t>
  </si>
  <si>
    <t>RB198</t>
  </si>
  <si>
    <t>TE189</t>
  </si>
  <si>
    <t>RB199</t>
  </si>
  <si>
    <t>RB200</t>
  </si>
  <si>
    <t>Stephen Carlson</t>
  </si>
  <si>
    <t>TE190</t>
  </si>
  <si>
    <t>Chris Myarick</t>
  </si>
  <si>
    <t>TE191</t>
  </si>
  <si>
    <t>Cam Akers</t>
  </si>
  <si>
    <t>RB201</t>
  </si>
  <si>
    <t>RB202</t>
  </si>
  <si>
    <t>RB203</t>
  </si>
  <si>
    <t>Mark Redman</t>
  </si>
  <si>
    <t>TE192</t>
  </si>
  <si>
    <t>Dan Villari</t>
  </si>
  <si>
    <t>TE193</t>
  </si>
  <si>
    <t>WR271</t>
  </si>
  <si>
    <t>TE194</t>
  </si>
  <si>
    <t>TE195</t>
  </si>
  <si>
    <t>Amar Johnson</t>
  </si>
  <si>
    <t>RB204</t>
  </si>
  <si>
    <t>Gus Edwards</t>
  </si>
  <si>
    <t>RB205</t>
  </si>
  <si>
    <t>Zack Moss</t>
  </si>
  <si>
    <t>RB206</t>
  </si>
  <si>
    <t>TE196</t>
  </si>
  <si>
    <t>Jeff Wilson Jr.</t>
  </si>
  <si>
    <t>RB207</t>
  </si>
  <si>
    <t>RB208</t>
  </si>
  <si>
    <t>Caleb Lohner</t>
  </si>
  <si>
    <t>TE197</t>
  </si>
  <si>
    <t>Vinny Anthony II</t>
  </si>
  <si>
    <t>WR272</t>
  </si>
  <si>
    <t>Ricky White III</t>
  </si>
  <si>
    <t>WR273</t>
  </si>
  <si>
    <t>Royce Freeman</t>
  </si>
  <si>
    <t>RB209</t>
  </si>
  <si>
    <t>D'Onta Foreman</t>
  </si>
  <si>
    <t>RB210</t>
  </si>
  <si>
    <t>Dare Ogunbowale</t>
  </si>
  <si>
    <t>RB211</t>
  </si>
  <si>
    <t>Jashaun Corbin</t>
  </si>
  <si>
    <t>RB212</t>
  </si>
  <si>
    <t>Emmanuel Henderson Jr.</t>
  </si>
  <si>
    <t>WR274</t>
  </si>
  <si>
    <t>RB213</t>
  </si>
  <si>
    <t>Gregory Desrosiers</t>
  </si>
  <si>
    <t>RB214</t>
  </si>
  <si>
    <t>Clyde Edwards-Helaire</t>
  </si>
  <si>
    <t>RB215</t>
  </si>
  <si>
    <t>Darrynton Evans</t>
  </si>
  <si>
    <t>RB216</t>
  </si>
  <si>
    <t>Myles Gaskin</t>
  </si>
  <si>
    <t>RB217</t>
  </si>
  <si>
    <t>Tyrion Davis-Price</t>
  </si>
  <si>
    <t>RB218</t>
  </si>
  <si>
    <t>WR275</t>
  </si>
  <si>
    <t>D'Ernest Johnson</t>
  </si>
  <si>
    <t>RB219</t>
  </si>
  <si>
    <t>WR276</t>
  </si>
  <si>
    <t>Lucas Scott</t>
  </si>
  <si>
    <t>RB220</t>
  </si>
  <si>
    <t>Camden Brown</t>
  </si>
  <si>
    <t>WR277</t>
  </si>
  <si>
    <t>RB221</t>
  </si>
  <si>
    <t>RB222</t>
  </si>
  <si>
    <t>WR278</t>
  </si>
  <si>
    <t>Andrew Armstrong</t>
  </si>
  <si>
    <t>WR279</t>
  </si>
  <si>
    <t>WR280</t>
  </si>
  <si>
    <t>WR281</t>
  </si>
  <si>
    <t>WR282</t>
  </si>
  <si>
    <t>WR283</t>
  </si>
  <si>
    <t>WR284</t>
  </si>
  <si>
    <t>WR285</t>
  </si>
  <si>
    <t>WR286</t>
  </si>
  <si>
    <t>Quez Watkins</t>
  </si>
  <si>
    <t>WR287</t>
  </si>
  <si>
    <t>WR288</t>
  </si>
  <si>
    <t>Kaden Prather</t>
  </si>
  <si>
    <t>WR289</t>
  </si>
  <si>
    <t>WR290</t>
  </si>
  <si>
    <t>Brandon Smith</t>
  </si>
  <si>
    <t>WR291</t>
  </si>
  <si>
    <t>Tru Edwards</t>
  </si>
  <si>
    <t>WR292</t>
  </si>
  <si>
    <t>Anthony Smith</t>
  </si>
  <si>
    <t>WR293</t>
  </si>
  <si>
    <t>WR294</t>
  </si>
  <si>
    <t>WR295</t>
  </si>
  <si>
    <t>WR296</t>
  </si>
  <si>
    <t>WR297</t>
  </si>
  <si>
    <t>Nick Nash</t>
  </si>
  <si>
    <t>WR298</t>
  </si>
  <si>
    <t>WR299</t>
  </si>
  <si>
    <t>WR300</t>
  </si>
  <si>
    <t>WR301</t>
  </si>
  <si>
    <t>WR302</t>
  </si>
  <si>
    <t>WR303</t>
  </si>
  <si>
    <t>WR304</t>
  </si>
  <si>
    <t>WR305</t>
  </si>
  <si>
    <t>WR306</t>
  </si>
  <si>
    <t>WR307</t>
  </si>
  <si>
    <t>WR308</t>
  </si>
  <si>
    <t>WR309</t>
  </si>
  <si>
    <t>WR310</t>
  </si>
  <si>
    <t>WR311</t>
  </si>
  <si>
    <t>Brandon Johnson</t>
  </si>
  <si>
    <t>WR312</t>
  </si>
  <si>
    <t>AJ Henning</t>
  </si>
  <si>
    <t>WR313</t>
  </si>
  <si>
    <t>WR314</t>
  </si>
  <si>
    <t>WR315</t>
  </si>
  <si>
    <t>Dontae Fleming</t>
  </si>
  <si>
    <t>WR316</t>
  </si>
  <si>
    <t>WR317</t>
  </si>
  <si>
    <t>Dillon Bell</t>
  </si>
  <si>
    <t>WR318</t>
  </si>
  <si>
    <t>Danny Gray</t>
  </si>
  <si>
    <t>WR319</t>
  </si>
  <si>
    <t>WR320</t>
  </si>
  <si>
    <t>WR321</t>
  </si>
  <si>
    <t>WR322</t>
  </si>
  <si>
    <t>WR323</t>
  </si>
  <si>
    <t>WR324</t>
  </si>
  <si>
    <t>Trey Palmer</t>
  </si>
  <si>
    <t>WR325</t>
  </si>
  <si>
    <t>WR326</t>
  </si>
  <si>
    <t>Jackson Meeks</t>
  </si>
  <si>
    <t>Trenton Irwin</t>
  </si>
  <si>
    <t>Brandin Cooks</t>
  </si>
  <si>
    <t>Updated:</t>
  </si>
  <si>
    <t>Diontae Johnson</t>
  </si>
  <si>
    <t>Will Dissly</t>
  </si>
  <si>
    <t>Ja'Quinden Jackson</t>
  </si>
  <si>
    <t>TE198</t>
  </si>
  <si>
    <t>RB223</t>
  </si>
  <si>
    <t>Snake</t>
  </si>
  <si>
    <t>Trey Sermon</t>
  </si>
  <si>
    <t>Kaleb Jackson</t>
  </si>
  <si>
    <t>Jermaine Burton</t>
  </si>
  <si>
    <t>CJ Williams</t>
  </si>
  <si>
    <t>Hendon Hooker</t>
  </si>
  <si>
    <t>Max Brosmer</t>
  </si>
  <si>
    <t>Jordan Akins</t>
  </si>
  <si>
    <t>Harrison Bryant</t>
  </si>
  <si>
    <t>Noah Togiai</t>
  </si>
  <si>
    <t>Zach Gentry</t>
  </si>
  <si>
    <t>Peyton Hendershot</t>
  </si>
  <si>
    <t>Braylon James</t>
  </si>
  <si>
    <t>Matt Gay</t>
  </si>
  <si>
    <t>Juice Wells Jr.</t>
  </si>
  <si>
    <t>Johnny Wilson</t>
  </si>
  <si>
    <t>Desmond Ridder</t>
  </si>
  <si>
    <t>Graham Mertz</t>
  </si>
  <si>
    <t>Bailey Zappe</t>
  </si>
  <si>
    <t>QB98</t>
  </si>
  <si>
    <t>Avery Williams</t>
  </si>
  <si>
    <t>Julian Hicks</t>
  </si>
  <si>
    <t>Taysom Hill</t>
  </si>
  <si>
    <t>Montrell Johnson Jr.</t>
  </si>
  <si>
    <t>Wendell Smallwood</t>
  </si>
  <si>
    <t>Jonathan Williams</t>
  </si>
  <si>
    <t>Nick Bawden</t>
  </si>
  <si>
    <t>Dillon Johnson</t>
  </si>
  <si>
    <t>Chase Edmonds</t>
  </si>
  <si>
    <t>Jonathan Ward</t>
  </si>
  <si>
    <t>Marcus Yarns</t>
  </si>
  <si>
    <t>Collin Hill</t>
  </si>
  <si>
    <t>QB99</t>
  </si>
  <si>
    <t>QB100</t>
  </si>
  <si>
    <t>Jimmy Garoppolo</t>
  </si>
  <si>
    <t>QB101</t>
  </si>
  <si>
    <t>QB102</t>
  </si>
  <si>
    <t>Kyle Trask</t>
  </si>
  <si>
    <t>QB103</t>
  </si>
  <si>
    <t>Dorian Thompson-Robinson</t>
  </si>
  <si>
    <t>QB104</t>
  </si>
  <si>
    <t>Matt Barkley</t>
  </si>
  <si>
    <t>QB105</t>
  </si>
  <si>
    <t>Devin Leary</t>
  </si>
  <si>
    <t>QB106</t>
  </si>
  <si>
    <t>Allen Lazard</t>
  </si>
  <si>
    <t>Matt Corral</t>
  </si>
  <si>
    <t>QB107</t>
  </si>
  <si>
    <t>Malik Taylor</t>
  </si>
  <si>
    <t>Brandon Powell</t>
  </si>
  <si>
    <t>Quali Conley</t>
  </si>
  <si>
    <t>Bisi Johnson</t>
  </si>
  <si>
    <t>Byron Pringle</t>
  </si>
  <si>
    <t>Laviska Shenault Jr.</t>
  </si>
  <si>
    <t>Roc Taylor</t>
  </si>
  <si>
    <t>Ainias Smith</t>
  </si>
  <si>
    <t>Rakim Jarrett</t>
  </si>
  <si>
    <t>James Proche II</t>
  </si>
  <si>
    <t>Javon Baker</t>
  </si>
  <si>
    <t>Trishton Jackson</t>
  </si>
  <si>
    <t>Equanimeous St. Brown</t>
  </si>
  <si>
    <t>DeAndre Carter</t>
  </si>
  <si>
    <t>RB224</t>
  </si>
  <si>
    <t>RB225</t>
  </si>
  <si>
    <t>Gabe Davis</t>
  </si>
  <si>
    <t>Logan Thomas</t>
  </si>
  <si>
    <t>Elijah Mitchell</t>
  </si>
  <si>
    <t>RB226</t>
  </si>
  <si>
    <t>Anthony Firkser</t>
  </si>
  <si>
    <t>RB227</t>
  </si>
  <si>
    <t>Ross Dwelley</t>
  </si>
  <si>
    <t>RB228</t>
  </si>
  <si>
    <t>Ryan Griffin</t>
  </si>
  <si>
    <t>Tucker Fisk</t>
  </si>
  <si>
    <t>Geoff Swaim</t>
  </si>
  <si>
    <t>Jesper Horsted</t>
  </si>
  <si>
    <t>Kenny Yeboah</t>
  </si>
  <si>
    <t>Michael Jacobson</t>
  </si>
  <si>
    <t>RB229</t>
  </si>
  <si>
    <t>Luke Lachey</t>
  </si>
  <si>
    <t>TE199</t>
  </si>
  <si>
    <t>Brycen Hopkins</t>
  </si>
  <si>
    <t>TE200</t>
  </si>
  <si>
    <t>Curtis Hodges</t>
  </si>
  <si>
    <t>TE201</t>
  </si>
  <si>
    <t>Nick Boyle</t>
  </si>
  <si>
    <t>TE202</t>
  </si>
  <si>
    <t>Gerald Everett</t>
  </si>
  <si>
    <t>TE203</t>
  </si>
  <si>
    <t>Mitchell Wilcox</t>
  </si>
  <si>
    <t>TE204</t>
  </si>
  <si>
    <t>Jordan Mims</t>
  </si>
  <si>
    <t>RB230</t>
  </si>
  <si>
    <t>Ross Travis</t>
  </si>
  <si>
    <t>TE205</t>
  </si>
  <si>
    <t>Anthony McFarland Jr.</t>
  </si>
  <si>
    <t>RB231</t>
  </si>
  <si>
    <t>Jase McClellan</t>
  </si>
  <si>
    <t>RB232</t>
  </si>
  <si>
    <t>Graig Cooper</t>
  </si>
  <si>
    <t>RB233</t>
  </si>
  <si>
    <t>Blake Watson</t>
  </si>
  <si>
    <t>RB234</t>
  </si>
  <si>
    <t>Kevin Harris</t>
  </si>
  <si>
    <t>RB235</t>
  </si>
  <si>
    <t>Josh Reynolds</t>
  </si>
  <si>
    <t>Russell Gage Jr.</t>
  </si>
  <si>
    <t>Omarius Hines</t>
  </si>
  <si>
    <t>Dale Moss</t>
  </si>
  <si>
    <t>Hunter Renfrow</t>
  </si>
  <si>
    <t>John Hurst</t>
  </si>
  <si>
    <t>Nelson Agholor</t>
  </si>
  <si>
    <t>Marquez Callaway</t>
  </si>
  <si>
    <t>Dee Eskridge</t>
  </si>
  <si>
    <t>Anthony Schwartz</t>
  </si>
  <si>
    <t>Cody Thompson</t>
  </si>
  <si>
    <t>Daurice Fountain</t>
  </si>
  <si>
    <t>Isaiah McKenzie</t>
  </si>
  <si>
    <t>Jalen Guyton</t>
  </si>
  <si>
    <t>Justin Shorter</t>
  </si>
  <si>
    <t>Zach Pascal</t>
  </si>
  <si>
    <t>Robert Tonyan</t>
  </si>
  <si>
    <t>Chris Evans</t>
  </si>
  <si>
    <t>Dontrell Hilliard</t>
  </si>
  <si>
    <t>Ty James</t>
  </si>
  <si>
    <t>Tyler Davis</t>
  </si>
  <si>
    <t>RB236</t>
  </si>
  <si>
    <t>TE206</t>
  </si>
  <si>
    <t>TE207</t>
  </si>
  <si>
    <t>RB237</t>
  </si>
  <si>
    <t>WR327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</si>
</sst>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_);[Red]&quot;($&quot;#,##0\)"/>
    <numFmt numFmtId="165" formatCode="0.0"/>
    <numFmt numFmtId="166" formatCode="\$#,##0"/>
    <numFmt numFmtId="167" formatCode="0.000"/>
  </numFmts>
  <fonts count="28" x14ac:knownFonts="1">
    <font>
      <sz val="11"/>
      <color theme="1"/>
      <name val="Aptos Narrow"/>
      <family val="2"/>
      <charset val="1"/>
    </font>
    <font>
      <b/>
      <sz val="11"/>
      <name val="Aptos Narrow"/>
      <family val="2"/>
      <charset val="1"/>
    </font>
    <font>
      <b/>
      <sz val="18"/>
      <color theme="0"/>
      <name val="Aptos Narrow"/>
      <family val="2"/>
      <charset val="1"/>
    </font>
    <font>
      <b/>
      <u/>
      <sz val="16"/>
      <name val="Aptos Narrow"/>
      <family val="2"/>
      <charset val="1"/>
    </font>
    <font>
      <b/>
      <sz val="16"/>
      <name val="Aptos Narrow"/>
      <family val="2"/>
      <charset val="1"/>
    </font>
    <font>
      <b/>
      <sz val="10"/>
      <name val="Aptos Narrow"/>
      <family val="2"/>
      <charset val="1"/>
    </font>
    <font>
      <b/>
      <sz val="9.5"/>
      <name val="Aptos Narrow"/>
      <family val="2"/>
      <charset val="1"/>
    </font>
    <font>
      <b/>
      <u/>
      <sz val="11"/>
      <name val="Aptos Narrow"/>
      <family val="2"/>
      <charset val="1"/>
    </font>
    <font>
      <b/>
      <u/>
      <sz val="10"/>
      <name val="Aptos Narrow"/>
      <family val="2"/>
      <charset val="1"/>
    </font>
    <font>
      <b/>
      <sz val="18"/>
      <color rgb="FFFFFFFF"/>
      <name val="Aptos Narrow"/>
      <family val="2"/>
      <charset val="1"/>
    </font>
    <font>
      <b/>
      <sz val="12"/>
      <color rgb="FFFFFFFF"/>
      <name val="Cambria"/>
      <family val="1"/>
      <charset val="1"/>
    </font>
    <font>
      <i/>
      <sz val="9"/>
      <color rgb="FF404040"/>
      <name val="Aptos Narrow"/>
      <family val="2"/>
      <charset val="1"/>
    </font>
    <font>
      <b/>
      <sz val="11"/>
      <color rgb="FFFFFFFF"/>
      <name val="Cambria"/>
      <family val="1"/>
      <charset val="1"/>
    </font>
    <font>
      <b/>
      <sz val="11"/>
      <name val="Cambria"/>
      <family val="1"/>
      <charset val="1"/>
    </font>
    <font>
      <sz val="1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2"/>
      <color theme="0"/>
      <name val="Aptos Narrow"/>
      <family val="2"/>
      <charset val="1"/>
    </font>
    <font>
      <b/>
      <sz val="16"/>
      <color theme="0"/>
      <name val="Aptos Narrow"/>
      <family val="2"/>
      <charset val="1"/>
    </font>
    <font>
      <b/>
      <sz val="10"/>
      <color theme="0"/>
      <name val="Aptos Narrow"/>
      <family val="2"/>
      <charset val="1"/>
    </font>
    <font>
      <b/>
      <sz val="14"/>
      <color theme="0"/>
      <name val="Aptos Narrow"/>
      <family val="2"/>
      <charset val="1"/>
    </font>
    <font>
      <b/>
      <sz val="16"/>
      <color rgb="FFFF0000"/>
      <name val="Aptos Narrow"/>
      <family val="2"/>
      <charset val="1"/>
    </font>
    <font>
      <b/>
      <i/>
      <sz val="16"/>
      <name val="Aptos Narrow"/>
      <family val="2"/>
      <charset val="1"/>
    </font>
    <font>
      <sz val="14"/>
      <name val="Aptos Narrow"/>
      <family val="2"/>
    </font>
    <font>
      <sz val="8"/>
      <name val="Aptos Narrow"/>
      <family val="2"/>
      <charset val="1"/>
    </font>
    <font>
      <b/>
      <sz val="16"/>
      <name val="Aptos Narrow"/>
      <family val="2"/>
    </font>
    <font>
      <b/>
      <u/>
      <sz val="16"/>
      <color rgb="FFFF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BFBFBF"/>
        <bgColor rgb="FFA6A6A6"/>
      </patternFill>
    </fill>
    <fill>
      <patternFill patternType="solid">
        <fgColor rgb="FFD9D9D9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theme="1"/>
        <bgColor rgb="FF003300"/>
      </patternFill>
    </fill>
    <fill>
      <patternFill patternType="solid">
        <fgColor theme="0" tint="-0.499984740745262"/>
        <bgColor rgb="FFA6A6A6"/>
      </patternFill>
    </fill>
    <fill>
      <patternFill patternType="solid">
        <fgColor theme="1"/>
        <bgColor rgb="FFA6A6A6"/>
      </patternFill>
    </fill>
    <fill>
      <patternFill patternType="solid">
        <fgColor theme="1"/>
        <bgColor rgb="FF333399"/>
      </patternFill>
    </fill>
    <fill>
      <patternFill patternType="solid">
        <fgColor theme="1"/>
        <bgColor rgb="FFFFF2CC"/>
      </patternFill>
    </fill>
    <fill>
      <patternFill patternType="solid">
        <fgColor theme="1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rgb="FF404040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A6A6A6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A6A6A6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vertical="center"/>
    </xf>
    <xf numFmtId="165" fontId="5" fillId="7" borderId="8" xfId="0" applyNumberFormat="1" applyFont="1" applyFill="1" applyBorder="1" applyAlignment="1">
      <alignment horizontal="center" vertical="center"/>
    </xf>
    <xf numFmtId="2" fontId="5" fillId="7" borderId="8" xfId="0" applyNumberFormat="1" applyFont="1" applyFill="1" applyBorder="1" applyAlignment="1">
      <alignment horizontal="center" vertical="center"/>
    </xf>
    <xf numFmtId="164" fontId="1" fillId="7" borderId="8" xfId="0" applyNumberFormat="1" applyFont="1" applyFill="1" applyBorder="1" applyAlignment="1">
      <alignment horizontal="center" vertical="center"/>
    </xf>
    <xf numFmtId="166" fontId="1" fillId="7" borderId="8" xfId="0" applyNumberFormat="1" applyFont="1" applyFill="1" applyBorder="1" applyAlignment="1">
      <alignment horizontal="center" vertical="center"/>
    </xf>
    <xf numFmtId="1" fontId="1" fillId="7" borderId="8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3" fillId="6" borderId="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14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9" fontId="14" fillId="0" borderId="8" xfId="0" applyNumberFormat="1" applyFont="1" applyBorder="1" applyAlignment="1">
      <alignment horizontal="center"/>
    </xf>
    <xf numFmtId="9" fontId="14" fillId="6" borderId="8" xfId="0" applyNumberFormat="1" applyFont="1" applyFill="1" applyBorder="1" applyAlignment="1">
      <alignment horizontal="center"/>
    </xf>
    <xf numFmtId="1" fontId="14" fillId="6" borderId="8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shrinkToFit="1"/>
    </xf>
    <xf numFmtId="1" fontId="15" fillId="0" borderId="0" xfId="0" applyNumberFormat="1" applyFont="1" applyAlignment="1">
      <alignment horizontal="center" shrinkToFit="1"/>
    </xf>
    <xf numFmtId="1" fontId="0" fillId="0" borderId="9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14" fillId="0" borderId="0" xfId="0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0" fontId="14" fillId="0" borderId="0" xfId="0" applyFont="1" applyAlignment="1">
      <alignment horizontal="center"/>
    </xf>
    <xf numFmtId="1" fontId="1" fillId="5" borderId="8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1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8" borderId="0" xfId="0" applyFont="1" applyFill="1" applyAlignment="1">
      <alignment horizontal="center"/>
    </xf>
    <xf numFmtId="1" fontId="0" fillId="5" borderId="10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7" fillId="8" borderId="10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 vertical="center"/>
    </xf>
    <xf numFmtId="166" fontId="0" fillId="2" borderId="10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1" fontId="0" fillId="9" borderId="0" xfId="0" applyNumberFormat="1" applyFill="1" applyAlignment="1">
      <alignment horizontal="center"/>
    </xf>
    <xf numFmtId="165" fontId="17" fillId="8" borderId="0" xfId="0" applyNumberFormat="1" applyFont="1" applyFill="1" applyAlignment="1">
      <alignment horizontal="center"/>
    </xf>
    <xf numFmtId="165" fontId="17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/>
    <xf numFmtId="9" fontId="0" fillId="0" borderId="0" xfId="0" applyNumberFormat="1"/>
    <xf numFmtId="10" fontId="0" fillId="0" borderId="0" xfId="0" applyNumberFormat="1"/>
    <xf numFmtId="1" fontId="5" fillId="7" borderId="8" xfId="0" applyNumberFormat="1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left" vertical="center"/>
    </xf>
    <xf numFmtId="0" fontId="22" fillId="14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18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65" fontId="0" fillId="2" borderId="21" xfId="0" applyNumberForma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2" fontId="1" fillId="7" borderId="8" xfId="0" applyNumberFormat="1" applyFont="1" applyFill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vertical="center" wrapText="1"/>
    </xf>
    <xf numFmtId="0" fontId="12" fillId="15" borderId="9" xfId="0" applyFont="1" applyFill="1" applyBorder="1" applyAlignment="1">
      <alignment horizontal="center" vertical="center"/>
    </xf>
    <xf numFmtId="165" fontId="0" fillId="2" borderId="7" xfId="0" applyNumberFormat="1" applyFill="1" applyBorder="1" applyAlignment="1">
      <alignment horizontal="center" vertical="center"/>
    </xf>
    <xf numFmtId="165" fontId="0" fillId="2" borderId="23" xfId="0" applyNumberFormat="1" applyFill="1" applyBorder="1" applyAlignment="1">
      <alignment horizontal="center" vertical="center"/>
    </xf>
    <xf numFmtId="165" fontId="0" fillId="2" borderId="18" xfId="0" applyNumberFormat="1" applyFill="1" applyBorder="1" applyAlignment="1">
      <alignment horizontal="center" vertical="center"/>
    </xf>
    <xf numFmtId="165" fontId="0" fillId="2" borderId="24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21" fillId="11" borderId="2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21" fillId="13" borderId="3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22" fillId="2" borderId="23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25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font>
        <color rgb="FFFF0000"/>
      </font>
    </dxf>
    <dxf>
      <font>
        <b/>
        <color rgb="FFFF0000"/>
      </font>
    </dxf>
    <dxf>
      <fill>
        <patternFill>
          <bgColor rgb="FFD9D9D9"/>
        </patternFill>
      </fill>
    </dxf>
    <dxf>
      <font>
        <color rgb="FF000000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ont>
        <color rgb="FF000000"/>
      </font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000000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ont>
        <color rgb="FF000000"/>
      </font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0000"/>
      </font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F9ED5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WR Games Played 2015-2025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C000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6.0204606838641879E-2"/>
                  <c:y val="-0.316054105382164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Lit>
              <c:formatCode>0.0</c:formatCode>
              <c:ptCount val="80"/>
              <c:pt idx="0">
                <c:v>13.849633951906679</c:v>
              </c:pt>
              <c:pt idx="1">
                <c:v>13.849633951906679</c:v>
              </c:pt>
              <c:pt idx="2">
                <c:v>13.849633951906679</c:v>
              </c:pt>
              <c:pt idx="3">
                <c:v>13.849633951906679</c:v>
              </c:pt>
              <c:pt idx="4">
                <c:v>13.849633951906679</c:v>
              </c:pt>
              <c:pt idx="5">
                <c:v>13.849633951906679</c:v>
              </c:pt>
              <c:pt idx="6">
                <c:v>13.641613487522578</c:v>
              </c:pt>
              <c:pt idx="7">
                <c:v>13.827542196095914</c:v>
              </c:pt>
              <c:pt idx="8">
                <c:v>13.626980283261274</c:v>
              </c:pt>
              <c:pt idx="9">
                <c:v>13.444870877515507</c:v>
              </c:pt>
              <c:pt idx="10">
                <c:v>13.385634356460804</c:v>
              </c:pt>
              <c:pt idx="11">
                <c:v>13.385193585110937</c:v>
              </c:pt>
              <c:pt idx="12">
                <c:v>13.382328571336837</c:v>
              </c:pt>
              <c:pt idx="13">
                <c:v>13.396903693184687</c:v>
              </c:pt>
              <c:pt idx="14">
                <c:v>13.460730775193587</c:v>
              </c:pt>
              <c:pt idx="15">
                <c:v>13.506889409947261</c:v>
              </c:pt>
              <c:pt idx="16">
                <c:v>13.450381675257709</c:v>
              </c:pt>
              <c:pt idx="17">
                <c:v>13.563232914927129</c:v>
              </c:pt>
              <c:pt idx="18">
                <c:v>13.470821194416237</c:v>
              </c:pt>
              <c:pt idx="19">
                <c:v>13.367037906996586</c:v>
              </c:pt>
              <c:pt idx="20">
                <c:v>13.528289382793515</c:v>
              </c:pt>
              <c:pt idx="21">
                <c:v>13.529450645772959</c:v>
              </c:pt>
              <c:pt idx="22">
                <c:v>13.380776895281029</c:v>
              </c:pt>
              <c:pt idx="23">
                <c:v>13.310473864977997</c:v>
              </c:pt>
              <c:pt idx="24">
                <c:v>13.189590203185245</c:v>
              </c:pt>
              <c:pt idx="25">
                <c:v>12.915198768173978</c:v>
              </c:pt>
              <c:pt idx="26">
                <c:v>12.459048004337262</c:v>
              </c:pt>
              <c:pt idx="27">
                <c:v>12.279261509840023</c:v>
              </c:pt>
              <c:pt idx="28">
                <c:v>12.035131246164303</c:v>
              </c:pt>
              <c:pt idx="29">
                <c:v>11.903899447659779</c:v>
              </c:pt>
              <c:pt idx="30">
                <c:v>11.944733764857732</c:v>
              </c:pt>
              <c:pt idx="31">
                <c:v>11.83033195454683</c:v>
              </c:pt>
              <c:pt idx="32">
                <c:v>11.706557547136059</c:v>
              </c:pt>
              <c:pt idx="33">
                <c:v>11.74118171085113</c:v>
              </c:pt>
              <c:pt idx="34">
                <c:v>11.763278553402522</c:v>
              </c:pt>
              <c:pt idx="35">
                <c:v>11.911468318183193</c:v>
              </c:pt>
              <c:pt idx="36">
                <c:v>11.909876544483984</c:v>
              </c:pt>
              <c:pt idx="37">
                <c:v>12.230333057667766</c:v>
              </c:pt>
              <c:pt idx="38">
                <c:v>12.254327428769578</c:v>
              </c:pt>
              <c:pt idx="39">
                <c:v>12.437387399102276</c:v>
              </c:pt>
              <c:pt idx="40">
                <c:v>12.344886415237655</c:v>
              </c:pt>
              <c:pt idx="41">
                <c:v>12.348129233025929</c:v>
              </c:pt>
              <c:pt idx="42">
                <c:v>12.210685313309282</c:v>
              </c:pt>
              <c:pt idx="43">
                <c:v>12.133189677631828</c:v>
              </c:pt>
              <c:pt idx="44">
                <c:v>11.899239688227293</c:v>
              </c:pt>
              <c:pt idx="45">
                <c:v>11.802144813405143</c:v>
              </c:pt>
              <c:pt idx="46">
                <c:v>11.63438401359889</c:v>
              </c:pt>
              <c:pt idx="47">
                <c:v>11.775953784507504</c:v>
              </c:pt>
              <c:pt idx="48">
                <c:v>11.612020445119619</c:v>
              </c:pt>
              <c:pt idx="49">
                <c:v>11.545826271983294</c:v>
              </c:pt>
              <c:pt idx="50">
                <c:v>11.465772386474866</c:v>
              </c:pt>
              <c:pt idx="51">
                <c:v>11.506384350268648</c:v>
              </c:pt>
              <c:pt idx="52">
                <c:v>11.4977342125276</c:v>
              </c:pt>
              <c:pt idx="53">
                <c:v>11.489676361287932</c:v>
              </c:pt>
              <c:pt idx="54">
                <c:v>11.55606613313225</c:v>
              </c:pt>
              <c:pt idx="55">
                <c:v>11.564180140337166</c:v>
              </c:pt>
              <c:pt idx="56">
                <c:v>11.457725988428468</c:v>
              </c:pt>
              <c:pt idx="57">
                <c:v>11.394648459896395</c:v>
              </c:pt>
              <c:pt idx="58">
                <c:v>11.39930983158256</c:v>
              </c:pt>
              <c:pt idx="59">
                <c:v>11.404789806153444</c:v>
              </c:pt>
              <c:pt idx="60">
                <c:v>11.241800169527442</c:v>
              </c:pt>
              <c:pt idx="61">
                <c:v>11.14399497197018</c:v>
              </c:pt>
              <c:pt idx="62">
                <c:v>11.172735625256287</c:v>
              </c:pt>
              <c:pt idx="63">
                <c:v>11.231578600462898</c:v>
              </c:pt>
              <c:pt idx="64">
                <c:v>11.20084857291469</c:v>
              </c:pt>
              <c:pt idx="65">
                <c:v>11.030325156936728</c:v>
              </c:pt>
              <c:pt idx="66">
                <c:v>11.051477943544059</c:v>
              </c:pt>
              <c:pt idx="67">
                <c:v>11.207974073676553</c:v>
              </c:pt>
              <c:pt idx="68">
                <c:v>10.990099221256246</c:v>
              </c:pt>
              <c:pt idx="69">
                <c:v>10.963850369098303</c:v>
              </c:pt>
              <c:pt idx="70">
                <c:v>11.064672879920813</c:v>
              </c:pt>
              <c:pt idx="71">
                <c:v>11.260992510703254</c:v>
              </c:pt>
              <c:pt idx="72">
                <c:v>11.198126662134927</c:v>
              </c:pt>
              <c:pt idx="73">
                <c:v>10.898355813149202</c:v>
              </c:pt>
              <c:pt idx="74">
                <c:v>10.80744672224011</c:v>
              </c:pt>
              <c:pt idx="75">
                <c:v>10.842252000524727</c:v>
              </c:pt>
              <c:pt idx="76">
                <c:v>10.929640269943299</c:v>
              </c:pt>
              <c:pt idx="77">
                <c:v>11.037360455201362</c:v>
              </c:pt>
              <c:pt idx="78">
                <c:v>10.801091808624278</c:v>
              </c:pt>
              <c:pt idx="79">
                <c:v>11.23026367571822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895-4842-B73A-B0AF7D72A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488095"/>
        <c:axId val="954699728"/>
      </c:lineChart>
      <c:catAx>
        <c:axId val="866488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99728"/>
        <c:crosses val="autoZero"/>
        <c:auto val="1"/>
        <c:lblAlgn val="ctr"/>
        <c:lblOffset val="100"/>
        <c:noMultiLvlLbl val="0"/>
      </c:catAx>
      <c:valAx>
        <c:axId val="9546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RB Games Played 2015-2025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C000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1.6714012797456282E-2"/>
                  <c:y val="-0.323599530436119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Lit>
              <c:formatCode>0.0</c:formatCode>
              <c:ptCount val="69"/>
              <c:pt idx="0">
                <c:v>13.618181818181817</c:v>
              </c:pt>
              <c:pt idx="1">
                <c:v>13.618181818181817</c:v>
              </c:pt>
              <c:pt idx="2">
                <c:v>13.618181818181817</c:v>
              </c:pt>
              <c:pt idx="3">
                <c:v>13.618181818181817</c:v>
              </c:pt>
              <c:pt idx="4">
                <c:v>13.618181818181817</c:v>
              </c:pt>
              <c:pt idx="5">
                <c:v>13.618181818181817</c:v>
              </c:pt>
              <c:pt idx="6">
                <c:v>13.816528925619833</c:v>
              </c:pt>
              <c:pt idx="7">
                <c:v>13.958677685950413</c:v>
              </c:pt>
              <c:pt idx="8">
                <c:v>13.669421487603307</c:v>
              </c:pt>
              <c:pt idx="9">
                <c:v>13.561983471074377</c:v>
              </c:pt>
              <c:pt idx="10">
                <c:v>13.487603305785122</c:v>
              </c:pt>
              <c:pt idx="11">
                <c:v>13.512396694214878</c:v>
              </c:pt>
              <c:pt idx="12">
                <c:v>13.396694214876032</c:v>
              </c:pt>
              <c:pt idx="13">
                <c:v>13.289256198347108</c:v>
              </c:pt>
              <c:pt idx="14">
                <c:v>13.082644628099173</c:v>
              </c:pt>
              <c:pt idx="15">
                <c:v>13.115702479338843</c:v>
              </c:pt>
              <c:pt idx="16">
                <c:v>12.991735537190083</c:v>
              </c:pt>
              <c:pt idx="17">
                <c:v>12.925619834710744</c:v>
              </c:pt>
              <c:pt idx="18">
                <c:v>12.809917355371898</c:v>
              </c:pt>
              <c:pt idx="19">
                <c:v>12.93388429752066</c:v>
              </c:pt>
              <c:pt idx="20">
                <c:v>12.958677685950413</c:v>
              </c:pt>
              <c:pt idx="21">
                <c:v>12.884297520661157</c:v>
              </c:pt>
              <c:pt idx="22">
                <c:v>12.785123966942148</c:v>
              </c:pt>
              <c:pt idx="23">
                <c:v>12.760330578512397</c:v>
              </c:pt>
              <c:pt idx="24">
                <c:v>12.768595041322316</c:v>
              </c:pt>
              <c:pt idx="25">
                <c:v>12.909090909090908</c:v>
              </c:pt>
              <c:pt idx="26">
                <c:v>12.760330578512397</c:v>
              </c:pt>
              <c:pt idx="27">
                <c:v>12.809917355371901</c:v>
              </c:pt>
              <c:pt idx="28">
                <c:v>12.652892561983471</c:v>
              </c:pt>
              <c:pt idx="29">
                <c:v>12.685950413223141</c:v>
              </c:pt>
              <c:pt idx="30">
                <c:v>12.652892561983471</c:v>
              </c:pt>
              <c:pt idx="31">
                <c:v>12.776859504132231</c:v>
              </c:pt>
              <c:pt idx="32">
                <c:v>12.644628099173554</c:v>
              </c:pt>
              <c:pt idx="33">
                <c:v>12.735537190082646</c:v>
              </c:pt>
              <c:pt idx="34">
                <c:v>12.652892561983471</c:v>
              </c:pt>
              <c:pt idx="35">
                <c:v>12.785123966942148</c:v>
              </c:pt>
              <c:pt idx="36">
                <c:v>12.768595041322316</c:v>
              </c:pt>
              <c:pt idx="37">
                <c:v>12.950413223140497</c:v>
              </c:pt>
              <c:pt idx="38">
                <c:v>12.768595041322316</c:v>
              </c:pt>
              <c:pt idx="39">
                <c:v>12.892561983471076</c:v>
              </c:pt>
              <c:pt idx="40">
                <c:v>12.867768595041325</c:v>
              </c:pt>
              <c:pt idx="41">
                <c:v>12.975206611570247</c:v>
              </c:pt>
              <c:pt idx="42">
                <c:v>12.793388429752069</c:v>
              </c:pt>
              <c:pt idx="43">
                <c:v>12.876033057851238</c:v>
              </c:pt>
              <c:pt idx="44">
                <c:v>12.62809917355372</c:v>
              </c:pt>
              <c:pt idx="45">
                <c:v>12.628099173553721</c:v>
              </c:pt>
              <c:pt idx="46">
                <c:v>12.603305785123966</c:v>
              </c:pt>
              <c:pt idx="47">
                <c:v>12.512396694214875</c:v>
              </c:pt>
              <c:pt idx="48">
                <c:v>12.190082644628097</c:v>
              </c:pt>
              <c:pt idx="49">
                <c:v>12.28099173553719</c:v>
              </c:pt>
              <c:pt idx="50">
                <c:v>12.256198347107437</c:v>
              </c:pt>
              <c:pt idx="51">
                <c:v>12.190082644628099</c:v>
              </c:pt>
              <c:pt idx="52">
                <c:v>11.96694214876033</c:v>
              </c:pt>
              <c:pt idx="53">
                <c:v>12</c:v>
              </c:pt>
              <c:pt idx="54">
                <c:v>12.049586776859503</c:v>
              </c:pt>
              <c:pt idx="55">
                <c:v>12.181818181818182</c:v>
              </c:pt>
              <c:pt idx="56">
                <c:v>12.016528925619836</c:v>
              </c:pt>
              <c:pt idx="57">
                <c:v>11.801652892561982</c:v>
              </c:pt>
              <c:pt idx="58">
                <c:v>11.28099173553719</c:v>
              </c:pt>
              <c:pt idx="59">
                <c:v>11.347107438016529</c:v>
              </c:pt>
              <c:pt idx="60">
                <c:v>11.181818181818182</c:v>
              </c:pt>
              <c:pt idx="61">
                <c:v>11.181818181818182</c:v>
              </c:pt>
              <c:pt idx="62">
                <c:v>10.90909090909091</c:v>
              </c:pt>
              <c:pt idx="63">
                <c:v>10.950413223140496</c:v>
              </c:pt>
              <c:pt idx="64">
                <c:v>10.881818181818183</c:v>
              </c:pt>
              <c:pt idx="65">
                <c:v>10.747474747474747</c:v>
              </c:pt>
              <c:pt idx="66">
                <c:v>10.363636363636363</c:v>
              </c:pt>
              <c:pt idx="67">
                <c:v>10.480519480519478</c:v>
              </c:pt>
              <c:pt idx="68">
                <c:v>10.393939393939393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F2F-46B9-AD09-A130ED369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26623"/>
        <c:axId val="634567407"/>
      </c:lineChart>
      <c:catAx>
        <c:axId val="576326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567407"/>
        <c:crosses val="autoZero"/>
        <c:auto val="1"/>
        <c:lblAlgn val="ctr"/>
        <c:lblOffset val="100"/>
        <c:noMultiLvlLbl val="0"/>
      </c:catAx>
      <c:valAx>
        <c:axId val="6345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2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QB Games Played 2015-2025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C000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Lit>
              <c:formatCode>0.0</c:formatCode>
              <c:ptCount val="32"/>
              <c:pt idx="0">
                <c:v>14.066115702479339</c:v>
              </c:pt>
              <c:pt idx="1">
                <c:v>14.066115702479339</c:v>
              </c:pt>
              <c:pt idx="2">
                <c:v>14.066115702479339</c:v>
              </c:pt>
              <c:pt idx="3">
                <c:v>14.066115702479339</c:v>
              </c:pt>
              <c:pt idx="4">
                <c:v>14.066115702479339</c:v>
              </c:pt>
              <c:pt idx="5">
                <c:v>14.066115702479339</c:v>
              </c:pt>
              <c:pt idx="6">
                <c:v>13.900826446280995</c:v>
              </c:pt>
              <c:pt idx="7">
                <c:v>13.69421487603306</c:v>
              </c:pt>
              <c:pt idx="8">
                <c:v>13.793388429752069</c:v>
              </c:pt>
              <c:pt idx="9">
                <c:v>13.81818181818182</c:v>
              </c:pt>
              <c:pt idx="10">
                <c:v>13.834710743801653</c:v>
              </c:pt>
              <c:pt idx="11">
                <c:v>13.933884297520661</c:v>
              </c:pt>
              <c:pt idx="12">
                <c:v>13.917355371900827</c:v>
              </c:pt>
              <c:pt idx="13">
                <c:v>13.884297520661159</c:v>
              </c:pt>
              <c:pt idx="14">
                <c:v>13.876033057851238</c:v>
              </c:pt>
              <c:pt idx="15">
                <c:v>13.71900826446281</c:v>
              </c:pt>
              <c:pt idx="16">
                <c:v>13.826446280991735</c:v>
              </c:pt>
              <c:pt idx="17">
                <c:v>13.942148760330577</c:v>
              </c:pt>
              <c:pt idx="18">
                <c:v>13.809917355371901</c:v>
              </c:pt>
              <c:pt idx="19">
                <c:v>13.479338842975205</c:v>
              </c:pt>
              <c:pt idx="20">
                <c:v>13.314049586776859</c:v>
              </c:pt>
              <c:pt idx="21">
                <c:v>12.958677685950413</c:v>
              </c:pt>
              <c:pt idx="22">
                <c:v>12.75206611570248</c:v>
              </c:pt>
              <c:pt idx="23">
                <c:v>12.479338842975208</c:v>
              </c:pt>
              <c:pt idx="24">
                <c:v>12.008264462809917</c:v>
              </c:pt>
              <c:pt idx="25">
                <c:v>11.727272727272727</c:v>
              </c:pt>
              <c:pt idx="26">
                <c:v>11.876033057851238</c:v>
              </c:pt>
              <c:pt idx="27">
                <c:v>11.654545454545453</c:v>
              </c:pt>
              <c:pt idx="28">
                <c:v>11.424242424242424</c:v>
              </c:pt>
              <c:pt idx="29">
                <c:v>11.375</c:v>
              </c:pt>
              <c:pt idx="30">
                <c:v>11.454545454545453</c:v>
              </c:pt>
              <c:pt idx="31">
                <c:v>11.090909090909092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E26-4AB7-8C40-ACD7B57B0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426367"/>
        <c:axId val="573416015"/>
      </c:lineChart>
      <c:catAx>
        <c:axId val="990426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16015"/>
        <c:crosses val="autoZero"/>
        <c:auto val="1"/>
        <c:lblAlgn val="ctr"/>
        <c:lblOffset val="100"/>
        <c:noMultiLvlLbl val="0"/>
      </c:catAx>
      <c:valAx>
        <c:axId val="57341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2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 Games Played 2015-2025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C000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Lit>
              <c:formatCode>0</c:formatCode>
              <c:ptCount val="28"/>
              <c:pt idx="0">
                <c:v>14.066115702479339</c:v>
              </c:pt>
              <c:pt idx="1">
                <c:v>14.066115702479339</c:v>
              </c:pt>
              <c:pt idx="2">
                <c:v>14.066115702479339</c:v>
              </c:pt>
              <c:pt idx="3">
                <c:v>14.066115702479339</c:v>
              </c:pt>
              <c:pt idx="4">
                <c:v>14.066115702479339</c:v>
              </c:pt>
              <c:pt idx="5">
                <c:v>14.066115702479339</c:v>
              </c:pt>
              <c:pt idx="6">
                <c:v>13.900826446280995</c:v>
              </c:pt>
              <c:pt idx="7">
                <c:v>13.69421487603306</c:v>
              </c:pt>
              <c:pt idx="8">
                <c:v>13.793388429752069</c:v>
              </c:pt>
              <c:pt idx="9">
                <c:v>13.81818181818182</c:v>
              </c:pt>
              <c:pt idx="10">
                <c:v>13.834710743801653</c:v>
              </c:pt>
              <c:pt idx="11">
                <c:v>13.933884297520661</c:v>
              </c:pt>
              <c:pt idx="12">
                <c:v>13.917355371900827</c:v>
              </c:pt>
              <c:pt idx="13">
                <c:v>13.884297520661159</c:v>
              </c:pt>
              <c:pt idx="14">
                <c:v>13.876033057851238</c:v>
              </c:pt>
              <c:pt idx="15">
                <c:v>13.71900826446281</c:v>
              </c:pt>
              <c:pt idx="16">
                <c:v>13.826446280991735</c:v>
              </c:pt>
              <c:pt idx="17">
                <c:v>13.942148760330577</c:v>
              </c:pt>
              <c:pt idx="18">
                <c:v>13.809917355371901</c:v>
              </c:pt>
              <c:pt idx="19">
                <c:v>13.479338842975205</c:v>
              </c:pt>
              <c:pt idx="20">
                <c:v>13.314049586776859</c:v>
              </c:pt>
              <c:pt idx="21">
                <c:v>12.958677685950413</c:v>
              </c:pt>
              <c:pt idx="22">
                <c:v>12.75206611570248</c:v>
              </c:pt>
              <c:pt idx="23">
                <c:v>12.479338842975208</c:v>
              </c:pt>
              <c:pt idx="24">
                <c:v>12.008264462809917</c:v>
              </c:pt>
              <c:pt idx="25">
                <c:v>11.727272727272727</c:v>
              </c:pt>
              <c:pt idx="26">
                <c:v>11.876033057851238</c:v>
              </c:pt>
              <c:pt idx="27">
                <c:v>11.654545454545453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A0F-4693-8DA3-DE4589D3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881055"/>
        <c:axId val="573397295"/>
      </c:lineChart>
      <c:catAx>
        <c:axId val="995881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97295"/>
        <c:crosses val="autoZero"/>
        <c:auto val="1"/>
        <c:lblAlgn val="ctr"/>
        <c:lblOffset val="100"/>
        <c:noMultiLvlLbl val="0"/>
      </c:catAx>
      <c:valAx>
        <c:axId val="57339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8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277906</xdr:colOff>
      <xdr:row>0</xdr:row>
      <xdr:rowOff>134472</xdr:rowOff>
    </xdr:from>
    <xdr:to>
      <xdr:col>12</xdr:col>
      <xdr:colOff>1174376</xdr:colOff>
      <xdr:row>21</xdr:row>
      <xdr:rowOff>26896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880E4-D1E4-479A-9B3D-13C84BB8D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1192305</xdr:colOff>
      <xdr:row>0</xdr:row>
      <xdr:rowOff>134470</xdr:rowOff>
    </xdr:from>
    <xdr:to>
      <xdr:col>22</xdr:col>
      <xdr:colOff>233082</xdr:colOff>
      <xdr:row>21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EB49FF-2ECA-421A-8A68-881CF508D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277906</xdr:colOff>
      <xdr:row>21</xdr:row>
      <xdr:rowOff>35858</xdr:rowOff>
    </xdr:from>
    <xdr:to>
      <xdr:col>12</xdr:col>
      <xdr:colOff>1174376</xdr:colOff>
      <xdr:row>41</xdr:row>
      <xdr:rowOff>107575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BC82C4-E81E-4FC4-A667-CA942BA98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1192305</xdr:colOff>
      <xdr:row>21</xdr:row>
      <xdr:rowOff>35859</xdr:rowOff>
    </xdr:from>
    <xdr:to>
      <xdr:col>22</xdr:col>
      <xdr:colOff>233082</xdr:colOff>
      <xdr:row>41</xdr:row>
      <xdr:rowOff>107576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742274-FBE2-4BF5-9FF4-91114BB11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0" displayName="Table10" ref="L4:S84" totalsRowShown="0">
  <autoFilter ref="L4:S84" xr:uid="{00000000-0009-0000-0100-000001000000}"/>
  <sortState xmlns:xlrd2="http://schemas.microsoft.com/office/spreadsheetml/2017/richdata2" ref="L5:S84">
    <sortCondition descending="1" ref="P4:P84"/>
  </sortState>
  <tableColumns count="8">
    <tableColumn id="1" xr3:uid="{00000000-0010-0000-0000-000001000000}" name="TIER"/>
    <tableColumn id="2" xr3:uid="{00000000-0010-0000-0000-000002000000}" name="NAME">
      <calculatedColumnFormula>Aggregate!P3</calculatedColumnFormula>
    </tableColumn>
    <tableColumn id="3" xr3:uid="{00000000-0010-0000-0000-000003000000}" name="TM/BYE"/>
    <tableColumn id="4" xr3:uid="{00000000-0010-0000-0000-000004000000}" name="PTS"/>
    <tableColumn id="5" xr3:uid="{00000000-0010-0000-0000-000005000000}" name="VALUE"/>
    <tableColumn id="6" xr3:uid="{00000000-0010-0000-0000-000006000000}" name="PS"/>
    <tableColumn id="7" xr3:uid="{00000000-0010-0000-0000-000007000000}" name="ECR">
      <calculatedColumnFormula>VLOOKUP(Table10[[#This Row],[NAME]],ECR!C:E,3,FALSE)</calculatedColumnFormula>
    </tableColumn>
    <tableColumn id="8" xr3:uid="{00000000-0010-0000-0000-000008000000}" name="DRAF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V4:AC84" totalsRowShown="0">
  <autoFilter ref="V4:AC84" xr:uid="{00000000-0009-0000-0100-000002000000}"/>
  <sortState xmlns:xlrd2="http://schemas.microsoft.com/office/spreadsheetml/2017/richdata2" ref="V5:AC84">
    <sortCondition descending="1" ref="Z4:Z84"/>
  </sortState>
  <tableColumns count="8">
    <tableColumn id="1" xr3:uid="{00000000-0010-0000-0100-000001000000}" name="TIER"/>
    <tableColumn id="2" xr3:uid="{00000000-0010-0000-0100-000002000000}" name="NAME">
      <calculatedColumnFormula>Aggregate!AD3</calculatedColumnFormula>
    </tableColumn>
    <tableColumn id="3" xr3:uid="{00000000-0010-0000-0100-000003000000}" name="TM/BYE"/>
    <tableColumn id="4" xr3:uid="{00000000-0010-0000-0100-000004000000}" name="PTS"/>
    <tableColumn id="5" xr3:uid="{00000000-0010-0000-0100-000005000000}" name="VALUE"/>
    <tableColumn id="6" xr3:uid="{00000000-0010-0000-0100-000006000000}" name="PS"/>
    <tableColumn id="7" xr3:uid="{00000000-0010-0000-0100-000007000000}" name="ECR">
      <calculatedColumnFormula>VLOOKUP(Table11[[#This Row],[NAME]],ECR!C:E,3,FALSE)</calculatedColumnFormula>
    </tableColumn>
    <tableColumn id="8" xr3:uid="{00000000-0010-0000-0100-000008000000}" name="DRAF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B47:I84" totalsRowShown="0">
  <autoFilter ref="B47:I84" xr:uid="{00000000-0009-0000-0100-000003000000}"/>
  <sortState xmlns:xlrd2="http://schemas.microsoft.com/office/spreadsheetml/2017/richdata2" ref="B48:I84">
    <sortCondition descending="1" ref="F47:F84"/>
  </sortState>
  <tableColumns count="8">
    <tableColumn id="1" xr3:uid="{00000000-0010-0000-0200-000001000000}" name="TIER"/>
    <tableColumn id="2" xr3:uid="{00000000-0010-0000-0200-000002000000}" name="NAME">
      <calculatedColumnFormula>Aggregate!AR3</calculatedColumnFormula>
    </tableColumn>
    <tableColumn id="3" xr3:uid="{00000000-0010-0000-0200-000003000000}" name="TM/BYE"/>
    <tableColumn id="4" xr3:uid="{00000000-0010-0000-0200-000004000000}" name="PTS"/>
    <tableColumn id="5" xr3:uid="{00000000-0010-0000-0200-000005000000}" name="VALUE"/>
    <tableColumn id="6" xr3:uid="{00000000-0010-0000-0200-000006000000}" name="PS"/>
    <tableColumn id="7" xr3:uid="{00000000-0010-0000-0200-000007000000}" name="ECR">
      <calculatedColumnFormula>VLOOKUP(Table12[[#This Row],[NAME]],ECR!C:E,3,FALSE)</calculatedColumnFormula>
    </tableColumn>
    <tableColumn id="8" xr3:uid="{00000000-0010-0000-0200-000008000000}" name="DRAF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9" displayName="Table9" ref="B4:I44" totalsRowShown="0">
  <autoFilter ref="B4:I44" xr:uid="{00000000-0009-0000-0100-000008000000}"/>
  <sortState xmlns:xlrd2="http://schemas.microsoft.com/office/spreadsheetml/2017/richdata2" ref="B5:I44">
    <sortCondition descending="1" ref="F4:F44"/>
  </sortState>
  <tableColumns count="8">
    <tableColumn id="1" xr3:uid="{00000000-0010-0000-0300-000001000000}" name="TIER"/>
    <tableColumn id="2" xr3:uid="{00000000-0010-0000-0300-000002000000}" name="NAME">
      <calculatedColumnFormula>Aggregate!B3</calculatedColumnFormula>
    </tableColumn>
    <tableColumn id="3" xr3:uid="{00000000-0010-0000-0300-000003000000}" name="TM/BYE"/>
    <tableColumn id="4" xr3:uid="{00000000-0010-0000-0300-000004000000}" name="PTS"/>
    <tableColumn id="5" xr3:uid="{00000000-0010-0000-0300-000005000000}" name="VALUE"/>
    <tableColumn id="6" xr3:uid="{00000000-0010-0000-0300-000006000000}" name="PS"/>
    <tableColumn id="7" xr3:uid="{00000000-0010-0000-0300-000007000000}" name="ECR">
      <calculatedColumnFormula>VLOOKUP(Table9[[#This Row],[NAME]],ECR!C:E,3,FALSE)</calculatedColumnFormula>
    </tableColumn>
    <tableColumn id="8" xr3:uid="{00000000-0010-0000-0300-000008000000}" name="DRAF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2" displayName="Table2" ref="B2:M52" totalsRowShown="0">
  <autoFilter ref="B2:M52" xr:uid="{00000000-0009-0000-0100-000004000000}"/>
  <tableColumns count="12">
    <tableColumn id="1" xr3:uid="{00000000-0010-0000-0400-000001000000}" name="PLAYER"/>
    <tableColumn id="2" xr3:uid="{00000000-0010-0000-0400-000002000000}" name="Team"/>
    <tableColumn id="3" xr3:uid="{00000000-0010-0000-0400-000003000000}" name="Bye"/>
    <tableColumn id="4" xr3:uid="{00000000-0010-0000-0400-000004000000}" name="Team/Bye"/>
    <tableColumn id="5" xr3:uid="{00000000-0010-0000-0400-000005000000}" name="LOW"/>
    <tableColumn id="6" xr3:uid="{00000000-0010-0000-0400-000006000000}" name="AVG"/>
    <tableColumn id="7" xr3:uid="{00000000-0010-0000-0400-000007000000}" name="HIGH"/>
    <tableColumn id="8" xr3:uid="{00000000-0010-0000-0400-000008000000}" name="Zscore Projection"/>
    <tableColumn id="9" xr3:uid="{00000000-0010-0000-0400-000009000000}" name="VBD"/>
    <tableColumn id="10" xr3:uid="{00000000-0010-0000-0400-00000A000000}" name="Auc"/>
    <tableColumn id="11" xr3:uid="{00000000-0010-0000-0400-00000B000000}" name="Tier"/>
    <tableColumn id="12" xr3:uid="{00000000-0010-0000-0400-00000C000000}" name="Missed Gam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4" displayName="Table4" ref="P2:AA102" totalsRowShown="0">
  <autoFilter ref="P2:AA102" xr:uid="{00000000-0009-0000-0100-000005000000}"/>
  <tableColumns count="12">
    <tableColumn id="1" xr3:uid="{00000000-0010-0000-0500-000001000000}" name="PLAYER"/>
    <tableColumn id="2" xr3:uid="{00000000-0010-0000-0500-000002000000}" name="Team"/>
    <tableColumn id="3" xr3:uid="{00000000-0010-0000-0500-000003000000}" name="Bye"/>
    <tableColumn id="4" xr3:uid="{00000000-0010-0000-0500-000004000000}" name="Team/Bye"/>
    <tableColumn id="5" xr3:uid="{00000000-0010-0000-0500-000005000000}" name="LOW">
      <calculatedColumnFormula>IFERROR(VLOOKUP(Table4[[#This Row],[PLAYER]],RB!A:Q,13,FALSE())/17*(17-Table4[[#This Row],[Missed Games]]),0)</calculatedColumnFormula>
    </tableColumn>
    <tableColumn id="6" xr3:uid="{00000000-0010-0000-0500-000006000000}" name="AVG">
      <calculatedColumnFormula>IFERROR(VLOOKUP(Table4[[#This Row],[PLAYER]],RB!A:Q,14,FALSE())/17*(17-Table4[[#This Row],[Missed Games]]),0)</calculatedColumnFormula>
    </tableColumn>
    <tableColumn id="7" xr3:uid="{00000000-0010-0000-0500-000007000000}" name="HIGH">
      <calculatedColumnFormula>IFERROR(VLOOKUP(Table4[[#This Row],[PLAYER]],RB!A:Q,15,FALSE())/17*(17-Table4[[#This Row],[Missed Games]]),0)</calculatedColumnFormula>
    </tableColumn>
    <tableColumn id="8" xr3:uid="{00000000-0010-0000-0500-000008000000}" name="Zscore Projection" dataDxfId="28">
      <calculatedColumnFormula>AVERAGE(AVERAGE(Table4[[#This Row],[LOW]],Table4[[#This Row],[HIGH]]),Table4[[#This Row],[AVG]],VLOOKUP(Table4[[#This Row],[PLAYER]],ECR!L:N,3,FALSE))</calculatedColumnFormula>
    </tableColumn>
    <tableColumn id="9" xr3:uid="{00000000-0010-0000-0500-000009000000}" name="VBD"/>
    <tableColumn id="10" xr3:uid="{00000000-0010-0000-0500-00000A000000}" name="Auction"/>
    <tableColumn id="11" xr3:uid="{00000000-0010-0000-0500-00000B000000}" name="Tier">
      <calculatedColumnFormula>VLOOKUP(Table4[[#This Row],[VBD]],BM:BO,3,FALSE)</calculatedColumnFormula>
    </tableColumn>
    <tableColumn id="12" xr3:uid="{00000000-0010-0000-0500-00000C000000}" name="Missed Gam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6" displayName="Table6" ref="AD2:AO102" totalsRowShown="0">
  <autoFilter ref="AD2:AO102" xr:uid="{00000000-0009-0000-0100-000006000000}"/>
  <tableColumns count="12">
    <tableColumn id="1" xr3:uid="{00000000-0010-0000-0600-000001000000}" name="PLAYER"/>
    <tableColumn id="2" xr3:uid="{00000000-0010-0000-0600-000002000000}" name="Team"/>
    <tableColumn id="3" xr3:uid="{00000000-0010-0000-0600-000003000000}" name="Bye"/>
    <tableColumn id="4" xr3:uid="{00000000-0010-0000-0600-000004000000}" name="Team/Bye"/>
    <tableColumn id="5" xr3:uid="{00000000-0010-0000-0600-000005000000}" name="LOW">
      <calculatedColumnFormula>IFERROR(VLOOKUP(Table6[[#This Row],[PLAYER]],WR!A:Q,13,FALSE())/17*(17-Table6[[#This Row],[Missed Games]]),0)</calculatedColumnFormula>
    </tableColumn>
    <tableColumn id="6" xr3:uid="{00000000-0010-0000-0600-000006000000}" name="AVG">
      <calculatedColumnFormula>IFERROR(VLOOKUP(Table6[[#This Row],[PLAYER]],WR!A:Q,14,FALSE())/17*(17-Table6[[#This Row],[Missed Games]]),0)</calculatedColumnFormula>
    </tableColumn>
    <tableColumn id="7" xr3:uid="{00000000-0010-0000-0600-000007000000}" name="HIGH">
      <calculatedColumnFormula>IFERROR(VLOOKUP(Table6[[#This Row],[PLAYER]],WR!A:Q,15,FALSE())/17*(17-Table6[[#This Row],[Missed Games]]),0)</calculatedColumnFormula>
    </tableColumn>
    <tableColumn id="8" xr3:uid="{00000000-0010-0000-0600-000008000000}" name="Zscore Projection" dataDxfId="27">
      <calculatedColumnFormula>AVERAGE(AVERAGE(Table6[[#This Row],[LOW]],Table6[[#This Row],[HIGH]]),Table6[[#This Row],[AVG]],VLOOKUP(Table6[[#This Row],[PLAYER]],ECR!L:N,3,FALSE))</calculatedColumnFormula>
    </tableColumn>
    <tableColumn id="9" xr3:uid="{00000000-0010-0000-0600-000009000000}" name="VBD"/>
    <tableColumn id="10" xr3:uid="{00000000-0010-0000-0600-00000A000000}" name="Auction"/>
    <tableColumn id="11" xr3:uid="{00000000-0010-0000-0600-00000B000000}" name="Tier">
      <calculatedColumnFormula>VLOOKUP(Table6[[#This Row],[VBD]],BR:BT,3,FALSE)</calculatedColumnFormula>
    </tableColumn>
    <tableColumn id="12" xr3:uid="{00000000-0010-0000-0600-00000C000000}" name="Missed Gam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7" displayName="Table7" ref="AR2:BD52" totalsRowShown="0">
  <autoFilter ref="AR2:BD52" xr:uid="{00000000-0009-0000-0100-000007000000}"/>
  <tableColumns count="13">
    <tableColumn id="1" xr3:uid="{00000000-0010-0000-0700-000001000000}" name="PLAYER"/>
    <tableColumn id="2" xr3:uid="{00000000-0010-0000-0700-000002000000}" name="Team"/>
    <tableColumn id="3" xr3:uid="{00000000-0010-0000-0700-000003000000}" name="Bye"/>
    <tableColumn id="4" xr3:uid="{00000000-0010-0000-0700-000004000000}" name="Team/Bye"/>
    <tableColumn id="5" xr3:uid="{00000000-0010-0000-0700-000005000000}" name="LOW"/>
    <tableColumn id="6" xr3:uid="{00000000-0010-0000-0700-000006000000}" name="AVG"/>
    <tableColumn id="7" xr3:uid="{00000000-0010-0000-0700-000007000000}" name="HIGH"/>
    <tableColumn id="8" xr3:uid="{00000000-0010-0000-0700-000008000000}" name="Zscore Projection" dataDxfId="26">
      <calculatedColumnFormula>AVERAGE(AVERAGE(Table7[[#This Row],[LOW]],Table7[[#This Row],[HIGH]]),Table7[[#This Row],[AVG]],VLOOKUP(Table7[[#This Row],[PLAYER]],ECR!L:N,3,FALSE))</calculatedColumnFormula>
    </tableColumn>
    <tableColumn id="9" xr3:uid="{00000000-0010-0000-0700-000009000000}" name="VBD"/>
    <tableColumn id="10" xr3:uid="{00000000-0010-0000-0700-00000A000000}" name="Auction"/>
    <tableColumn id="11" xr3:uid="{00000000-0010-0000-0700-00000B000000}" name="Tier">
      <calculatedColumnFormula>VLOOKUP(Table7[[#This Row],[VBD]],BW:BY,3,FALSE)</calculatedColumnFormula>
    </tableColumn>
    <tableColumn id="12" xr3:uid="{00000000-0010-0000-0700-00000C000000}" name="Missed Games"/>
    <tableColumn id="13" xr3:uid="{00000000-0010-0000-0700-00000D000000}" name="V/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5"/>
  <sheetViews>
    <sheetView topLeftCell="A23" zoomScale="70" zoomScaleNormal="70" workbookViewId="0">
      <selection activeCell="A28" sqref="A28:XFD48"/>
    </sheetView>
  </sheetViews>
  <sheetFormatPr defaultColWidth="8.88671875" defaultRowHeight="14.4" x14ac:dyDescent="0.3"/>
  <cols>
    <col min="1" max="1" width="17.109375" style="1" bestFit="1" customWidth="1"/>
    <col min="2" max="2" width="14" style="1" customWidth="1"/>
    <col min="3" max="3" width="20.6640625" style="1" customWidth="1"/>
    <col min="4" max="4" width="13.88671875" style="1" customWidth="1"/>
    <col min="5" max="5" width="14.33203125" style="1" customWidth="1"/>
    <col min="6" max="6" width="13.33203125" style="1" customWidth="1"/>
    <col min="7" max="7" width="15.88671875" style="1" customWidth="1"/>
    <col min="8" max="8" width="7.21875" style="1" customWidth="1"/>
    <col min="9" max="10" width="14.77734375" style="1" customWidth="1"/>
    <col min="11" max="15" width="14.77734375" style="2" customWidth="1"/>
    <col min="16" max="16" width="16.77734375" style="2" bestFit="1" customWidth="1"/>
    <col min="17" max="33" width="8.88671875" style="2"/>
    <col min="34" max="16384" width="8.88671875" style="1"/>
  </cols>
  <sheetData>
    <row r="1" spans="1:33" s="2" customFormat="1" ht="24" customHeight="1" thickBot="1" x14ac:dyDescent="0.35">
      <c r="A1" s="112" t="s">
        <v>1980</v>
      </c>
      <c r="B1" s="112">
        <v>46269</v>
      </c>
      <c r="C1" s="140" t="s">
        <v>0</v>
      </c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2"/>
      <c r="Q1" s="3"/>
    </row>
    <row r="2" spans="1:33" s="6" customFormat="1" ht="29.25" customHeight="1" thickBot="1" x14ac:dyDescent="0.35">
      <c r="A2" s="136" t="s">
        <v>1</v>
      </c>
      <c r="B2" s="137"/>
      <c r="C2" s="137"/>
      <c r="D2" s="137"/>
      <c r="E2" s="137"/>
      <c r="F2" s="137"/>
      <c r="G2" s="137"/>
      <c r="H2" s="4"/>
      <c r="I2" s="138" t="s">
        <v>2</v>
      </c>
      <c r="J2" s="138"/>
      <c r="K2" s="138"/>
      <c r="L2" s="138"/>
      <c r="M2" s="138"/>
      <c r="N2" s="138"/>
      <c r="O2" s="138"/>
      <c r="P2" s="138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s="6" customFormat="1" ht="21" customHeight="1" thickBot="1" x14ac:dyDescent="0.35">
      <c r="A3" s="79" t="s">
        <v>3</v>
      </c>
      <c r="B3" s="80" t="s">
        <v>4</v>
      </c>
      <c r="C3" s="139" t="s">
        <v>5</v>
      </c>
      <c r="D3" s="139"/>
      <c r="E3" s="139"/>
      <c r="F3" s="139"/>
      <c r="G3" s="139"/>
      <c r="H3" s="4"/>
      <c r="I3" s="84" t="s">
        <v>6</v>
      </c>
      <c r="J3" s="84" t="s">
        <v>7</v>
      </c>
      <c r="K3" s="85" t="s">
        <v>8</v>
      </c>
      <c r="L3" s="85" t="s">
        <v>9</v>
      </c>
      <c r="M3" s="85" t="s">
        <v>10</v>
      </c>
      <c r="N3" s="85" t="s">
        <v>11</v>
      </c>
      <c r="O3" s="86" t="s">
        <v>12</v>
      </c>
      <c r="P3" s="86" t="s">
        <v>13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6" customFormat="1" ht="21" customHeight="1" thickBot="1" x14ac:dyDescent="0.35">
      <c r="A4" s="119" t="s">
        <v>14</v>
      </c>
      <c r="B4" s="120"/>
      <c r="C4" s="120"/>
      <c r="D4" s="120"/>
      <c r="E4" s="120"/>
      <c r="F4" s="120"/>
      <c r="G4" s="121"/>
      <c r="H4" s="4"/>
      <c r="I4" s="82">
        <v>12</v>
      </c>
      <c r="J4" s="87">
        <v>1</v>
      </c>
      <c r="K4" s="87">
        <v>2</v>
      </c>
      <c r="L4" s="87">
        <v>2</v>
      </c>
      <c r="M4" s="87">
        <v>1</v>
      </c>
      <c r="N4" s="87">
        <v>1</v>
      </c>
      <c r="O4" s="87">
        <v>6</v>
      </c>
      <c r="P4" s="88">
        <v>0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s="6" customFormat="1" ht="21" customHeight="1" thickBot="1" x14ac:dyDescent="0.35">
      <c r="A5" s="81" t="s">
        <v>15</v>
      </c>
      <c r="B5" s="82">
        <v>0</v>
      </c>
      <c r="C5" s="118" t="s">
        <v>16</v>
      </c>
      <c r="D5" s="118"/>
      <c r="E5" s="118"/>
      <c r="F5" s="118"/>
      <c r="G5" s="118"/>
      <c r="H5" s="4"/>
      <c r="I5" s="133" t="s">
        <v>17</v>
      </c>
      <c r="J5" s="133"/>
      <c r="K5" s="133"/>
      <c r="L5" s="133"/>
      <c r="M5" s="133"/>
      <c r="N5" s="133"/>
      <c r="O5" s="133"/>
      <c r="P5" s="133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s="6" customFormat="1" ht="21" customHeight="1" thickBot="1" x14ac:dyDescent="0.35">
      <c r="A6" s="81" t="s">
        <v>18</v>
      </c>
      <c r="B6" s="82">
        <v>0</v>
      </c>
      <c r="C6" s="118" t="s">
        <v>19</v>
      </c>
      <c r="D6" s="118"/>
      <c r="E6" s="118"/>
      <c r="F6" s="118"/>
      <c r="G6" s="118"/>
      <c r="H6" s="4"/>
      <c r="I6" s="134" t="s">
        <v>1475</v>
      </c>
      <c r="J6" s="134"/>
      <c r="K6" s="82" t="s">
        <v>1986</v>
      </c>
      <c r="L6" s="135" t="s">
        <v>20</v>
      </c>
      <c r="M6" s="135"/>
      <c r="N6" s="135"/>
      <c r="O6" s="135"/>
      <c r="P6" s="135"/>
      <c r="R6" s="5"/>
      <c r="V6" s="5"/>
      <c r="W6" s="5"/>
      <c r="X6" s="5"/>
      <c r="Y6" s="5"/>
      <c r="Z6" s="5"/>
      <c r="AA6" s="5"/>
      <c r="AB6" s="5"/>
      <c r="AC6" s="5"/>
    </row>
    <row r="7" spans="1:33" s="5" customFormat="1" ht="29.25" customHeight="1" thickBot="1" x14ac:dyDescent="0.35">
      <c r="A7" s="81" t="s">
        <v>21</v>
      </c>
      <c r="B7" s="82">
        <v>25</v>
      </c>
      <c r="C7" s="118" t="s">
        <v>22</v>
      </c>
      <c r="D7" s="118"/>
      <c r="E7" s="118"/>
      <c r="F7" s="118"/>
      <c r="G7" s="118"/>
      <c r="H7" s="4"/>
      <c r="I7" s="122" t="s">
        <v>23</v>
      </c>
      <c r="J7" s="122"/>
      <c r="K7" s="89">
        <v>200</v>
      </c>
      <c r="L7" s="123" t="s">
        <v>1460</v>
      </c>
      <c r="M7" s="123"/>
      <c r="N7" s="123"/>
      <c r="O7" s="123"/>
      <c r="P7" s="89">
        <v>0</v>
      </c>
    </row>
    <row r="8" spans="1:33" s="6" customFormat="1" ht="21" customHeight="1" thickBot="1" x14ac:dyDescent="0.35">
      <c r="A8" s="81" t="s">
        <v>24</v>
      </c>
      <c r="B8" s="82">
        <v>4</v>
      </c>
      <c r="C8" s="118" t="s">
        <v>25</v>
      </c>
      <c r="D8" s="118"/>
      <c r="E8" s="118"/>
      <c r="F8" s="118"/>
      <c r="G8" s="118"/>
      <c r="H8" s="4"/>
      <c r="I8" s="124" t="s">
        <v>1476</v>
      </c>
      <c r="J8" s="125"/>
      <c r="K8" s="12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s="6" customFormat="1" ht="21" customHeight="1" thickBot="1" x14ac:dyDescent="0.35">
      <c r="A9" s="81" t="s">
        <v>26</v>
      </c>
      <c r="B9" s="82">
        <v>-1</v>
      </c>
      <c r="C9" s="118" t="s">
        <v>27</v>
      </c>
      <c r="D9" s="118"/>
      <c r="E9" s="118"/>
      <c r="F9" s="118"/>
      <c r="G9" s="118"/>
      <c r="H9" s="4"/>
      <c r="I9" s="127"/>
      <c r="J9" s="128"/>
      <c r="K9" s="129"/>
      <c r="L9" s="78"/>
      <c r="M9" s="78"/>
      <c r="N9" s="78"/>
      <c r="O9" s="78"/>
      <c r="P9" s="78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s="6" customFormat="1" ht="21" customHeight="1" thickBot="1" x14ac:dyDescent="0.35">
      <c r="A10" s="81" t="s">
        <v>28</v>
      </c>
      <c r="B10" s="82">
        <v>0</v>
      </c>
      <c r="C10" s="118" t="s">
        <v>29</v>
      </c>
      <c r="D10" s="118"/>
      <c r="E10" s="118"/>
      <c r="F10" s="118"/>
      <c r="G10" s="118"/>
      <c r="H10" s="4"/>
      <c r="I10" s="130"/>
      <c r="J10" s="131"/>
      <c r="K10" s="132"/>
      <c r="L10" s="98"/>
      <c r="M10" s="97"/>
      <c r="N10" s="98"/>
      <c r="O10" s="76"/>
      <c r="P10" s="77"/>
      <c r="Q10" s="5"/>
      <c r="R10" s="5"/>
      <c r="S10" s="5"/>
      <c r="T10" s="5"/>
      <c r="U10" s="5"/>
      <c r="V10" s="5"/>
      <c r="W10" s="5"/>
      <c r="X10" s="5"/>
      <c r="Y10" s="5"/>
    </row>
    <row r="11" spans="1:33" s="6" customFormat="1" ht="21" customHeight="1" thickBot="1" x14ac:dyDescent="0.35">
      <c r="A11" s="119" t="s">
        <v>30</v>
      </c>
      <c r="B11" s="120"/>
      <c r="C11" s="120"/>
      <c r="D11" s="120"/>
      <c r="E11" s="120"/>
      <c r="F11" s="120"/>
      <c r="G11" s="121"/>
      <c r="H11" s="4"/>
      <c r="I11" s="78"/>
      <c r="J11" s="96"/>
      <c r="K11" s="96"/>
      <c r="L11" s="96"/>
      <c r="M11" s="96"/>
      <c r="N11" s="9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33" s="5" customFormat="1" ht="21" customHeight="1" thickBot="1" x14ac:dyDescent="0.35">
      <c r="A12" s="81" t="s">
        <v>31</v>
      </c>
      <c r="B12" s="82">
        <v>0</v>
      </c>
      <c r="C12" s="118" t="s">
        <v>32</v>
      </c>
      <c r="D12" s="118"/>
      <c r="E12" s="118"/>
      <c r="F12" s="118"/>
      <c r="G12" s="118"/>
      <c r="H12" s="4"/>
      <c r="I12" s="101"/>
      <c r="J12" s="101"/>
      <c r="K12" s="101"/>
      <c r="L12" s="101"/>
      <c r="M12" s="101"/>
      <c r="N12" s="101"/>
    </row>
    <row r="13" spans="1:33" s="6" customFormat="1" ht="21" customHeight="1" thickBot="1" x14ac:dyDescent="0.35">
      <c r="A13" s="81" t="s">
        <v>33</v>
      </c>
      <c r="B13" s="82">
        <v>10</v>
      </c>
      <c r="C13" s="118" t="s">
        <v>34</v>
      </c>
      <c r="D13" s="118"/>
      <c r="E13" s="118"/>
      <c r="F13" s="118"/>
      <c r="G13" s="118"/>
      <c r="H13" s="4"/>
      <c r="I13" s="101"/>
      <c r="J13" s="101"/>
      <c r="K13" s="101"/>
      <c r="L13" s="101"/>
      <c r="M13" s="101"/>
      <c r="N13" s="10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33" s="6" customFormat="1" ht="29.25" customHeight="1" thickBot="1" x14ac:dyDescent="0.35">
      <c r="A14" s="81" t="s">
        <v>35</v>
      </c>
      <c r="B14" s="82">
        <v>6</v>
      </c>
      <c r="C14" s="118" t="s">
        <v>36</v>
      </c>
      <c r="D14" s="118"/>
      <c r="E14" s="118"/>
      <c r="F14" s="118"/>
      <c r="G14" s="118"/>
      <c r="H14" s="4"/>
      <c r="I14" s="101"/>
      <c r="J14" s="101"/>
      <c r="K14" s="101"/>
      <c r="L14" s="101"/>
      <c r="M14" s="101"/>
      <c r="N14" s="101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33" s="6" customFormat="1" ht="21" customHeight="1" thickBot="1" x14ac:dyDescent="0.35">
      <c r="A15" s="119" t="s">
        <v>37</v>
      </c>
      <c r="B15" s="120"/>
      <c r="C15" s="120"/>
      <c r="D15" s="120"/>
      <c r="E15" s="120"/>
      <c r="F15" s="120"/>
      <c r="G15" s="121"/>
      <c r="H15" s="4"/>
      <c r="I15" s="101"/>
      <c r="J15" s="101"/>
      <c r="K15" s="101"/>
      <c r="L15" s="101"/>
      <c r="M15" s="101"/>
      <c r="N15" s="10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33" s="5" customFormat="1" ht="21" customHeight="1" thickBot="1" x14ac:dyDescent="0.35">
      <c r="A16" s="81" t="s">
        <v>38</v>
      </c>
      <c r="B16" s="82">
        <v>0.5</v>
      </c>
      <c r="C16" s="118" t="s">
        <v>39</v>
      </c>
      <c r="D16" s="118"/>
      <c r="E16" s="118"/>
      <c r="F16" s="118"/>
      <c r="G16" s="118"/>
      <c r="H16" s="4"/>
      <c r="I16" s="101"/>
      <c r="J16" s="101"/>
      <c r="K16" s="101"/>
      <c r="L16" s="101"/>
      <c r="M16" s="101"/>
      <c r="N16" s="101"/>
    </row>
    <row r="17" spans="1:17" s="5" customFormat="1" ht="21" customHeight="1" thickBot="1" x14ac:dyDescent="0.35">
      <c r="A17" s="81" t="s">
        <v>40</v>
      </c>
      <c r="B17" s="82">
        <v>0.5</v>
      </c>
      <c r="C17" s="118" t="s">
        <v>41</v>
      </c>
      <c r="D17" s="118"/>
      <c r="E17" s="118"/>
      <c r="F17" s="118"/>
      <c r="G17" s="118"/>
      <c r="H17" s="4"/>
      <c r="I17" s="101"/>
      <c r="J17" s="101"/>
      <c r="K17" s="101"/>
      <c r="L17" s="101"/>
      <c r="M17" s="101"/>
      <c r="N17" s="101"/>
    </row>
    <row r="18" spans="1:17" s="5" customFormat="1" ht="21" customHeight="1" thickBot="1" x14ac:dyDescent="0.35">
      <c r="A18" s="81" t="s">
        <v>42</v>
      </c>
      <c r="B18" s="82">
        <v>0.5</v>
      </c>
      <c r="C18" s="118" t="s">
        <v>43</v>
      </c>
      <c r="D18" s="118"/>
      <c r="E18" s="118"/>
      <c r="F18" s="118"/>
      <c r="G18" s="118"/>
      <c r="H18" s="4"/>
    </row>
    <row r="19" spans="1:17" s="5" customFormat="1" ht="29.25" customHeight="1" thickBot="1" x14ac:dyDescent="0.35">
      <c r="A19" s="81" t="s">
        <v>44</v>
      </c>
      <c r="B19" s="82">
        <v>10</v>
      </c>
      <c r="C19" s="118" t="s">
        <v>45</v>
      </c>
      <c r="D19" s="118"/>
      <c r="E19" s="118"/>
      <c r="F19" s="118"/>
      <c r="G19" s="118"/>
      <c r="H19" s="4"/>
    </row>
    <row r="20" spans="1:17" s="5" customFormat="1" ht="21" customHeight="1" thickBot="1" x14ac:dyDescent="0.35">
      <c r="A20" s="81" t="s">
        <v>46</v>
      </c>
      <c r="B20" s="82">
        <v>6</v>
      </c>
      <c r="C20" s="118" t="s">
        <v>47</v>
      </c>
      <c r="D20" s="118"/>
      <c r="E20" s="118"/>
      <c r="F20" s="118"/>
      <c r="G20" s="118"/>
      <c r="H20" s="4"/>
    </row>
    <row r="21" spans="1:17" s="5" customFormat="1" ht="21" customHeight="1" thickBot="1" x14ac:dyDescent="0.35">
      <c r="A21" s="119" t="s">
        <v>48</v>
      </c>
      <c r="B21" s="120"/>
      <c r="C21" s="120"/>
      <c r="D21" s="120"/>
      <c r="E21" s="120"/>
      <c r="F21" s="120"/>
      <c r="G21" s="121"/>
      <c r="H21" s="4"/>
      <c r="I21" s="4"/>
      <c r="J21" s="4"/>
      <c r="K21" s="4"/>
      <c r="L21" s="4"/>
    </row>
    <row r="22" spans="1:17" s="5" customFormat="1" ht="21" customHeight="1" thickBot="1" x14ac:dyDescent="0.35">
      <c r="A22" s="81" t="s">
        <v>49</v>
      </c>
      <c r="B22" s="82">
        <v>-2</v>
      </c>
      <c r="C22" s="118" t="s">
        <v>50</v>
      </c>
      <c r="D22" s="118"/>
      <c r="E22" s="118"/>
      <c r="F22" s="118"/>
      <c r="G22" s="118"/>
      <c r="H22" s="4"/>
      <c r="I22" s="7"/>
      <c r="J22" s="7"/>
      <c r="K22" s="7"/>
      <c r="L22" s="7"/>
      <c r="M22" s="2"/>
      <c r="N22" s="2"/>
      <c r="O22" s="2"/>
    </row>
    <row r="23" spans="1:17" s="5" customFormat="1" ht="21" customHeight="1" thickBot="1" x14ac:dyDescent="0.35">
      <c r="A23" s="81" t="s">
        <v>51</v>
      </c>
      <c r="B23" s="82">
        <v>0</v>
      </c>
      <c r="C23" s="118" t="s">
        <v>52</v>
      </c>
      <c r="D23" s="118"/>
      <c r="E23" s="118"/>
      <c r="F23" s="118"/>
      <c r="G23" s="118"/>
      <c r="H23" s="4"/>
      <c r="I23" s="7"/>
      <c r="J23" s="7"/>
      <c r="K23" s="7"/>
      <c r="L23" s="7"/>
      <c r="M23" s="2"/>
      <c r="N23" s="2"/>
      <c r="O23" s="2"/>
    </row>
    <row r="24" spans="1:17" s="5" customFormat="1" ht="21" customHeight="1" thickBot="1" x14ac:dyDescent="0.35">
      <c r="A24" s="81" t="s">
        <v>53</v>
      </c>
      <c r="B24" s="82">
        <v>0</v>
      </c>
      <c r="C24" s="118" t="s">
        <v>54</v>
      </c>
      <c r="D24" s="118"/>
      <c r="E24" s="118"/>
      <c r="F24" s="118"/>
      <c r="G24" s="118"/>
      <c r="H24" s="4"/>
      <c r="I24" s="7"/>
      <c r="J24" s="7"/>
      <c r="K24" s="7"/>
      <c r="L24" s="7"/>
      <c r="M24" s="2"/>
      <c r="N24" s="2"/>
      <c r="O24" s="2"/>
    </row>
    <row r="25" spans="1:17" s="5" customFormat="1" ht="21" customHeight="1" thickBot="1" x14ac:dyDescent="0.35">
      <c r="A25" s="83" t="s">
        <v>55</v>
      </c>
      <c r="B25" s="82">
        <v>0</v>
      </c>
      <c r="C25" s="118" t="s">
        <v>56</v>
      </c>
      <c r="D25" s="118"/>
      <c r="E25" s="118"/>
      <c r="F25" s="118"/>
      <c r="G25" s="118"/>
      <c r="H25" s="4"/>
      <c r="I25" s="7"/>
      <c r="J25" s="7"/>
      <c r="K25" s="7"/>
      <c r="L25" s="7"/>
      <c r="M25" s="2"/>
      <c r="N25" s="2"/>
      <c r="O25" s="2"/>
    </row>
    <row r="26" spans="1:17" s="2" customFormat="1" ht="14.25" customHeight="1" x14ac:dyDescent="0.3">
      <c r="A26" s="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7" s="2" customFormat="1" ht="15" customHeight="1" x14ac:dyDescent="0.3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7" s="2" customFormat="1" ht="18" hidden="1" customHeight="1" thickBot="1" x14ac:dyDescent="0.35">
      <c r="A28" s="116" t="s">
        <v>57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</row>
    <row r="29" spans="1:17" s="2" customFormat="1" ht="14.25" hidden="1" customHeight="1" x14ac:dyDescent="0.3">
      <c r="A29" s="9" t="s">
        <v>58</v>
      </c>
      <c r="B29" s="9" t="s">
        <v>18</v>
      </c>
      <c r="C29" s="9" t="s">
        <v>21</v>
      </c>
      <c r="D29" s="9" t="s">
        <v>24</v>
      </c>
      <c r="E29" s="9" t="s">
        <v>26</v>
      </c>
      <c r="F29" s="9" t="s">
        <v>31</v>
      </c>
      <c r="G29" s="9" t="s">
        <v>33</v>
      </c>
      <c r="H29" s="9" t="s">
        <v>35</v>
      </c>
      <c r="I29" s="9" t="s">
        <v>49</v>
      </c>
      <c r="J29" s="9" t="s">
        <v>51</v>
      </c>
      <c r="K29" s="9" t="s">
        <v>53</v>
      </c>
      <c r="L29" s="10"/>
      <c r="M29" s="10"/>
      <c r="N29" s="10"/>
      <c r="O29" s="10"/>
      <c r="P29" s="10"/>
      <c r="Q29" s="10"/>
    </row>
    <row r="30" spans="1:17" s="2" customFormat="1" ht="15" hidden="1" customHeight="1" x14ac:dyDescent="0.3">
      <c r="A30" s="11" t="s">
        <v>59</v>
      </c>
      <c r="B30" s="12">
        <f>B6</f>
        <v>0</v>
      </c>
      <c r="C30" s="12">
        <f>B7</f>
        <v>25</v>
      </c>
      <c r="D30" s="12">
        <f>B8</f>
        <v>4</v>
      </c>
      <c r="E30" s="12">
        <f>B9</f>
        <v>-1</v>
      </c>
      <c r="F30" s="12">
        <f>B12</f>
        <v>0</v>
      </c>
      <c r="G30" s="12">
        <f>B13</f>
        <v>10</v>
      </c>
      <c r="H30" s="12">
        <f>B14</f>
        <v>6</v>
      </c>
      <c r="I30" s="12">
        <f>B22</f>
        <v>-2</v>
      </c>
      <c r="J30" s="12">
        <f>B23</f>
        <v>0</v>
      </c>
      <c r="K30" s="12">
        <f>B24</f>
        <v>0</v>
      </c>
      <c r="L30" s="10"/>
      <c r="M30" s="10"/>
      <c r="N30" s="10"/>
      <c r="O30" s="10"/>
      <c r="P30" s="10"/>
      <c r="Q30" s="10"/>
    </row>
    <row r="31" spans="1:17" s="2" customFormat="1" ht="14.25" hidden="1" customHeight="1" x14ac:dyDescent="0.3">
      <c r="A31" s="9" t="s">
        <v>60</v>
      </c>
      <c r="B31" s="9" t="s">
        <v>31</v>
      </c>
      <c r="C31" s="9" t="s">
        <v>33</v>
      </c>
      <c r="D31" s="9" t="s">
        <v>35</v>
      </c>
      <c r="E31" s="9" t="s">
        <v>61</v>
      </c>
      <c r="F31" s="9" t="s">
        <v>44</v>
      </c>
      <c r="G31" s="9" t="s">
        <v>46</v>
      </c>
      <c r="H31" s="9" t="s">
        <v>49</v>
      </c>
      <c r="I31" s="9" t="s">
        <v>53</v>
      </c>
      <c r="J31" s="9" t="s">
        <v>55</v>
      </c>
      <c r="K31" s="12"/>
      <c r="L31" s="10"/>
      <c r="M31" s="10"/>
      <c r="N31" s="10"/>
      <c r="O31" s="10"/>
      <c r="P31" s="10"/>
      <c r="Q31" s="10"/>
    </row>
    <row r="32" spans="1:17" s="2" customFormat="1" ht="15" hidden="1" customHeight="1" x14ac:dyDescent="0.3">
      <c r="A32" s="11" t="s">
        <v>59</v>
      </c>
      <c r="B32" s="12">
        <f>B12</f>
        <v>0</v>
      </c>
      <c r="C32" s="12">
        <f>B13</f>
        <v>10</v>
      </c>
      <c r="D32" s="12">
        <f>B14</f>
        <v>6</v>
      </c>
      <c r="E32" s="12">
        <f>B16</f>
        <v>0.5</v>
      </c>
      <c r="F32" s="12">
        <f>B19</f>
        <v>10</v>
      </c>
      <c r="G32" s="12">
        <f>B20</f>
        <v>6</v>
      </c>
      <c r="H32" s="12">
        <f>B22</f>
        <v>-2</v>
      </c>
      <c r="I32" s="12">
        <f>B24</f>
        <v>0</v>
      </c>
      <c r="J32" s="12">
        <f>B25</f>
        <v>0</v>
      </c>
      <c r="K32" s="12"/>
      <c r="L32" s="10"/>
      <c r="M32" s="10"/>
      <c r="N32" s="10"/>
      <c r="O32" s="10"/>
      <c r="P32" s="10"/>
      <c r="Q32" s="10"/>
    </row>
    <row r="33" spans="1:17" s="2" customFormat="1" ht="14.25" hidden="1" customHeight="1" x14ac:dyDescent="0.3">
      <c r="A33" s="9" t="s">
        <v>62</v>
      </c>
      <c r="B33" s="9" t="s">
        <v>61</v>
      </c>
      <c r="C33" s="9" t="s">
        <v>44</v>
      </c>
      <c r="D33" s="9" t="s">
        <v>46</v>
      </c>
      <c r="E33" s="9" t="s">
        <v>31</v>
      </c>
      <c r="F33" s="9" t="s">
        <v>33</v>
      </c>
      <c r="G33" s="9" t="s">
        <v>35</v>
      </c>
      <c r="H33" s="9" t="s">
        <v>49</v>
      </c>
      <c r="I33" s="9" t="s">
        <v>53</v>
      </c>
      <c r="J33" s="9" t="s">
        <v>55</v>
      </c>
      <c r="K33" s="12"/>
      <c r="L33" s="10"/>
      <c r="M33" s="10"/>
      <c r="N33" s="10"/>
      <c r="O33" s="10"/>
      <c r="P33" s="10"/>
      <c r="Q33" s="10"/>
    </row>
    <row r="34" spans="1:17" s="2" customFormat="1" ht="15" hidden="1" customHeight="1" x14ac:dyDescent="0.3">
      <c r="A34" s="11" t="s">
        <v>59</v>
      </c>
      <c r="B34" s="12">
        <f>B17</f>
        <v>0.5</v>
      </c>
      <c r="C34" s="12">
        <f>B19</f>
        <v>10</v>
      </c>
      <c r="D34" s="12">
        <f>B20</f>
        <v>6</v>
      </c>
      <c r="E34" s="12">
        <f>B12</f>
        <v>0</v>
      </c>
      <c r="F34" s="12">
        <f>B13</f>
        <v>10</v>
      </c>
      <c r="G34" s="12">
        <f>B14</f>
        <v>6</v>
      </c>
      <c r="H34" s="12">
        <f>B22</f>
        <v>-2</v>
      </c>
      <c r="I34" s="12">
        <f>B24</f>
        <v>0</v>
      </c>
      <c r="J34" s="12">
        <f>B25</f>
        <v>0</v>
      </c>
      <c r="K34" s="12"/>
      <c r="L34" s="10"/>
      <c r="M34" s="10"/>
      <c r="N34" s="10"/>
      <c r="O34" s="10"/>
      <c r="P34" s="10"/>
      <c r="Q34" s="10"/>
    </row>
    <row r="35" spans="1:17" s="2" customFormat="1" ht="14.25" hidden="1" customHeight="1" x14ac:dyDescent="0.3">
      <c r="A35" s="9" t="s">
        <v>63</v>
      </c>
      <c r="B35" s="9" t="s">
        <v>61</v>
      </c>
      <c r="C35" s="9" t="s">
        <v>44</v>
      </c>
      <c r="D35" s="9" t="s">
        <v>46</v>
      </c>
      <c r="E35" s="9" t="s">
        <v>49</v>
      </c>
      <c r="F35" s="9" t="s">
        <v>55</v>
      </c>
      <c r="G35" s="12"/>
      <c r="H35" s="12"/>
      <c r="I35" s="12"/>
      <c r="J35" s="12"/>
      <c r="K35" s="12"/>
      <c r="L35" s="10"/>
      <c r="M35" s="10"/>
      <c r="N35" s="10"/>
      <c r="O35" s="10"/>
      <c r="P35" s="10"/>
      <c r="Q35" s="10"/>
    </row>
    <row r="36" spans="1:17" s="2" customFormat="1" ht="15" hidden="1" customHeight="1" x14ac:dyDescent="0.3">
      <c r="A36" s="11" t="s">
        <v>59</v>
      </c>
      <c r="B36" s="12">
        <f>B18</f>
        <v>0.5</v>
      </c>
      <c r="C36" s="12">
        <f>B19</f>
        <v>10</v>
      </c>
      <c r="D36" s="12">
        <f>B20</f>
        <v>6</v>
      </c>
      <c r="E36" s="12">
        <f>B22</f>
        <v>-2</v>
      </c>
      <c r="F36" s="12">
        <f>B25</f>
        <v>0</v>
      </c>
      <c r="G36" s="12"/>
      <c r="H36" s="12"/>
      <c r="I36" s="12"/>
      <c r="J36" s="12"/>
      <c r="K36" s="12"/>
      <c r="L36" s="10"/>
      <c r="M36" s="10"/>
      <c r="N36" s="10"/>
      <c r="O36" s="10"/>
      <c r="P36" s="10"/>
      <c r="Q36" s="10"/>
    </row>
    <row r="37" spans="1:17" s="2" customFormat="1" ht="15" hidden="1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0"/>
      <c r="M37" s="10"/>
      <c r="N37" s="10"/>
      <c r="O37" s="10"/>
      <c r="P37" s="10"/>
      <c r="Q37" s="10"/>
    </row>
    <row r="38" spans="1:17" s="2" customFormat="1" ht="15" hidden="1" customHeight="1" x14ac:dyDescent="0.3">
      <c r="A38" s="117" t="s">
        <v>64</v>
      </c>
      <c r="B38" s="117"/>
      <c r="C38" s="117"/>
      <c r="D38" s="117"/>
      <c r="E38" s="117"/>
      <c r="F38" s="117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s="2" customFormat="1" ht="15" hidden="1" customHeight="1" x14ac:dyDescent="0.3">
      <c r="A39" s="9" t="s">
        <v>6</v>
      </c>
      <c r="B39" s="9" t="s">
        <v>7</v>
      </c>
      <c r="C39" s="9" t="s">
        <v>8</v>
      </c>
      <c r="D39" s="9" t="s">
        <v>9</v>
      </c>
      <c r="E39" s="9" t="s">
        <v>10</v>
      </c>
      <c r="F39" s="9" t="s">
        <v>11</v>
      </c>
      <c r="G39" s="13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15" hidden="1" customHeight="1" x14ac:dyDescent="0.3">
      <c r="A40" s="12">
        <f>I4</f>
        <v>12</v>
      </c>
      <c r="B40" s="12">
        <f>J4+P4</f>
        <v>1</v>
      </c>
      <c r="C40" s="12">
        <f>K4</f>
        <v>2</v>
      </c>
      <c r="D40" s="12">
        <f>L4</f>
        <v>2</v>
      </c>
      <c r="E40" s="12">
        <f>M4</f>
        <v>1</v>
      </c>
      <c r="F40" s="74">
        <f>N4+I38</f>
        <v>1</v>
      </c>
      <c r="G40" s="12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t="15" hidden="1" customHeight="1" x14ac:dyDescent="0.3">
      <c r="A41" s="12" t="s">
        <v>65</v>
      </c>
      <c r="B41" s="12">
        <f>(J4+P4)*I4</f>
        <v>12</v>
      </c>
      <c r="C41" s="74">
        <f>ROUND(K4*I4*1.267,0)</f>
        <v>30</v>
      </c>
      <c r="D41" s="74">
        <f>ROUND(L4*I4*1.23,0)</f>
        <v>30</v>
      </c>
      <c r="E41" s="12">
        <f>ROUND(M4*I4*1.2,0)</f>
        <v>14</v>
      </c>
      <c r="F41" s="74">
        <f>ROUND(N4*I4*1.4,0)</f>
        <v>17</v>
      </c>
      <c r="G41" s="12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ht="15" hidden="1" customHeight="1" x14ac:dyDescent="0.3">
      <c r="A42" s="12" t="s">
        <v>66</v>
      </c>
      <c r="B42" s="12">
        <v>0</v>
      </c>
      <c r="C42" s="74">
        <f>FLEX!E1</f>
        <v>8</v>
      </c>
      <c r="D42" s="74">
        <f>FLEX!G1</f>
        <v>9</v>
      </c>
      <c r="E42" s="74">
        <f>FLEX!I1</f>
        <v>0</v>
      </c>
      <c r="F42" s="14"/>
      <c r="G42" s="12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15" hidden="1" customHeight="1" x14ac:dyDescent="0.3">
      <c r="A43" s="75" t="s">
        <v>1459</v>
      </c>
      <c r="B43" s="75">
        <f>ROUND(B41*1.17,)</f>
        <v>14</v>
      </c>
      <c r="C43" s="100">
        <f>C41+C42</f>
        <v>38</v>
      </c>
      <c r="D43" s="100">
        <f>D41+D42</f>
        <v>39</v>
      </c>
      <c r="E43" s="100">
        <f>E41+E42</f>
        <v>14</v>
      </c>
      <c r="F43" s="75"/>
      <c r="G43" s="15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15" hidden="1" customHeight="1" x14ac:dyDescent="0.3">
      <c r="A44" s="9" t="s">
        <v>67</v>
      </c>
      <c r="B44" s="16">
        <f>K7*I4+P7</f>
        <v>2400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15" hidden="1" customHeight="1" x14ac:dyDescent="0.3">
      <c r="A45" s="9" t="s">
        <v>68</v>
      </c>
      <c r="B45" s="17">
        <f>SUM(J4:P4)*I4</f>
        <v>156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ht="15" hidden="1" customHeight="1" x14ac:dyDescent="0.3">
      <c r="A46" s="9" t="s">
        <v>69</v>
      </c>
      <c r="B46" s="16">
        <f>B44-B45</f>
        <v>2244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15" hidden="1" customHeight="1" x14ac:dyDescent="0.3">
      <c r="A47" s="9" t="s">
        <v>70</v>
      </c>
      <c r="B47" s="18">
        <f>SUM(Aggregate!J1+Aggregate!X1+Aggregate!AL1+Aggregate!AZ1)</f>
        <v>4589.8753540889729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15" hidden="1" customHeight="1" x14ac:dyDescent="0.3">
      <c r="A48" s="9" t="s">
        <v>71</v>
      </c>
      <c r="B48" s="99">
        <f>B46/B47</f>
        <v>0.48890216550235777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0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</row>
  </sheetData>
  <mergeCells count="34">
    <mergeCell ref="A2:G2"/>
    <mergeCell ref="I2:P2"/>
    <mergeCell ref="C3:G3"/>
    <mergeCell ref="A4:G4"/>
    <mergeCell ref="C1:P1"/>
    <mergeCell ref="C5:G5"/>
    <mergeCell ref="I5:P5"/>
    <mergeCell ref="C6:G6"/>
    <mergeCell ref="I6:J6"/>
    <mergeCell ref="L6:P6"/>
    <mergeCell ref="C7:G7"/>
    <mergeCell ref="I7:J7"/>
    <mergeCell ref="L7:O7"/>
    <mergeCell ref="C8:G8"/>
    <mergeCell ref="C9:G9"/>
    <mergeCell ref="I8:K10"/>
    <mergeCell ref="C10:G10"/>
    <mergeCell ref="A11:G11"/>
    <mergeCell ref="C12:G12"/>
    <mergeCell ref="C13:G13"/>
    <mergeCell ref="C14:G14"/>
    <mergeCell ref="C25:G25"/>
    <mergeCell ref="A15:G15"/>
    <mergeCell ref="C16:G16"/>
    <mergeCell ref="C17:G17"/>
    <mergeCell ref="C18:G18"/>
    <mergeCell ref="C19:G19"/>
    <mergeCell ref="A28:Q28"/>
    <mergeCell ref="A38:F38"/>
    <mergeCell ref="C20:G20"/>
    <mergeCell ref="A21:G21"/>
    <mergeCell ref="C22:G22"/>
    <mergeCell ref="C23:G23"/>
    <mergeCell ref="C24:G24"/>
  </mergeCells>
  <dataValidations count="8">
    <dataValidation type="list" allowBlank="1" showInputMessage="1" showErrorMessage="1" sqref="K6" xr:uid="{00000000-0002-0000-0000-000000000000}">
      <formula1>"Snake,Auction"</formula1>
      <formula2>0</formula2>
    </dataValidation>
    <dataValidation type="list" allowBlank="1" showInputMessage="1" showErrorMessage="1" sqref="I4" xr:uid="{00000000-0002-0000-0000-000001000000}">
      <formula1>"6,8,10,12,14,16,18"</formula1>
    </dataValidation>
    <dataValidation type="list" allowBlank="1" showInputMessage="1" showErrorMessage="1" sqref="P4" xr:uid="{00000000-0002-0000-0000-000002000000}">
      <formula1>"0,1"</formula1>
      <formula2>0</formula2>
    </dataValidation>
    <dataValidation type="list" allowBlank="1" showInputMessage="1" showErrorMessage="1" sqref="J4 M4" xr:uid="{00000000-0002-0000-0000-000003000000}">
      <formula1>"0,1,2"</formula1>
      <formula2>0</formula2>
    </dataValidation>
    <dataValidation type="list" allowBlank="1" showInputMessage="1" showErrorMessage="1" sqref="K4" xr:uid="{00000000-0002-0000-0000-000004000000}">
      <formula1>"1,2,3,4"</formula1>
      <formula2>0</formula2>
    </dataValidation>
    <dataValidation type="list" allowBlank="1" showInputMessage="1" showErrorMessage="1" sqref="L4" xr:uid="{00000000-0002-0000-0000-000005000000}">
      <formula1>"1,2,3,4,5"</formula1>
      <formula2>0</formula2>
    </dataValidation>
    <dataValidation type="list" allowBlank="1" showInputMessage="1" showErrorMessage="1" sqref="N4" xr:uid="{00000000-0002-0000-0000-000006000000}">
      <formula1>"0,1,2,3,4"</formula1>
    </dataValidation>
    <dataValidation type="list" allowBlank="1" showInputMessage="1" showErrorMessage="1" sqref="O4" xr:uid="{00000000-0002-0000-0000-000007000000}">
      <formula1>"4,5,6,7,8,9,10,11,12,13,14,15,16,17,18,19,20"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293"/>
  <sheetViews>
    <sheetView tabSelected="1" zoomScale="55" zoomScaleNormal="55" workbookViewId="0">
      <selection activeCell="X26" sqref="X26"/>
    </sheetView>
  </sheetViews>
  <sheetFormatPr defaultColWidth="8.5546875" defaultRowHeight="14.4" x14ac:dyDescent="0.3"/>
  <cols>
    <col min="1" max="1" width="8.5546875" style="19"/>
    <col min="2" max="2" width="9" style="20" customWidth="1"/>
    <col min="3" max="3" width="16.77734375" style="20" customWidth="1"/>
    <col min="4" max="4" width="11.5546875" style="20" customWidth="1"/>
    <col min="5" max="5" width="8.5546875" style="20"/>
    <col min="6" max="6" width="10.77734375" style="20" customWidth="1"/>
    <col min="7" max="7" width="7.6640625" style="20" customWidth="1"/>
    <col min="8" max="8" width="8.77734375" style="20" customWidth="1"/>
    <col min="9" max="9" width="10.77734375" style="20" customWidth="1"/>
    <col min="10" max="10" width="13" style="20" hidden="1" customWidth="1"/>
    <col min="11" max="11" width="2.77734375" style="20" customWidth="1"/>
    <col min="12" max="12" width="9" style="20" customWidth="1"/>
    <col min="13" max="13" width="19.77734375" style="20" customWidth="1"/>
    <col min="14" max="14" width="11.5546875" style="20" customWidth="1"/>
    <col min="15" max="15" width="8.5546875" style="20"/>
    <col min="16" max="16" width="10.77734375" style="20" customWidth="1"/>
    <col min="17" max="17" width="7.6640625" style="20" customWidth="1"/>
    <col min="18" max="18" width="8.77734375" style="20" customWidth="1"/>
    <col min="19" max="19" width="10.77734375" style="20" customWidth="1"/>
    <col min="20" max="20" width="4.33203125" style="20" hidden="1" customWidth="1"/>
    <col min="21" max="21" width="2.77734375" style="20" customWidth="1"/>
    <col min="22" max="22" width="9" style="20" customWidth="1"/>
    <col min="23" max="23" width="17.21875" style="20" customWidth="1"/>
    <col min="24" max="24" width="11.5546875" style="20" customWidth="1"/>
    <col min="25" max="25" width="8.5546875" style="20"/>
    <col min="26" max="26" width="10.77734375" style="20" customWidth="1"/>
    <col min="27" max="27" width="7.6640625" style="20" customWidth="1"/>
    <col min="28" max="28" width="8.77734375" style="20" customWidth="1"/>
    <col min="29" max="29" width="10.77734375" style="20" customWidth="1"/>
    <col min="30" max="30" width="13" style="20" hidden="1" customWidth="1"/>
    <col min="31" max="31" width="8.5546875" style="19"/>
    <col min="32" max="32" width="18.88671875" style="20" customWidth="1"/>
    <col min="33" max="33" width="28.33203125" style="20" customWidth="1"/>
    <col min="34" max="40" width="8.5546875" style="19"/>
    <col min="41" max="16384" width="8.5546875" style="20"/>
  </cols>
  <sheetData>
    <row r="1" spans="2:34" ht="25.5" customHeight="1" x14ac:dyDescent="0.3">
      <c r="B1" s="113" t="str">
        <f>"DRAFTSHEET  -  "&amp;Scoring!I4&amp;" Team  -  "&amp;Scoring!B17&amp;" PPR  -  "&amp;Scoring!J4&amp;"QB("&amp;Aggregate!B1&amp;") / "&amp;Scoring!K4&amp;"RB("&amp;Aggregate!P1&amp;") / "&amp;Scoring!L4&amp;"WR("&amp;Aggregate!AD1&amp;") / "&amp;Scoring!M4&amp;"TE("&amp;Aggregate!AR1&amp;") / "&amp;Scoring!N4&amp;"[RB/WR/TE]"</f>
        <v>DRAFTSHEET  -  12 Team  -  0.5 PPR  -  1QB(14) / 2RB(38) / 2WR(39) / 1TE(14) / 1[RB/WR/TE]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F1" s="114" t="s">
        <v>72</v>
      </c>
      <c r="AG1" s="114"/>
    </row>
    <row r="2" spans="2:34" ht="15.75" customHeight="1" x14ac:dyDescent="0.3">
      <c r="B2" s="115" t="str">
        <f ca="1">"Passing: "&amp;Scoring!B8&amp;" PPTD, "&amp;ROUND(1/Scoring!B7,2)&amp;" PPY, "&amp;Scoring!B9&amp;" Int  |  Rushing: "&amp;Scoring!B14&amp;" PPTD, "&amp;ROUND(1/Scoring!B13,2)&amp;" PPY  |  Receiving: "&amp;Scoring!B20&amp;" PPTD, "&amp;ROUND(1/Scoring!B19,2)&amp;" PPY, "&amp;Scoring!B17&amp;" PPR  |  Draft: use 'x' if drafted by someone else, 'o' if drafted by you  |  Updated: "&amp;TEXT(TODAY(),"yyyy-mm-dd")</f>
        <v>Passing: 4 PPTD, 0.04 PPY, -1 Int  |  Rushing: 6 PPTD, 0.1 PPY  |  Receiving: 6 PPTD, 0.1 PPY, 0.5 PPR  |  Draft: use 'x' if drafted by someone else, 'o' if drafted by you  |  Updated: 2026-09-04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F2" s="102" t="s">
        <v>73</v>
      </c>
      <c r="AG2" s="21"/>
      <c r="AH2" s="19" t="str">
        <f>IF($AG$2="","",IFERROR(MATCH("*"&amp;$AG$2&amp;"*",C5:C44,0)+4,""))</f>
        <v/>
      </c>
    </row>
    <row r="3" spans="2:34" ht="23.25" customHeight="1" x14ac:dyDescent="0.3">
      <c r="B3" s="113" t="s">
        <v>74</v>
      </c>
      <c r="C3" s="113"/>
      <c r="D3" s="113"/>
      <c r="E3" s="113"/>
      <c r="F3" s="113"/>
      <c r="G3" s="113"/>
      <c r="H3" s="113"/>
      <c r="I3" s="113"/>
      <c r="L3" s="113" t="s">
        <v>75</v>
      </c>
      <c r="M3" s="113"/>
      <c r="N3" s="113"/>
      <c r="O3" s="113"/>
      <c r="P3" s="113"/>
      <c r="Q3" s="113"/>
      <c r="R3" s="113"/>
      <c r="S3" s="113"/>
      <c r="V3" s="113" t="s">
        <v>76</v>
      </c>
      <c r="W3" s="113"/>
      <c r="X3" s="113"/>
      <c r="Y3" s="113"/>
      <c r="Z3" s="113"/>
      <c r="AA3" s="113"/>
      <c r="AB3" s="113"/>
      <c r="AC3" s="113"/>
      <c r="AF3" s="102" t="s">
        <v>77</v>
      </c>
      <c r="AG3" s="22" t="str">
        <f>IF($AG$2="","",IF(AH2&lt;&gt;"","QB",IF(AH3&lt;&gt;"","RB",IF(AH4&lt;&gt;"","WR",IF(AH5&lt;&gt;"","TE","Not Found")))))</f>
        <v/>
      </c>
      <c r="AH3" s="19" t="str">
        <f>IF($AG$2="","",IFERROR(MATCH("*"&amp;$AG$2&amp;"*",M5:M84,0)+4,""))</f>
        <v/>
      </c>
    </row>
    <row r="4" spans="2:34" ht="15" customHeight="1" x14ac:dyDescent="0.3">
      <c r="B4" s="23" t="s">
        <v>78</v>
      </c>
      <c r="C4" s="23" t="s">
        <v>79</v>
      </c>
      <c r="D4" s="23" t="s">
        <v>80</v>
      </c>
      <c r="E4" s="23" t="s">
        <v>81</v>
      </c>
      <c r="F4" s="23" t="s">
        <v>82</v>
      </c>
      <c r="G4" s="23" t="s">
        <v>83</v>
      </c>
      <c r="H4" s="23" t="s">
        <v>84</v>
      </c>
      <c r="I4" s="23" t="s">
        <v>85</v>
      </c>
      <c r="J4" s="23"/>
      <c r="K4" s="24"/>
      <c r="L4" s="23" t="s">
        <v>78</v>
      </c>
      <c r="M4" s="23" t="s">
        <v>79</v>
      </c>
      <c r="N4" s="23" t="s">
        <v>80</v>
      </c>
      <c r="O4" s="23" t="s">
        <v>81</v>
      </c>
      <c r="P4" s="23" t="s">
        <v>82</v>
      </c>
      <c r="Q4" s="23" t="s">
        <v>83</v>
      </c>
      <c r="R4" s="23" t="s">
        <v>84</v>
      </c>
      <c r="S4" s="23" t="s">
        <v>85</v>
      </c>
      <c r="T4" s="23"/>
      <c r="U4" s="24"/>
      <c r="V4" s="23" t="s">
        <v>78</v>
      </c>
      <c r="W4" s="23" t="s">
        <v>79</v>
      </c>
      <c r="X4" s="23" t="s">
        <v>80</v>
      </c>
      <c r="Y4" s="23" t="s">
        <v>81</v>
      </c>
      <c r="Z4" s="23" t="s">
        <v>82</v>
      </c>
      <c r="AA4" s="23" t="s">
        <v>83</v>
      </c>
      <c r="AB4" s="23" t="s">
        <v>84</v>
      </c>
      <c r="AC4" s="23" t="s">
        <v>85</v>
      </c>
      <c r="AD4" s="23"/>
      <c r="AF4" s="102" t="s">
        <v>86</v>
      </c>
      <c r="AG4" s="22" t="str">
        <f>IF($AG$2="","",IF(AH2&lt;&gt;"",INDEX(B:B,AH2),IF(AH3&lt;&gt;"",INDEX(L:L,AH3),IF(AH4&lt;&gt;"",INDEX(V:V,AH4),IF(AH5&lt;&gt;"",INDEX(B:B,AH5),"")))))</f>
        <v/>
      </c>
      <c r="AH4" s="19" t="str">
        <f>IF($AG$2="","",IFERROR(MATCH("*"&amp;$AG$2&amp;"*",W5:W84,0)+4,""))</f>
        <v/>
      </c>
    </row>
    <row r="5" spans="2:34" ht="14.25" customHeight="1" x14ac:dyDescent="0.3">
      <c r="B5" s="25">
        <f>IFERROR(VLOOKUP(Table9[[#This Row],[NAME]],Aggregate!$B:$M,11,FALSE()),"")</f>
        <v>1</v>
      </c>
      <c r="C5" s="26" t="str">
        <f>Aggregate!B3</f>
        <v>Josh Allen</v>
      </c>
      <c r="D5" s="26" t="str">
        <f>VLOOKUP(Table9[[#This Row],[NAME]],Aggregate!B:M,4,FALSE())</f>
        <v>BUF/7</v>
      </c>
      <c r="E5" s="25">
        <f>IFERROR(VLOOKUP(Table9[[#This Row],[NAME]],Aggregate!$B:$M,8,FALSE()),"")</f>
        <v>324.97794219607846</v>
      </c>
      <c r="F5" s="25">
        <f>IF(Scoring!$K$6="Auction",IFERROR(VLOOKUP(Table9[[#This Row],[NAME]],Aggregate!$B:$M,10,FALSE()),""),IFERROR(VLOOKUP(Table9[[#This Row],[NAME]],Aggregate!$B:$M,9,FALSE()),""))</f>
        <v>62.646657490196162</v>
      </c>
      <c r="G5" s="27">
        <f>SUMIFS(J6:$J$44,I6:$I$44,"&lt;&gt;x",I6:$I$44,"&lt;&gt;o",J6:$J$44,"&gt;0")/Aggregate!$J$1</f>
        <v>0.70706964012408691</v>
      </c>
      <c r="H5" s="25" t="str">
        <f>VLOOKUP(Table9[[#This Row],[NAME]],ECR!C:E,3,FALSE)</f>
        <v>QB1</v>
      </c>
      <c r="I5" s="28"/>
      <c r="J5" s="29">
        <f>VLOOKUP(C5,Aggregate!B:J,9,FALSE())</f>
        <v>62.646657490196162</v>
      </c>
      <c r="K5" s="30"/>
      <c r="L5" s="25">
        <f>IFERROR(VLOOKUP(Table10[[#This Row],[NAME]],Aggregate!$P:$AA,11,FALSE()),"")</f>
        <v>1</v>
      </c>
      <c r="M5" s="26" t="str">
        <f>Aggregate!P3</f>
        <v>Jahmyr Gibbs</v>
      </c>
      <c r="N5" s="26" t="str">
        <f>VLOOKUP(Table10[[#This Row],[NAME]],Aggregate!P:AA,4,FALSE())</f>
        <v>DET/6</v>
      </c>
      <c r="O5" s="25">
        <f>IFERROR(VLOOKUP(Table10[[#This Row],[NAME]],Aggregate!$P:$AA,8,FALSE()),"")</f>
        <v>291.35318594117643</v>
      </c>
      <c r="P5" s="25">
        <f>IF(Scoring!$K$6="Auction",IFERROR(VLOOKUP(Table10[[#This Row],[NAME]],Aggregate!$P:$AA,10,FALSE()),""),IFERROR(VLOOKUP(Table10[[#This Row],[NAME]],Aggregate!$P:$AA,9,FALSE()),""))</f>
        <v>177.19870799999995</v>
      </c>
      <c r="Q5" s="27">
        <f>SUMIFS(T6:$T$84,S6:$S$84,"&lt;&gt;x",S6:$S$84,"&lt;&gt;o",T6:$T$84,"&gt;0")/Aggregate!$X$1</f>
        <v>0.92271742513158139</v>
      </c>
      <c r="R5" s="25" t="str">
        <f>VLOOKUP(Table10[[#This Row],[NAME]],ECR!C:E,3,FALSE)</f>
        <v>RB1</v>
      </c>
      <c r="S5" s="28"/>
      <c r="T5" s="29">
        <f>VLOOKUP(M5,Aggregate!P:X,9,FALSE())</f>
        <v>177.19870799999995</v>
      </c>
      <c r="U5" s="31"/>
      <c r="V5" s="25">
        <f>IFERROR(VLOOKUP(Table11[[#This Row],[NAME]],Aggregate!$AD:$AO,11,FALSE()),"")</f>
        <v>1</v>
      </c>
      <c r="W5" s="26" t="str">
        <f>Aggregate!AD4</f>
        <v>Puka Nacua</v>
      </c>
      <c r="X5" s="26" t="str">
        <f>VLOOKUP(Table11[[#This Row],[NAME]],Aggregate!AD:AO,4,FALSE())</f>
        <v>LAR/11</v>
      </c>
      <c r="Y5" s="25">
        <f>IFERROR(VLOOKUP(Table11[[#This Row],[NAME]],Aggregate!$AD:$AO,8,FALSE()),"")</f>
        <v>248.43324296078427</v>
      </c>
      <c r="Z5" s="25">
        <f>IF(Scoring!$K$6="Auction",IFERROR(VLOOKUP(Table11[[#This Row],[NAME]],Aggregate!$AD:$AO,10,FALSE()),""),IFERROR(VLOOKUP(Table11[[#This Row],[NAME]],Aggregate!$AD:$AO,9,FALSE()),""))</f>
        <v>133.72934497120869</v>
      </c>
      <c r="AA5" s="27">
        <f>SUMIFS(AD6:$AD$84,AC6:$AC$84,"&lt;&gt;x",AC6:$AC$84,"&lt;&gt;o",AD6:$AD$84,"&gt;0")/Aggregate!$AL$1</f>
        <v>0.92511397527178207</v>
      </c>
      <c r="AB5" s="25" t="str">
        <f>VLOOKUP(Table11[[#This Row],[NAME]],ECR!C:E,3,FALSE)</f>
        <v>WR2</v>
      </c>
      <c r="AC5" s="28"/>
      <c r="AD5" s="29">
        <f>VLOOKUP(W5,Aggregate!AD:AL,9,FALSE())</f>
        <v>133.72934497120869</v>
      </c>
      <c r="AF5" s="102" t="s">
        <v>87</v>
      </c>
      <c r="AG5" s="22" t="str">
        <f>IF($AG$2="","",IF(AH2&lt;&gt;"",INDEX(C:C,AH2),IF(AH3&lt;&gt;"",INDEX(M:M,AH3),IF(AH4&lt;&gt;"",INDEX(W:W,AH4),IF(AH5&lt;&gt;"",INDEX(C:C,AH5),"")))))</f>
        <v/>
      </c>
      <c r="AH5" s="19" t="str">
        <f>IF($AG$2="","",IFERROR(MATCH("*"&amp;$AG$2&amp;"*",C48:C84,0)+47,""))</f>
        <v/>
      </c>
    </row>
    <row r="6" spans="2:34" ht="14.25" customHeight="1" x14ac:dyDescent="0.3">
      <c r="B6" s="25">
        <f>IFERROR(VLOOKUP(Table9[[#This Row],[NAME]],Aggregate!$B:$M,11,FALSE()),"")</f>
        <v>2</v>
      </c>
      <c r="C6" s="26" t="str">
        <f>Aggregate!B4</f>
        <v>Lamar Jackson</v>
      </c>
      <c r="D6" s="26" t="str">
        <f>VLOOKUP(Table9[[#This Row],[NAME]],Aggregate!B:M,4,FALSE())</f>
        <v>BAL/13</v>
      </c>
      <c r="E6" s="25">
        <f>IFERROR(VLOOKUP(Table9[[#This Row],[NAME]],Aggregate!$B:$M,8,FALSE()),"")</f>
        <v>286.78631303529409</v>
      </c>
      <c r="F6" s="25">
        <f>IF(Scoring!$K$6="Auction",IFERROR(VLOOKUP(Table9[[#This Row],[NAME]],Aggregate!$B:$M,10,FALSE()),""),IFERROR(VLOOKUP(Table9[[#This Row],[NAME]],Aggregate!$B:$M,9,FALSE()),""))</f>
        <v>24.455028329411789</v>
      </c>
      <c r="G6" s="27">
        <f>SUMIFS(J7:$J$44,I7:$I$44,"&lt;&gt;x",I7:$I$44,"&lt;&gt;o",J7:$J$44,"&gt;0")/Aggregate!$J$1</f>
        <v>0.59272003974147569</v>
      </c>
      <c r="H6" s="25" t="str">
        <f>VLOOKUP(Table9[[#This Row],[NAME]],ECR!C:E,3,FALSE)</f>
        <v>QB2</v>
      </c>
      <c r="I6" s="28"/>
      <c r="J6" s="29">
        <f>VLOOKUP(C6,Aggregate!B:J,9,FALSE())</f>
        <v>24.455028329411789</v>
      </c>
      <c r="K6" s="30"/>
      <c r="L6" s="25">
        <f>IFERROR(VLOOKUP(Table10[[#This Row],[NAME]],Aggregate!$P:$AA,11,FALSE()),"")</f>
        <v>1</v>
      </c>
      <c r="M6" s="26" t="str">
        <f>Aggregate!P4</f>
        <v>Bijan Robinson</v>
      </c>
      <c r="N6" s="26" t="str">
        <f>VLOOKUP(Table10[[#This Row],[NAME]],Aggregate!P:AA,4,FALSE())</f>
        <v>ATL/11</v>
      </c>
      <c r="O6" s="25">
        <f>IFERROR(VLOOKUP(Table10[[#This Row],[NAME]],Aggregate!$P:$AA,8,FALSE()),"")</f>
        <v>270.3410833333333</v>
      </c>
      <c r="P6" s="25">
        <f>IF(Scoring!$K$6="Auction",IFERROR(VLOOKUP(Table10[[#This Row],[NAME]],Aggregate!$P:$AA,10,FALSE()),""),IFERROR(VLOOKUP(Table10[[#This Row],[NAME]],Aggregate!$P:$AA,9,FALSE()),""))</f>
        <v>156.18660539215682</v>
      </c>
      <c r="Q6" s="27">
        <f>SUMIFS(T7:$T$84,S7:$S$84,"&lt;&gt;x",S7:$S$84,"&lt;&gt;o",T7:$T$84,"&gt;0")/Aggregate!$X$1</f>
        <v>0.85459896557338022</v>
      </c>
      <c r="R6" s="25" t="str">
        <f>VLOOKUP(Table10[[#This Row],[NAME]],ECR!C:E,3,FALSE)</f>
        <v>RB2</v>
      </c>
      <c r="S6" s="28"/>
      <c r="T6" s="29">
        <f>VLOOKUP(M6,Aggregate!P:X,9,FALSE())</f>
        <v>156.18660539215682</v>
      </c>
      <c r="U6" s="31"/>
      <c r="V6" s="25">
        <f>IFERROR(VLOOKUP(Table11[[#This Row],[NAME]],Aggregate!$AD:$AO,11,FALSE()),"")</f>
        <v>1</v>
      </c>
      <c r="W6" s="26" t="str">
        <f>Aggregate!AD3</f>
        <v>Ja'Marr Chase</v>
      </c>
      <c r="X6" s="26" t="str">
        <f>VLOOKUP(Table11[[#This Row],[NAME]],Aggregate!AD:AO,4,FALSE())</f>
        <v>CIN/6</v>
      </c>
      <c r="Y6" s="25">
        <f>IFERROR(VLOOKUP(Table11[[#This Row],[NAME]],Aggregate!$AD:$AO,8,FALSE()),"")</f>
        <v>246.79194561764703</v>
      </c>
      <c r="Z6" s="25">
        <f>IF(Scoring!$K$6="Auction",IFERROR(VLOOKUP(Table11[[#This Row],[NAME]],Aggregate!$AD:$AO,10,FALSE()),""),IFERROR(VLOOKUP(Table11[[#This Row],[NAME]],Aggregate!$AD:$AO,9,FALSE()),""))</f>
        <v>132.08804762807145</v>
      </c>
      <c r="AA6" s="27">
        <f>SUMIFS(AD7:$AD$84,AC7:$AC$84,"&lt;&gt;x",AC7:$AC$84,"&lt;&gt;o",AD7:$AD$84,"&gt;0")/Aggregate!$AL$1</f>
        <v>0.85114704749607661</v>
      </c>
      <c r="AB6" s="25" t="str">
        <f>VLOOKUP(Table11[[#This Row],[NAME]],ECR!C:E,3,FALSE)</f>
        <v>WR1</v>
      </c>
      <c r="AC6" s="28"/>
      <c r="AD6" s="29">
        <f>VLOOKUP(W6,Aggregate!AD:AL,9,FALSE())</f>
        <v>132.08804762807145</v>
      </c>
      <c r="AF6" s="102" t="s">
        <v>88</v>
      </c>
      <c r="AG6" s="22" t="str">
        <f>IF($AG$2="","",IF(AH2&lt;&gt;"",INDEX(D:D,AH2),IF(AH3&lt;&gt;"",INDEX(N:N,AH3),IF(AH4&lt;&gt;"",INDEX(X:X,AH4),IF(AH5&lt;&gt;"",INDEX(D:D,AH5),"")))))</f>
        <v/>
      </c>
    </row>
    <row r="7" spans="2:34" ht="14.25" customHeight="1" x14ac:dyDescent="0.3">
      <c r="B7" s="25">
        <f>IFERROR(VLOOKUP(Table9[[#This Row],[NAME]],Aggregate!$B:$M,11,FALSE()),"")</f>
        <v>2</v>
      </c>
      <c r="C7" s="26" t="str">
        <f>Aggregate!B7</f>
        <v>Jalen Hurts</v>
      </c>
      <c r="D7" s="26" t="str">
        <f>VLOOKUP(Table9[[#This Row],[NAME]],Aggregate!B:M,4,FALSE())</f>
        <v>PHI/10</v>
      </c>
      <c r="E7" s="25">
        <f>IFERROR(VLOOKUP(Table9[[#This Row],[NAME]],Aggregate!$B:$M,8,FALSE()),"")</f>
        <v>284.3126483137255</v>
      </c>
      <c r="F7" s="25">
        <f>IF(Scoring!$K$6="Auction",IFERROR(VLOOKUP(Table9[[#This Row],[NAME]],Aggregate!$B:$M,10,FALSE()),""),IFERROR(VLOOKUP(Table9[[#This Row],[NAME]],Aggregate!$B:$M,9,FALSE()),""))</f>
        <v>21.981363607843207</v>
      </c>
      <c r="G7" s="27">
        <f>SUMIFS(J8:$J$44,I8:$I$44,"&lt;&gt;x",I8:$I$44,"&lt;&gt;o",J8:$J$44,"&gt;0")/Aggregate!$J$1</f>
        <v>0.48993708195611457</v>
      </c>
      <c r="H7" s="25" t="str">
        <f>VLOOKUP(Table9[[#This Row],[NAME]],ECR!C:E,3,FALSE)</f>
        <v>QB5</v>
      </c>
      <c r="I7" s="28"/>
      <c r="J7" s="29">
        <f>VLOOKUP(C7,Aggregate!B:J,9,FALSE())</f>
        <v>21.981363607843207</v>
      </c>
      <c r="K7" s="30"/>
      <c r="L7" s="25">
        <f>IFERROR(VLOOKUP(Table10[[#This Row],[NAME]],Aggregate!$P:$AA,11,FALSE()),"")</f>
        <v>2</v>
      </c>
      <c r="M7" s="26" t="str">
        <f>Aggregate!P5</f>
        <v>Jonathan Taylor</v>
      </c>
      <c r="N7" s="26" t="str">
        <f>VLOOKUP(Table10[[#This Row],[NAME]],Aggregate!P:AA,4,FALSE())</f>
        <v>IND/13</v>
      </c>
      <c r="O7" s="25">
        <f>IFERROR(VLOOKUP(Table10[[#This Row],[NAME]],Aggregate!$P:$AA,8,FALSE()),"")</f>
        <v>249.19215376470592</v>
      </c>
      <c r="P7" s="25">
        <f>IF(Scoring!$K$6="Auction",IFERROR(VLOOKUP(Table10[[#This Row],[NAME]],Aggregate!$P:$AA,10,FALSE()),""),IFERROR(VLOOKUP(Table10[[#This Row],[NAME]],Aggregate!$P:$AA,9,FALSE()),""))</f>
        <v>135.03767582352947</v>
      </c>
      <c r="Q7" s="27">
        <f>SUMIFS(T8:$T$84,S8:$S$84,"&lt;&gt;x",S8:$S$84,"&lt;&gt;o",T8:$T$84,"&gt;0")/Aggregate!$X$1</f>
        <v>0.79570429636456652</v>
      </c>
      <c r="R7" s="25" t="str">
        <f>VLOOKUP(Table10[[#This Row],[NAME]],ECR!C:E,3,FALSE)</f>
        <v>RB3</v>
      </c>
      <c r="S7" s="28"/>
      <c r="T7" s="29">
        <f>VLOOKUP(M7,Aggregate!P:X,9,FALSE())</f>
        <v>135.03767582352947</v>
      </c>
      <c r="U7" s="31"/>
      <c r="V7" s="25">
        <f>IFERROR(VLOOKUP(Table11[[#This Row],[NAME]],Aggregate!$AD:$AO,11,FALSE()),"")</f>
        <v>1</v>
      </c>
      <c r="W7" s="26" t="str">
        <f>Aggregate!AD5</f>
        <v>Jaxon Smith-Njigba</v>
      </c>
      <c r="X7" s="26" t="str">
        <f>VLOOKUP(Table11[[#This Row],[NAME]],Aggregate!AD:AO,4,FALSE())</f>
        <v>SEA/11</v>
      </c>
      <c r="Y7" s="25">
        <f>IFERROR(VLOOKUP(Table11[[#This Row],[NAME]],Aggregate!$AD:$AO,8,FALSE()),"")</f>
        <v>240.06534259803925</v>
      </c>
      <c r="Z7" s="25">
        <f>IF(Scoring!$K$6="Auction",IFERROR(VLOOKUP(Table11[[#This Row],[NAME]],Aggregate!$AD:$AO,10,FALSE()),""),IFERROR(VLOOKUP(Table11[[#This Row],[NAME]],Aggregate!$AD:$AO,9,FALSE()),""))</f>
        <v>125.36144460846367</v>
      </c>
      <c r="AA7" s="27">
        <f>SUMIFS(AD8:$AD$84,AC8:$AC$84,"&lt;&gt;x",AC8:$AC$84,"&lt;&gt;o",AD8:$AD$84,"&gt;0")/Aggregate!$AL$1</f>
        <v>0.78094689626572611</v>
      </c>
      <c r="AB7" s="25" t="str">
        <f>VLOOKUP(Table11[[#This Row],[NAME]],ECR!C:E,3,FALSE)</f>
        <v>WR3</v>
      </c>
      <c r="AC7" s="28"/>
      <c r="AD7" s="29">
        <f>VLOOKUP(W7,Aggregate!AD:AL,9,FALSE())</f>
        <v>125.36144460846367</v>
      </c>
      <c r="AF7" s="102" t="s">
        <v>89</v>
      </c>
      <c r="AG7" s="32" t="str">
        <f>IF($AG$2="","",IF(AH2&lt;&gt;"",INDEX(E:E,AH2),IF(AH3&lt;&gt;"",INDEX(O:O,AH3),IF(AH4&lt;&gt;"",INDEX(Y:Y,AH4),IF(AH5&lt;&gt;"",INDEX(E:E,AH5),"")))))</f>
        <v/>
      </c>
    </row>
    <row r="8" spans="2:34" ht="14.25" customHeight="1" x14ac:dyDescent="0.3">
      <c r="B8" s="25">
        <f>IFERROR(VLOOKUP(Table9[[#This Row],[NAME]],Aggregate!$B:$M,11,FALSE()),"")</f>
        <v>2</v>
      </c>
      <c r="C8" s="26" t="str">
        <f>Aggregate!B5</f>
        <v>Drake Maye</v>
      </c>
      <c r="D8" s="26" t="str">
        <f>VLOOKUP(Table9[[#This Row],[NAME]],Aggregate!B:M,4,FALSE())</f>
        <v>NE/11</v>
      </c>
      <c r="E8" s="25">
        <f>IFERROR(VLOOKUP(Table9[[#This Row],[NAME]],Aggregate!$B:$M,8,FALSE()),"")</f>
        <v>282.82320683921574</v>
      </c>
      <c r="F8" s="25">
        <f>IF(Scoring!$K$6="Auction",IFERROR(VLOOKUP(Table9[[#This Row],[NAME]],Aggregate!$B:$M,10,FALSE()),""),IFERROR(VLOOKUP(Table9[[#This Row],[NAME]],Aggregate!$B:$M,9,FALSE()),""))</f>
        <v>20.491922133333446</v>
      </c>
      <c r="G8" s="27">
        <f>SUMIFS(J9:$J$44,I9:$I$44,"&lt;&gt;x",I9:$I$44,"&lt;&gt;o",J9:$J$44,"&gt;0")/Aggregate!$J$1</f>
        <v>0.39411862386829172</v>
      </c>
      <c r="H8" s="25" t="str">
        <f>VLOOKUP(Table9[[#This Row],[NAME]],ECR!C:E,3,FALSE)</f>
        <v>QB3</v>
      </c>
      <c r="I8" s="28"/>
      <c r="J8" s="29">
        <f>VLOOKUP(C8,Aggregate!B:J,9,FALSE())</f>
        <v>20.491922133333446</v>
      </c>
      <c r="K8" s="30"/>
      <c r="L8" s="25">
        <f>IFERROR(VLOOKUP(Table10[[#This Row],[NAME]],Aggregate!$P:$AA,11,FALSE()),"")</f>
        <v>2</v>
      </c>
      <c r="M8" s="26" t="str">
        <f>Aggregate!P6</f>
        <v>Christian McCaffrey</v>
      </c>
      <c r="N8" s="26" t="str">
        <f>VLOOKUP(Table10[[#This Row],[NAME]],Aggregate!P:AA,4,FALSE())</f>
        <v>SF/8</v>
      </c>
      <c r="O8" s="25">
        <f>IFERROR(VLOOKUP(Table10[[#This Row],[NAME]],Aggregate!$P:$AA,8,FALSE()),"")</f>
        <v>248.8974134901961</v>
      </c>
      <c r="P8" s="25">
        <f>IF(Scoring!$K$6="Auction",IFERROR(VLOOKUP(Table10[[#This Row],[NAME]],Aggregate!$P:$AA,10,FALSE()),""),IFERROR(VLOOKUP(Table10[[#This Row],[NAME]],Aggregate!$P:$AA,9,FALSE()),""))</f>
        <v>134.74293554901965</v>
      </c>
      <c r="Q8" s="27">
        <f>SUMIFS(T9:$T$84,S9:$S$84,"&lt;&gt;x",S9:$S$84,"&lt;&gt;o",T9:$T$84,"&gt;0")/Aggregate!$X$1</f>
        <v>0.73693817373257975</v>
      </c>
      <c r="R8" s="25" t="str">
        <f>VLOOKUP(Table10[[#This Row],[NAME]],ECR!C:E,3,FALSE)</f>
        <v>RB4</v>
      </c>
      <c r="S8" s="28"/>
      <c r="T8" s="29">
        <f>VLOOKUP(M8,Aggregate!P:X,9,FALSE())</f>
        <v>134.74293554901965</v>
      </c>
      <c r="U8" s="31"/>
      <c r="V8" s="25">
        <f>IFERROR(VLOOKUP(Table11[[#This Row],[NAME]],Aggregate!$AD:$AO,11,FALSE()),"")</f>
        <v>1</v>
      </c>
      <c r="W8" s="26" t="str">
        <f>Aggregate!AD6</f>
        <v>Amon-Ra St. Brown</v>
      </c>
      <c r="X8" s="26" t="str">
        <f>VLOOKUP(Table11[[#This Row],[NAME]],Aggregate!AD:AO,4,FALSE())</f>
        <v>DET/6</v>
      </c>
      <c r="Y8" s="25">
        <f>IFERROR(VLOOKUP(Table11[[#This Row],[NAME]],Aggregate!$AD:$AO,8,FALSE()),"")</f>
        <v>230.24461133333332</v>
      </c>
      <c r="Z8" s="25">
        <f>IF(Scoring!$K$6="Auction",IFERROR(VLOOKUP(Table11[[#This Row],[NAME]],Aggregate!$AD:$AO,10,FALSE()),""),IFERROR(VLOOKUP(Table11[[#This Row],[NAME]],Aggregate!$AD:$AO,9,FALSE()),""))</f>
        <v>115.54071334375774</v>
      </c>
      <c r="AA8" s="27">
        <f>SUMIFS(AD9:$AD$84,AC9:$AC$84,"&lt;&gt;x",AC9:$AC$84,"&lt;&gt;o",AD9:$AD$84,"&gt;0")/Aggregate!$AL$1</f>
        <v>0.71624617767296406</v>
      </c>
      <c r="AB8" s="25" t="str">
        <f>VLOOKUP(Table11[[#This Row],[NAME]],ECR!C:E,3,FALSE)</f>
        <v>WR4</v>
      </c>
      <c r="AC8" s="28"/>
      <c r="AD8" s="29">
        <f>VLOOKUP(W8,Aggregate!AD:AL,9,FALSE())</f>
        <v>115.54071334375774</v>
      </c>
      <c r="AF8" s="102" t="s">
        <v>90</v>
      </c>
      <c r="AG8" s="32" t="str">
        <f>IF($AG$2="","",IF(AH2&lt;&gt;"",INDEX(F:F,AH2),IF(AH3&lt;&gt;"",INDEX(P:P,AH3),IF(AH4&lt;&gt;"",INDEX(Z:Z,AH4),IF(AH5&lt;&gt;"",INDEX(F:F,AH5),"")))))</f>
        <v/>
      </c>
    </row>
    <row r="9" spans="2:34" ht="14.25" customHeight="1" x14ac:dyDescent="0.3">
      <c r="B9" s="25">
        <f>IFERROR(VLOOKUP(Table9[[#This Row],[NAME]],Aggregate!$B:$M,11,FALSE()),"")</f>
        <v>2</v>
      </c>
      <c r="C9" s="26" t="str">
        <f>Aggregate!B8</f>
        <v>Jayden Daniels</v>
      </c>
      <c r="D9" s="26" t="str">
        <f>VLOOKUP(Table9[[#This Row],[NAME]],Aggregate!B:M,4,FALSE())</f>
        <v>WAS/7</v>
      </c>
      <c r="E9" s="25">
        <f>IFERROR(VLOOKUP(Table9[[#This Row],[NAME]],Aggregate!$B:$M,8,FALSE()),"")</f>
        <v>282.16019799215678</v>
      </c>
      <c r="F9" s="25">
        <f>IF(Scoring!$K$6="Auction",IFERROR(VLOOKUP(Table9[[#This Row],[NAME]],Aggregate!$B:$M,10,FALSE()),""),IFERROR(VLOOKUP(Table9[[#This Row],[NAME]],Aggregate!$B:$M,9,FALSE()),""))</f>
        <v>19.828913286274485</v>
      </c>
      <c r="G9" s="27">
        <f>SUMIFS(J10:$J$44,I10:$I$44,"&lt;&gt;x",I10:$I$44,"&lt;&gt;o",J10:$J$44,"&gt;0")/Aggregate!$J$1</f>
        <v>0.30140033788782011</v>
      </c>
      <c r="H9" s="25" t="str">
        <f>VLOOKUP(Table9[[#This Row],[NAME]],ECR!C:E,3,FALSE)</f>
        <v>QB6</v>
      </c>
      <c r="I9" s="28"/>
      <c r="J9" s="29">
        <f>VLOOKUP(C9,Aggregate!B:J,9,FALSE())</f>
        <v>19.828913286274485</v>
      </c>
      <c r="K9" s="30"/>
      <c r="L9" s="25">
        <f>IFERROR(VLOOKUP(Table10[[#This Row],[NAME]],Aggregate!$P:$AA,11,FALSE()),"")</f>
        <v>3</v>
      </c>
      <c r="M9" s="26" t="str">
        <f>Aggregate!P7</f>
        <v>James Cook III</v>
      </c>
      <c r="N9" s="26" t="str">
        <f>VLOOKUP(Table10[[#This Row],[NAME]],Aggregate!P:AA,4,FALSE())</f>
        <v>BUF/7</v>
      </c>
      <c r="O9" s="25">
        <f>IFERROR(VLOOKUP(Table10[[#This Row],[NAME]],Aggregate!$P:$AA,8,FALSE()),"")</f>
        <v>218.43560237254903</v>
      </c>
      <c r="P9" s="25">
        <f>IF(Scoring!$K$6="Auction",IFERROR(VLOOKUP(Table10[[#This Row],[NAME]],Aggregate!$P:$AA,10,FALSE()),""),IFERROR(VLOOKUP(Table10[[#This Row],[NAME]],Aggregate!$P:$AA,9,FALSE()),""))</f>
        <v>104.28112443137256</v>
      </c>
      <c r="Q9" s="27">
        <f>SUMIFS(T10:$T$84,S10:$S$84,"&lt;&gt;x",S10:$S$84,"&lt;&gt;o",T10:$T$84,"&gt;0")/Aggregate!$X$1</f>
        <v>0.69145751590390958</v>
      </c>
      <c r="R9" s="25" t="str">
        <f>VLOOKUP(Table10[[#This Row],[NAME]],ECR!C:E,3,FALSE)</f>
        <v>RB5</v>
      </c>
      <c r="S9" s="28"/>
      <c r="T9" s="29">
        <f>VLOOKUP(M9,Aggregate!P:X,9,FALSE())</f>
        <v>104.28112443137256</v>
      </c>
      <c r="U9" s="31"/>
      <c r="V9" s="25">
        <f>IFERROR(VLOOKUP(Table11[[#This Row],[NAME]],Aggregate!$AD:$AO,11,FALSE()),"")</f>
        <v>2</v>
      </c>
      <c r="W9" s="26" t="str">
        <f>Aggregate!AD8</f>
        <v>Justin Jefferson</v>
      </c>
      <c r="X9" s="26" t="str">
        <f>VLOOKUP(Table11[[#This Row],[NAME]],Aggregate!AD:AO,4,FALSE())</f>
        <v>MIN/6</v>
      </c>
      <c r="Y9" s="25">
        <f>IFERROR(VLOOKUP(Table11[[#This Row],[NAME]],Aggregate!$AD:$AO,8,FALSE()),"")</f>
        <v>195.8526435490196</v>
      </c>
      <c r="Z9" s="25">
        <f>IF(Scoring!$K$6="Auction",IFERROR(VLOOKUP(Table11[[#This Row],[NAME]],Aggregate!$AD:$AO,10,FALSE()),""),IFERROR(VLOOKUP(Table11[[#This Row],[NAME]],Aggregate!$AD:$AO,9,FALSE()),""))</f>
        <v>81.148745559444023</v>
      </c>
      <c r="AA9" s="27">
        <f>SUMIFS(AD10:$AD$84,AC10:$AC$84,"&lt;&gt;x",AC10:$AC$84,"&lt;&gt;o",AD10:$AD$84,"&gt;0")/Aggregate!$AL$1</f>
        <v>0.67080434164260927</v>
      </c>
      <c r="AB9" s="25" t="str">
        <f>VLOOKUP(Table11[[#This Row],[NAME]],ECR!C:E,3,FALSE)</f>
        <v>WR6</v>
      </c>
      <c r="AC9" s="28"/>
      <c r="AD9" s="29">
        <f>VLOOKUP(W9,Aggregate!AD:AL,9,FALSE())</f>
        <v>81.148745559444023</v>
      </c>
      <c r="AF9" s="102" t="s">
        <v>91</v>
      </c>
      <c r="AG9" s="33" t="str">
        <f>IF($AG$2="","",IF(AH2&lt;&gt;"",INDEX(G:G,AH2),IF(AH3&lt;&gt;"",INDEX(Q:Q,AH3),IF(AH4&lt;&gt;"",INDEX(AA:AA,AH4),IF(AH5&lt;&gt;"",INDEX(G:G,AH5),"")))))</f>
        <v/>
      </c>
    </row>
    <row r="10" spans="2:34" ht="14.25" customHeight="1" x14ac:dyDescent="0.3">
      <c r="B10" s="25">
        <f>IFERROR(VLOOKUP(Table9[[#This Row],[NAME]],Aggregate!$B:$M,11,FALSE()),"")</f>
        <v>3</v>
      </c>
      <c r="C10" s="26" t="str">
        <f>Aggregate!B6</f>
        <v>Joe Burrow</v>
      </c>
      <c r="D10" s="26" t="str">
        <f>VLOOKUP(Table9[[#This Row],[NAME]],Aggregate!B:M,4,FALSE())</f>
        <v>CIN/6</v>
      </c>
      <c r="E10" s="25">
        <f>IFERROR(VLOOKUP(Table9[[#This Row],[NAME]],Aggregate!$B:$M,8,FALSE()),"")</f>
        <v>278.52257971764703</v>
      </c>
      <c r="F10" s="25">
        <f>IF(Scoring!$K$6="Auction",IFERROR(VLOOKUP(Table9[[#This Row],[NAME]],Aggregate!$B:$M,10,FALSE()),""),IFERROR(VLOOKUP(Table9[[#This Row],[NAME]],Aggregate!$B:$M,9,FALSE()),""))</f>
        <v>16.191295011764737</v>
      </c>
      <c r="G10" s="27">
        <f>SUMIFS(J11:$J$44,I11:$I$44,"&lt;&gt;x",I11:$I$44,"&lt;&gt;o",J11:$J$44,"&gt;0")/Aggregate!$J$1</f>
        <v>0.22569124079200842</v>
      </c>
      <c r="H10" s="25" t="str">
        <f>VLOOKUP(Table9[[#This Row],[NAME]],ECR!C:E,3,FALSE)</f>
        <v>QB4</v>
      </c>
      <c r="I10" s="28"/>
      <c r="J10" s="29">
        <f>VLOOKUP(C10,Aggregate!B:J,9,FALSE())</f>
        <v>16.191295011764737</v>
      </c>
      <c r="K10" s="30"/>
      <c r="L10" s="25">
        <f>IFERROR(VLOOKUP(Table10[[#This Row],[NAME]],Aggregate!$P:$AA,11,FALSE()),"")</f>
        <v>3</v>
      </c>
      <c r="M10" s="26" t="str">
        <f>Aggregate!P10</f>
        <v>De'Von Achane</v>
      </c>
      <c r="N10" s="26" t="str">
        <f>VLOOKUP(Table10[[#This Row],[NAME]],Aggregate!P:AA,4,FALSE())</f>
        <v>MIA/6</v>
      </c>
      <c r="O10" s="25">
        <f>IFERROR(VLOOKUP(Table10[[#This Row],[NAME]],Aggregate!$P:$AA,8,FALSE()),"")</f>
        <v>218.14298968627452</v>
      </c>
      <c r="P10" s="25">
        <f>IF(Scoring!$K$6="Auction",IFERROR(VLOOKUP(Table10[[#This Row],[NAME]],Aggregate!$P:$AA,10,FALSE()),""),IFERROR(VLOOKUP(Table10[[#This Row],[NAME]],Aggregate!$P:$AA,9,FALSE()),""))</f>
        <v>103.98851174509805</v>
      </c>
      <c r="Q10" s="27">
        <f>SUMIFS(T11:$T$84,S11:$S$84,"&lt;&gt;x",S11:$S$84,"&lt;&gt;o",T11:$T$84,"&gt;0")/Aggregate!$X$1</f>
        <v>0.64610447673617499</v>
      </c>
      <c r="R10" s="25" t="str">
        <f>VLOOKUP(Table10[[#This Row],[NAME]],ECR!C:E,3,FALSE)</f>
        <v>RB8</v>
      </c>
      <c r="S10" s="28"/>
      <c r="T10" s="29">
        <f>VLOOKUP(M10,Aggregate!P:X,9,FALSE())</f>
        <v>103.98851174509805</v>
      </c>
      <c r="U10" s="31"/>
      <c r="V10" s="25">
        <f>IFERROR(VLOOKUP(Table11[[#This Row],[NAME]],Aggregate!$AD:$AO,11,FALSE()),"")</f>
        <v>2</v>
      </c>
      <c r="W10" s="26" t="str">
        <f>Aggregate!AD7</f>
        <v>CeeDee Lamb</v>
      </c>
      <c r="X10" s="26" t="str">
        <f>VLOOKUP(Table11[[#This Row],[NAME]],Aggregate!AD:AO,4,FALSE())</f>
        <v>DAL/14</v>
      </c>
      <c r="Y10" s="25">
        <f>IFERROR(VLOOKUP(Table11[[#This Row],[NAME]],Aggregate!$AD:$AO,8,FALSE()),"")</f>
        <v>195.04431279411764</v>
      </c>
      <c r="Z10" s="25">
        <f>IF(Scoring!$K$6="Auction",IFERROR(VLOOKUP(Table11[[#This Row],[NAME]],Aggregate!$AD:$AO,10,FALSE()),""),IFERROR(VLOOKUP(Table11[[#This Row],[NAME]],Aggregate!$AD:$AO,9,FALSE()),""))</f>
        <v>80.340414804542064</v>
      </c>
      <c r="AA10" s="27">
        <f>SUMIFS(AD11:$AD$84,AC11:$AC$84,"&lt;&gt;x",AC11:$AC$84,"&lt;&gt;o",AD11:$AD$84,"&gt;0")/Aggregate!$AL$1</f>
        <v>0.62581515627702267</v>
      </c>
      <c r="AB10" s="25" t="str">
        <f>VLOOKUP(Table11[[#This Row],[NAME]],ECR!C:E,3,FALSE)</f>
        <v>WR5</v>
      </c>
      <c r="AC10" s="28"/>
      <c r="AD10" s="29">
        <f>VLOOKUP(W10,Aggregate!AD:AL,9,FALSE())</f>
        <v>80.340414804542064</v>
      </c>
      <c r="AF10" s="102" t="s">
        <v>92</v>
      </c>
      <c r="AG10" s="22" t="str">
        <f>IF($AG$2="","",IF(AH2&lt;&gt;"",INDEX(H:H,AH2),IF(AH3&lt;&gt;"",INDEX(R:R,AH3),IF(AH4&lt;&gt;"",INDEX(AB:AB,AH4),IF(AH5&lt;&gt;"",INDEX(H:H,AH5),"")))))</f>
        <v/>
      </c>
    </row>
    <row r="11" spans="2:34" ht="14.25" customHeight="1" x14ac:dyDescent="0.3">
      <c r="B11" s="25">
        <f>IFERROR(VLOOKUP(Table9[[#This Row],[NAME]],Aggregate!$B:$M,11,FALSE()),"")</f>
        <v>4</v>
      </c>
      <c r="C11" s="26" t="str">
        <f>Aggregate!B11</f>
        <v>Trevor Lawrence</v>
      </c>
      <c r="D11" s="26" t="str">
        <f>VLOOKUP(Table9[[#This Row],[NAME]],Aggregate!B:M,4,FALSE())</f>
        <v>JAC/7</v>
      </c>
      <c r="E11" s="25">
        <f>IFERROR(VLOOKUP(Table9[[#This Row],[NAME]],Aggregate!$B:$M,8,FALSE()),"")</f>
        <v>272.07267690196073</v>
      </c>
      <c r="F11" s="25">
        <f>IF(Scoring!$K$6="Auction",IFERROR(VLOOKUP(Table9[[#This Row],[NAME]],Aggregate!$B:$M,10,FALSE()),""),IFERROR(VLOOKUP(Table9[[#This Row],[NAME]],Aggregate!$B:$M,9,FALSE()),""))</f>
        <v>9.7413921960784364</v>
      </c>
      <c r="G11" s="27">
        <f>SUMIFS(J12:$J$44,I12:$I$44,"&lt;&gt;x",I12:$I$44,"&lt;&gt;o",J12:$J$44,"&gt;0")/Aggregate!$J$1</f>
        <v>0.18014133220931616</v>
      </c>
      <c r="H11" s="25" t="str">
        <f>VLOOKUP(Table9[[#This Row],[NAME]],ECR!C:E,3,FALSE)</f>
        <v>QB9</v>
      </c>
      <c r="I11" s="28"/>
      <c r="J11" s="29">
        <f>VLOOKUP(C11,Aggregate!B:J,9,FALSE())</f>
        <v>9.7413921960784364</v>
      </c>
      <c r="K11" s="30"/>
      <c r="L11" s="25">
        <f>IFERROR(VLOOKUP(Table10[[#This Row],[NAME]],Aggregate!$P:$AA,11,FALSE()),"")</f>
        <v>3</v>
      </c>
      <c r="M11" s="26" t="str">
        <f>Aggregate!P13</f>
        <v>Derrick Henry</v>
      </c>
      <c r="N11" s="26" t="str">
        <f>VLOOKUP(Table10[[#This Row],[NAME]],Aggregate!P:AA,4,FALSE())</f>
        <v>BAL/13</v>
      </c>
      <c r="O11" s="25">
        <f>IFERROR(VLOOKUP(Table10[[#This Row],[NAME]],Aggregate!$P:$AA,8,FALSE()),"")</f>
        <v>215.59351798039219</v>
      </c>
      <c r="P11" s="25">
        <f>IF(Scoring!$K$6="Auction",IFERROR(VLOOKUP(Table10[[#This Row],[NAME]],Aggregate!$P:$AA,10,FALSE()),""),IFERROR(VLOOKUP(Table10[[#This Row],[NAME]],Aggregate!$P:$AA,9,FALSE()),""))</f>
        <v>101.43904003921573</v>
      </c>
      <c r="Q11" s="27">
        <f>SUMIFS(T12:$T$84,S12:$S$84,"&lt;&gt;x",S12:$S$84,"&lt;&gt;o",T12:$T$84,"&gt;0")/Aggregate!$X$1</f>
        <v>0.60186335164619287</v>
      </c>
      <c r="R11" s="25" t="str">
        <f>VLOOKUP(Table10[[#This Row],[NAME]],ECR!C:E,3,FALSE)</f>
        <v>RB11</v>
      </c>
      <c r="S11" s="28"/>
      <c r="T11" s="29">
        <f>VLOOKUP(M11,Aggregate!P:X,9,FALSE())</f>
        <v>101.43904003921573</v>
      </c>
      <c r="U11" s="31"/>
      <c r="V11" s="25">
        <f>IFERROR(VLOOKUP(Table11[[#This Row],[NAME]],Aggregate!$AD:$AO,11,FALSE()),"")</f>
        <v>2</v>
      </c>
      <c r="W11" s="26" t="str">
        <f>Aggregate!AD10</f>
        <v>Drake London</v>
      </c>
      <c r="X11" s="26" t="str">
        <f>VLOOKUP(Table11[[#This Row],[NAME]],Aggregate!AD:AO,4,FALSE())</f>
        <v>ATL/11</v>
      </c>
      <c r="Y11" s="25">
        <f>IFERROR(VLOOKUP(Table11[[#This Row],[NAME]],Aggregate!$AD:$AO,8,FALSE()),"")</f>
        <v>190.37801935294115</v>
      </c>
      <c r="Z11" s="25">
        <f>IF(Scoring!$K$6="Auction",IFERROR(VLOOKUP(Table11[[#This Row],[NAME]],Aggregate!$AD:$AO,10,FALSE()),""),IFERROR(VLOOKUP(Table11[[#This Row],[NAME]],Aggregate!$AD:$AO,9,FALSE()),""))</f>
        <v>75.674121363365572</v>
      </c>
      <c r="AA11" s="27">
        <f>SUMIFS(AD12:$AD$84,AC12:$AC$84,"&lt;&gt;x",AC12:$AC$84,"&lt;&gt;o",AD12:$AD$84,"&gt;0")/Aggregate!$AL$1</f>
        <v>0.58343901119889297</v>
      </c>
      <c r="AB11" s="25" t="str">
        <f>VLOOKUP(Table11[[#This Row],[NAME]],ECR!C:E,3,FALSE)</f>
        <v>WR8</v>
      </c>
      <c r="AC11" s="28"/>
      <c r="AD11" s="29">
        <f>VLOOKUP(W11,Aggregate!AD:AL,9,FALSE())</f>
        <v>75.674121363365572</v>
      </c>
      <c r="AF11" s="102" t="s">
        <v>93</v>
      </c>
      <c r="AG11" s="22" t="str">
        <f>IF($AG$2="","",IF(AH2&lt;&gt;"",IF(INDEX(I:I,AH2)="","Available",INDEX(I:I,AH2)),IF(AH3&lt;&gt;"",IF(INDEX(S:S,AH3)="","Available",INDEX(S:S,AH3)),IF(AH4&lt;&gt;"",IF(INDEX(AC:AC,AH4)="","Available",INDEX(AC:AC,AH4)),IF(AH5&lt;&gt;"",IF(INDEX(I:I,AH5)="","Available",INDEX(I:I,AH5)),"")))))</f>
        <v/>
      </c>
    </row>
    <row r="12" spans="2:34" ht="14.25" customHeight="1" x14ac:dyDescent="0.3">
      <c r="B12" s="25">
        <f>IFERROR(VLOOKUP(Table9[[#This Row],[NAME]],Aggregate!$B:$M,11,FALSE()),"")</f>
        <v>4</v>
      </c>
      <c r="C12" s="26" t="str">
        <f>Aggregate!B12</f>
        <v>Dak Prescott</v>
      </c>
      <c r="D12" s="26" t="str">
        <f>VLOOKUP(Table9[[#This Row],[NAME]],Aggregate!B:M,4,FALSE())</f>
        <v>DAL/14</v>
      </c>
      <c r="E12" s="25">
        <f>IFERROR(VLOOKUP(Table9[[#This Row],[NAME]],Aggregate!$B:$M,8,FALSE()),"")</f>
        <v>270.40002917647058</v>
      </c>
      <c r="F12" s="25">
        <f>IF(Scoring!$K$6="Auction",IFERROR(VLOOKUP(Table9[[#This Row],[NAME]],Aggregate!$B:$M,10,FALSE()),""),IFERROR(VLOOKUP(Table9[[#This Row],[NAME]],Aggregate!$B:$M,9,FALSE()),""))</f>
        <v>8.0687444705882854</v>
      </c>
      <c r="G12" s="27">
        <f>SUMIFS(J13:$J$44,I13:$I$44,"&lt;&gt;x",I13:$I$44,"&lt;&gt;o",J13:$J$44,"&gt;0")/Aggregate!$J$1</f>
        <v>0.14241257993093487</v>
      </c>
      <c r="H12" s="25" t="str">
        <f>VLOOKUP(Table9[[#This Row],[NAME]],ECR!C:E,3,FALSE)</f>
        <v>QB10</v>
      </c>
      <c r="I12" s="28"/>
      <c r="J12" s="29">
        <f>VLOOKUP(C12,Aggregate!B:J,9,FALSE())</f>
        <v>8.0687444705882854</v>
      </c>
      <c r="K12" s="30"/>
      <c r="L12" s="25">
        <f>IFERROR(VLOOKUP(Table10[[#This Row],[NAME]],Aggregate!$P:$AA,11,FALSE()),"")</f>
        <v>3</v>
      </c>
      <c r="M12" s="26" t="str">
        <f>Aggregate!P8</f>
        <v>Chase Brown</v>
      </c>
      <c r="N12" s="26" t="str">
        <f>VLOOKUP(Table10[[#This Row],[NAME]],Aggregate!P:AA,4,FALSE())</f>
        <v>CIN/6</v>
      </c>
      <c r="O12" s="25">
        <f>IFERROR(VLOOKUP(Table10[[#This Row],[NAME]],Aggregate!$P:$AA,8,FALSE()),"")</f>
        <v>213.43188870588236</v>
      </c>
      <c r="P12" s="25">
        <f>IF(Scoring!$K$6="Auction",IFERROR(VLOOKUP(Table10[[#This Row],[NAME]],Aggregate!$P:$AA,10,FALSE()),""),IFERROR(VLOOKUP(Table10[[#This Row],[NAME]],Aggregate!$P:$AA,9,FALSE()),""))</f>
        <v>99.277410764705891</v>
      </c>
      <c r="Q12" s="27">
        <f>SUMIFS(T13:$T$84,S13:$S$84,"&lt;&gt;x",S13:$S$84,"&lt;&gt;o",T13:$T$84,"&gt;0")/Aggregate!$X$1</f>
        <v>0.55856498893936024</v>
      </c>
      <c r="R12" s="25" t="str">
        <f>VLOOKUP(Table10[[#This Row],[NAME]],ECR!C:E,3,FALSE)</f>
        <v>RB6</v>
      </c>
      <c r="S12" s="28"/>
      <c r="T12" s="29">
        <f>VLOOKUP(M12,Aggregate!P:X,9,FALSE())</f>
        <v>99.277410764705891</v>
      </c>
      <c r="U12" s="31"/>
      <c r="V12" s="25">
        <f>IFERROR(VLOOKUP(Table11[[#This Row],[NAME]],Aggregate!$AD:$AO,11,FALSE()),"")</f>
        <v>2</v>
      </c>
      <c r="W12" s="26" t="str">
        <f>Aggregate!AD9</f>
        <v>A.J. Brown</v>
      </c>
      <c r="X12" s="26" t="str">
        <f>VLOOKUP(Table11[[#This Row],[NAME]],Aggregate!AD:AO,4,FALSE())</f>
        <v>NE/11</v>
      </c>
      <c r="Y12" s="25">
        <f>IFERROR(VLOOKUP(Table11[[#This Row],[NAME]],Aggregate!$AD:$AO,8,FALSE()),"")</f>
        <v>188.45386680392153</v>
      </c>
      <c r="Z12" s="25">
        <f>IF(Scoring!$K$6="Auction",IFERROR(VLOOKUP(Table11[[#This Row],[NAME]],Aggregate!$AD:$AO,10,FALSE()),""),IFERROR(VLOOKUP(Table11[[#This Row],[NAME]],Aggregate!$AD:$AO,9,FALSE()),""))</f>
        <v>73.749968814345948</v>
      </c>
      <c r="AA12" s="27">
        <f>SUMIFS(AD13:$AD$84,AC13:$AC$84,"&lt;&gt;x",AC13:$AC$84,"&lt;&gt;o",AD13:$AD$84,"&gt;0")/Aggregate!$AL$1</f>
        <v>0.54214035689436868</v>
      </c>
      <c r="AB12" s="25" t="str">
        <f>VLOOKUP(Table11[[#This Row],[NAME]],ECR!C:E,3,FALSE)</f>
        <v>WR7</v>
      </c>
      <c r="AC12" s="28"/>
      <c r="AD12" s="29">
        <f>VLOOKUP(W12,Aggregate!AD:AL,9,FALSE())</f>
        <v>73.749968814345948</v>
      </c>
      <c r="AF12" s="19"/>
      <c r="AG12" s="19"/>
    </row>
    <row r="13" spans="2:34" ht="14.25" customHeight="1" x14ac:dyDescent="0.3">
      <c r="B13" s="25">
        <f>IFERROR(VLOOKUP(Table9[[#This Row],[NAME]],Aggregate!$B:$M,11,FALSE()),"")</f>
        <v>4</v>
      </c>
      <c r="C13" s="26" t="str">
        <f>Aggregate!B15</f>
        <v>Jaxson Dart</v>
      </c>
      <c r="D13" s="26" t="str">
        <f>VLOOKUP(Table9[[#This Row],[NAME]],Aggregate!B:M,4,FALSE())</f>
        <v>NYG/8</v>
      </c>
      <c r="E13" s="25">
        <f>IFERROR(VLOOKUP(Table9[[#This Row],[NAME]],Aggregate!$B:$M,8,FALSE()),"")</f>
        <v>269.87614271372553</v>
      </c>
      <c r="F13" s="25">
        <f>IF(Scoring!$K$6="Auction",IFERROR(VLOOKUP(Table9[[#This Row],[NAME]],Aggregate!$B:$M,10,FALSE()),""),IFERROR(VLOOKUP(Table9[[#This Row],[NAME]],Aggregate!$B:$M,9,FALSE()),""))</f>
        <v>7.5448580078432315</v>
      </c>
      <c r="G13" s="27">
        <f>SUMIFS(J14:$J$44,I14:$I$44,"&lt;&gt;x",I14:$I$44,"&lt;&gt;o",J14:$J$44,"&gt;0")/Aggregate!$J$1</f>
        <v>0.1071334755063125</v>
      </c>
      <c r="H13" s="25" t="str">
        <f>VLOOKUP(Table9[[#This Row],[NAME]],ECR!C:E,3,FALSE)</f>
        <v>QB13</v>
      </c>
      <c r="I13" s="28"/>
      <c r="J13" s="29">
        <f>VLOOKUP(C13,Aggregate!B:J,9,FALSE())</f>
        <v>7.5448580078432315</v>
      </c>
      <c r="K13" s="30"/>
      <c r="L13" s="25">
        <f>IFERROR(VLOOKUP(Table10[[#This Row],[NAME]],Aggregate!$P:$AA,11,FALSE()),"")</f>
        <v>3</v>
      </c>
      <c r="M13" s="26" t="str">
        <f>Aggregate!P9</f>
        <v>Saquon Barkley</v>
      </c>
      <c r="N13" s="26" t="str">
        <f>VLOOKUP(Table10[[#This Row],[NAME]],Aggregate!P:AA,4,FALSE())</f>
        <v>PHI/10</v>
      </c>
      <c r="O13" s="25">
        <f>IFERROR(VLOOKUP(Table10[[#This Row],[NAME]],Aggregate!$P:$AA,8,FALSE()),"")</f>
        <v>210.11737774509803</v>
      </c>
      <c r="P13" s="25">
        <f>IF(Scoring!$K$6="Auction",IFERROR(VLOOKUP(Table10[[#This Row],[NAME]],Aggregate!$P:$AA,10,FALSE()),""),IFERROR(VLOOKUP(Table10[[#This Row],[NAME]],Aggregate!$P:$AA,9,FALSE()),""))</f>
        <v>95.962899803921559</v>
      </c>
      <c r="Q13" s="27">
        <f>SUMIFS(T14:$T$84,S14:$S$84,"&lt;&gt;x",S14:$S$84,"&lt;&gt;o",T14:$T$84,"&gt;0")/Aggregate!$X$1</f>
        <v>0.51671220077632729</v>
      </c>
      <c r="R13" s="25" t="str">
        <f>VLOOKUP(Table10[[#This Row],[NAME]],ECR!C:E,3,FALSE)</f>
        <v>RB7</v>
      </c>
      <c r="S13" s="28"/>
      <c r="T13" s="29">
        <f>VLOOKUP(M13,Aggregate!P:X,9,FALSE())</f>
        <v>95.962899803921559</v>
      </c>
      <c r="U13" s="31"/>
      <c r="V13" s="25">
        <f>IFERROR(VLOOKUP(Table11[[#This Row],[NAME]],Aggregate!$AD:$AO,11,FALSE()),"")</f>
        <v>2</v>
      </c>
      <c r="W13" s="26" t="str">
        <f>Aggregate!AD13</f>
        <v>Chris Olave</v>
      </c>
      <c r="X13" s="26" t="str">
        <f>VLOOKUP(Table11[[#This Row],[NAME]],Aggregate!AD:AO,4,FALSE())</f>
        <v>NO/8</v>
      </c>
      <c r="Y13" s="25">
        <f>IFERROR(VLOOKUP(Table11[[#This Row],[NAME]],Aggregate!$AD:$AO,8,FALSE()),"")</f>
        <v>184.33493574509802</v>
      </c>
      <c r="Z13" s="25">
        <f>IF(Scoring!$K$6="Auction",IFERROR(VLOOKUP(Table11[[#This Row],[NAME]],Aggregate!$AD:$AO,10,FALSE()),""),IFERROR(VLOOKUP(Table11[[#This Row],[NAME]],Aggregate!$AD:$AO,9,FALSE()),""))</f>
        <v>69.631037755522442</v>
      </c>
      <c r="AA13" s="27">
        <f>SUMIFS(AD14:$AD$84,AC14:$AC$84,"&lt;&gt;x",AC14:$AC$84,"&lt;&gt;o",AD14:$AD$84,"&gt;0")/Aggregate!$AL$1</f>
        <v>0.50314822980114049</v>
      </c>
      <c r="AB13" s="25" t="str">
        <f>VLOOKUP(Table11[[#This Row],[NAME]],ECR!C:E,3,FALSE)</f>
        <v>WR11</v>
      </c>
      <c r="AC13" s="28"/>
      <c r="AD13" s="29">
        <f>VLOOKUP(W13,Aggregate!AD:AL,9,FALSE())</f>
        <v>69.631037755522442</v>
      </c>
      <c r="AF13" s="19"/>
      <c r="AG13" s="19"/>
    </row>
    <row r="14" spans="2:34" ht="14.25" customHeight="1" x14ac:dyDescent="0.3">
      <c r="B14" s="25">
        <f>IFERROR(VLOOKUP(Table9[[#This Row],[NAME]],Aggregate!$B:$M,11,FALSE()),"")</f>
        <v>4</v>
      </c>
      <c r="C14" s="26" t="str">
        <f>Aggregate!B13</f>
        <v>Brock Purdy</v>
      </c>
      <c r="D14" s="26" t="str">
        <f>VLOOKUP(Table9[[#This Row],[NAME]],Aggregate!B:M,4,FALSE())</f>
        <v>SF/8</v>
      </c>
      <c r="E14" s="25">
        <f>IFERROR(VLOOKUP(Table9[[#This Row],[NAME]],Aggregate!$B:$M,8,FALSE()),"")</f>
        <v>269.87395473725491</v>
      </c>
      <c r="F14" s="25">
        <f>IF(Scoring!$K$6="Auction",IFERROR(VLOOKUP(Table9[[#This Row],[NAME]],Aggregate!$B:$M,10,FALSE()),""),IFERROR(VLOOKUP(Table9[[#This Row],[NAME]],Aggregate!$B:$M,9,FALSE()),""))</f>
        <v>7.5426700313726087</v>
      </c>
      <c r="G14" s="27">
        <f>SUMIFS(J15:$J$44,I15:$I$44,"&lt;&gt;x",I15:$I$44,"&lt;&gt;o",J15:$J$44,"&gt;0")/Aggregate!$J$1</f>
        <v>7.1864601870699721E-2</v>
      </c>
      <c r="H14" s="25" t="str">
        <f>VLOOKUP(Table9[[#This Row],[NAME]],ECR!C:E,3,FALSE)</f>
        <v>QB11</v>
      </c>
      <c r="I14" s="28"/>
      <c r="J14" s="29">
        <f>VLOOKUP(C14,Aggregate!B:J,9,FALSE())</f>
        <v>7.5426700313726087</v>
      </c>
      <c r="K14" s="30"/>
      <c r="L14" s="25">
        <f>IFERROR(VLOOKUP(Table10[[#This Row],[NAME]],Aggregate!$P:$AA,11,FALSE()),"")</f>
        <v>3</v>
      </c>
      <c r="M14" s="26" t="str">
        <f>Aggregate!P11</f>
        <v>Kenneth Walker III</v>
      </c>
      <c r="N14" s="26" t="str">
        <f>VLOOKUP(Table10[[#This Row],[NAME]],Aggregate!P:AA,4,FALSE())</f>
        <v>KC/5</v>
      </c>
      <c r="O14" s="25">
        <f>IFERROR(VLOOKUP(Table10[[#This Row],[NAME]],Aggregate!$P:$AA,8,FALSE()),"")</f>
        <v>201.89784776470586</v>
      </c>
      <c r="P14" s="25">
        <f>IF(Scoring!$K$6="Auction",IFERROR(VLOOKUP(Table10[[#This Row],[NAME]],Aggregate!$P:$AA,10,FALSE()),""),IFERROR(VLOOKUP(Table10[[#This Row],[NAME]],Aggregate!$P:$AA,9,FALSE()),""))</f>
        <v>87.743369823529392</v>
      </c>
      <c r="Q14" s="27">
        <f>SUMIFS(T15:$T$84,S15:$S$84,"&lt;&gt;x",S15:$S$84,"&lt;&gt;o",T15:$T$84,"&gt;0")/Aggregate!$X$1</f>
        <v>0.47844423807992753</v>
      </c>
      <c r="R14" s="25" t="str">
        <f>VLOOKUP(Table10[[#This Row],[NAME]],ECR!C:E,3,FALSE)</f>
        <v>RB9</v>
      </c>
      <c r="S14" s="28"/>
      <c r="T14" s="29">
        <f>VLOOKUP(M14,Aggregate!P:X,9,FALSE())</f>
        <v>87.743369823529392</v>
      </c>
      <c r="U14" s="31"/>
      <c r="V14" s="25">
        <f>IFERROR(VLOOKUP(Table11[[#This Row],[NAME]],Aggregate!$AD:$AO,11,FALSE()),"")</f>
        <v>2</v>
      </c>
      <c r="W14" s="26" t="str">
        <f>Aggregate!AD12</f>
        <v>George Pickens</v>
      </c>
      <c r="X14" s="26" t="str">
        <f>VLOOKUP(Table11[[#This Row],[NAME]],Aggregate!AD:AO,4,FALSE())</f>
        <v>DAL/14</v>
      </c>
      <c r="Y14" s="25">
        <f>IFERROR(VLOOKUP(Table11[[#This Row],[NAME]],Aggregate!$AD:$AO,8,FALSE()),"")</f>
        <v>183.66790701960784</v>
      </c>
      <c r="Z14" s="25">
        <f>IF(Scoring!$K$6="Auction",IFERROR(VLOOKUP(Table11[[#This Row],[NAME]],Aggregate!$AD:$AO,10,FALSE()),""),IFERROR(VLOOKUP(Table11[[#This Row],[NAME]],Aggregate!$AD:$AO,9,FALSE()),""))</f>
        <v>68.964009030032258</v>
      </c>
      <c r="AA14" s="27">
        <f>SUMIFS(AD15:$AD$84,AC15:$AC$84,"&lt;&gt;x",AC15:$AC$84,"&lt;&gt;o",AD15:$AD$84,"&gt;0")/Aggregate!$AL$1</f>
        <v>0.46452962678104848</v>
      </c>
      <c r="AB14" s="25" t="str">
        <f>VLOOKUP(Table11[[#This Row],[NAME]],ECR!C:E,3,FALSE)</f>
        <v>WR10</v>
      </c>
      <c r="AC14" s="28"/>
      <c r="AD14" s="29">
        <f>VLOOKUP(W14,Aggregate!AD:AL,9,FALSE())</f>
        <v>68.964009030032258</v>
      </c>
      <c r="AF14" s="19"/>
      <c r="AG14" s="19"/>
    </row>
    <row r="15" spans="2:34" ht="14.25" customHeight="1" x14ac:dyDescent="0.3">
      <c r="B15" s="25">
        <f>IFERROR(VLOOKUP(Table9[[#This Row],[NAME]],Aggregate!$B:$M,11,FALSE()),"")</f>
        <v>4</v>
      </c>
      <c r="C15" s="26" t="str">
        <f>Aggregate!B9</f>
        <v>Caleb Williams</v>
      </c>
      <c r="D15" s="26" t="str">
        <f>VLOOKUP(Table9[[#This Row],[NAME]],Aggregate!B:M,4,FALSE())</f>
        <v>CHI/10</v>
      </c>
      <c r="E15" s="25">
        <f>IFERROR(VLOOKUP(Table9[[#This Row],[NAME]],Aggregate!$B:$M,8,FALSE()),"")</f>
        <v>269.32574444705875</v>
      </c>
      <c r="F15" s="25">
        <f>IF(Scoring!$K$6="Auction",IFERROR(VLOOKUP(Table9[[#This Row],[NAME]],Aggregate!$B:$M,10,FALSE()),""),IFERROR(VLOOKUP(Table9[[#This Row],[NAME]],Aggregate!$B:$M,9,FALSE()),""))</f>
        <v>6.9944597411764562</v>
      </c>
      <c r="G15" s="27">
        <f>SUMIFS(J16:$J$44,I16:$I$44,"&lt;&gt;x",I16:$I$44,"&lt;&gt;o",J16:$J$44,"&gt;0")/Aggregate!$J$1</f>
        <v>3.9159112205252769E-2</v>
      </c>
      <c r="H15" s="25" t="str">
        <f>VLOOKUP(Table9[[#This Row],[NAME]],ECR!C:E,3,FALSE)</f>
        <v>QB7</v>
      </c>
      <c r="I15" s="28"/>
      <c r="J15" s="29">
        <f>VLOOKUP(C15,Aggregate!B:J,9,FALSE())</f>
        <v>6.9944597411764562</v>
      </c>
      <c r="K15" s="30"/>
      <c r="L15" s="25">
        <f>IFERROR(VLOOKUP(Table10[[#This Row],[NAME]],Aggregate!$P:$AA,11,FALSE()),"")</f>
        <v>3</v>
      </c>
      <c r="M15" s="26" t="str">
        <f>Aggregate!P14</f>
        <v>Ashton Jeanty</v>
      </c>
      <c r="N15" s="26" t="str">
        <f>VLOOKUP(Table10[[#This Row],[NAME]],Aggregate!P:AA,4,FALSE())</f>
        <v>LV/13</v>
      </c>
      <c r="O15" s="25">
        <f>IFERROR(VLOOKUP(Table10[[#This Row],[NAME]],Aggregate!$P:$AA,8,FALSE()),"")</f>
        <v>196.03023586462746</v>
      </c>
      <c r="P15" s="25">
        <f>IF(Scoring!$K$6="Auction",IFERROR(VLOOKUP(Table10[[#This Row],[NAME]],Aggregate!$P:$AA,10,FALSE()),""),IFERROR(VLOOKUP(Table10[[#This Row],[NAME]],Aggregate!$P:$AA,9,FALSE()),""))</f>
        <v>81.87575792345099</v>
      </c>
      <c r="Q15" s="27">
        <f>SUMIFS(T16:$T$84,S16:$S$84,"&lt;&gt;x",S16:$S$84,"&lt;&gt;o",T16:$T$84,"&gt;0")/Aggregate!$X$1</f>
        <v>0.44273534684112914</v>
      </c>
      <c r="R15" s="25" t="str">
        <f>VLOOKUP(Table10[[#This Row],[NAME]],ECR!C:E,3,FALSE)</f>
        <v>RB12</v>
      </c>
      <c r="S15" s="28"/>
      <c r="T15" s="29">
        <f>VLOOKUP(M15,Aggregate!P:X,9,FALSE())</f>
        <v>81.87575792345099</v>
      </c>
      <c r="U15" s="31"/>
      <c r="V15" s="25">
        <f>IFERROR(VLOOKUP(Table11[[#This Row],[NAME]],Aggregate!$AD:$AO,11,FALSE()),"")</f>
        <v>2</v>
      </c>
      <c r="W15" s="26" t="str">
        <f>Aggregate!AD11</f>
        <v>Nico Collins</v>
      </c>
      <c r="X15" s="26" t="str">
        <f>VLOOKUP(Table11[[#This Row],[NAME]],Aggregate!AD:AO,4,FALSE())</f>
        <v>HOU/8</v>
      </c>
      <c r="Y15" s="25">
        <f>IFERROR(VLOOKUP(Table11[[#This Row],[NAME]],Aggregate!$AD:$AO,8,FALSE()),"")</f>
        <v>182.92872572549018</v>
      </c>
      <c r="Z15" s="25">
        <f>IF(Scoring!$K$6="Auction",IFERROR(VLOOKUP(Table11[[#This Row],[NAME]],Aggregate!$AD:$AO,10,FALSE()),""),IFERROR(VLOOKUP(Table11[[#This Row],[NAME]],Aggregate!$AD:$AO,9,FALSE()),""))</f>
        <v>68.224827735914602</v>
      </c>
      <c r="AA15" s="27">
        <f>SUMIFS(AD16:$AD$84,AC16:$AC$84,"&lt;&gt;x",AC16:$AC$84,"&lt;&gt;o",AD16:$AD$84,"&gt;0")/Aggregate!$AL$1</f>
        <v>0.42632495197306164</v>
      </c>
      <c r="AB15" s="25" t="str">
        <f>VLOOKUP(Table11[[#This Row],[NAME]],ECR!C:E,3,FALSE)</f>
        <v>WR9</v>
      </c>
      <c r="AC15" s="28"/>
      <c r="AD15" s="29">
        <f>VLOOKUP(W15,Aggregate!AD:AL,9,FALSE())</f>
        <v>68.224827735914602</v>
      </c>
      <c r="AF15" s="19"/>
      <c r="AG15" s="19"/>
    </row>
    <row r="16" spans="2:34" ht="14.25" customHeight="1" x14ac:dyDescent="0.3">
      <c r="B16" s="25">
        <f>IFERROR(VLOOKUP(Table9[[#This Row],[NAME]],Aggregate!$B:$M,11,FALSE()),"")</f>
        <v>4</v>
      </c>
      <c r="C16" s="26" t="str">
        <f>Aggregate!B10</f>
        <v>Justin Herbert</v>
      </c>
      <c r="D16" s="26" t="str">
        <f>VLOOKUP(Table9[[#This Row],[NAME]],Aggregate!B:M,4,FALSE())</f>
        <v>LAC/7</v>
      </c>
      <c r="E16" s="25">
        <f>IFERROR(VLOOKUP(Table9[[#This Row],[NAME]],Aggregate!$B:$M,8,FALSE()),"")</f>
        <v>268.37936578823525</v>
      </c>
      <c r="F16" s="25">
        <f>IF(Scoring!$K$6="Auction",IFERROR(VLOOKUP(Table9[[#This Row],[NAME]],Aggregate!$B:$M,10,FALSE()),""),IFERROR(VLOOKUP(Table9[[#This Row],[NAME]],Aggregate!$B:$M,9,FALSE()),""))</f>
        <v>6.0480810823529509</v>
      </c>
      <c r="G16" s="27">
        <f>SUMIFS(J17:$J$44,I17:$I$44,"&lt;&gt;x",I17:$I$44,"&lt;&gt;o",J17:$J$44,"&gt;0")/Aggregate!$J$1</f>
        <v>1.0878807413419178E-2</v>
      </c>
      <c r="H16" s="25" t="str">
        <f>VLOOKUP(Table9[[#This Row],[NAME]],ECR!C:E,3,FALSE)</f>
        <v>QB8</v>
      </c>
      <c r="I16" s="28"/>
      <c r="J16" s="29">
        <f>VLOOKUP(C16,Aggregate!B:J,9,FALSE())</f>
        <v>6.0480810823529509</v>
      </c>
      <c r="K16" s="30"/>
      <c r="L16" s="25">
        <f>IFERROR(VLOOKUP(Table10[[#This Row],[NAME]],Aggregate!$P:$AA,11,FALSE()),"")</f>
        <v>3</v>
      </c>
      <c r="M16" s="26" t="str">
        <f>Aggregate!P12</f>
        <v>Omarion Hampton</v>
      </c>
      <c r="N16" s="26" t="str">
        <f>VLOOKUP(Table10[[#This Row],[NAME]],Aggregate!P:AA,4,FALSE())</f>
        <v>LAC/7</v>
      </c>
      <c r="O16" s="25">
        <f>IFERROR(VLOOKUP(Table10[[#This Row],[NAME]],Aggregate!$P:$AA,8,FALSE()),"")</f>
        <v>195.3708181960784</v>
      </c>
      <c r="P16" s="25">
        <f>IF(Scoring!$K$6="Auction",IFERROR(VLOOKUP(Table10[[#This Row],[NAME]],Aggregate!$P:$AA,10,FALSE()),""),IFERROR(VLOOKUP(Table10[[#This Row],[NAME]],Aggregate!$P:$AA,9,FALSE()),""))</f>
        <v>81.216340254901937</v>
      </c>
      <c r="Q16" s="27">
        <f>SUMIFS(T17:$T$84,S17:$S$84,"&lt;&gt;x",S17:$S$84,"&lt;&gt;o",T17:$T$84,"&gt;0")/Aggregate!$X$1</f>
        <v>0.40731405078806526</v>
      </c>
      <c r="R16" s="25" t="str">
        <f>VLOOKUP(Table10[[#This Row],[NAME]],ECR!C:E,3,FALSE)</f>
        <v>RB10</v>
      </c>
      <c r="S16" s="28"/>
      <c r="T16" s="29">
        <f>VLOOKUP(M16,Aggregate!P:X,9,FALSE())</f>
        <v>81.216340254901937</v>
      </c>
      <c r="U16" s="31"/>
      <c r="V16" s="25">
        <f>IFERROR(VLOOKUP(Table11[[#This Row],[NAME]],Aggregate!$AD:$AO,11,FALSE()),"")</f>
        <v>2</v>
      </c>
      <c r="W16" s="26" t="str">
        <f>Aggregate!AD16</f>
        <v>Rashee Rice</v>
      </c>
      <c r="X16" s="26" t="str">
        <f>VLOOKUP(Table11[[#This Row],[NAME]],Aggregate!AD:AO,4,FALSE())</f>
        <v>KC/5</v>
      </c>
      <c r="Y16" s="25">
        <f>IFERROR(VLOOKUP(Table11[[#This Row],[NAME]],Aggregate!$AD:$AO,8,FALSE()),"")</f>
        <v>180.80470609803922</v>
      </c>
      <c r="Z16" s="25">
        <f>IF(Scoring!$K$6="Auction",IFERROR(VLOOKUP(Table11[[#This Row],[NAME]],Aggregate!$AD:$AO,10,FALSE()),""),IFERROR(VLOOKUP(Table11[[#This Row],[NAME]],Aggregate!$AD:$AO,9,FALSE()),""))</f>
        <v>66.100808108463639</v>
      </c>
      <c r="AA16" s="27">
        <f>SUMIFS(AD17:$AD$84,AC17:$AC$84,"&lt;&gt;x",AC17:$AC$84,"&lt;&gt;o",AD17:$AD$84,"&gt;0")/Aggregate!$AL$1</f>
        <v>0.38930968990301013</v>
      </c>
      <c r="AB16" s="25" t="str">
        <f>VLOOKUP(Table11[[#This Row],[NAME]],ECR!C:E,3,FALSE)</f>
        <v>WR14</v>
      </c>
      <c r="AC16" s="28"/>
      <c r="AD16" s="29">
        <f>VLOOKUP(W16,Aggregate!AD:AL,9,FALSE())</f>
        <v>66.100808108463639</v>
      </c>
      <c r="AF16" s="19"/>
      <c r="AG16" s="19"/>
    </row>
    <row r="17" spans="2:33" ht="14.25" customHeight="1" x14ac:dyDescent="0.3">
      <c r="B17" s="25">
        <f>IFERROR(VLOOKUP(Table9[[#This Row],[NAME]],Aggregate!$B:$M,11,FALSE()),"")</f>
        <v>5</v>
      </c>
      <c r="C17" s="26" t="str">
        <f>Aggregate!B16</f>
        <v>Patrick Mahomes II</v>
      </c>
      <c r="D17" s="26" t="str">
        <f>VLOOKUP(Table9[[#This Row],[NAME]],Aggregate!B:M,4,FALSE())</f>
        <v>KC/5</v>
      </c>
      <c r="E17" s="25">
        <f>IFERROR(VLOOKUP(Table9[[#This Row],[NAME]],Aggregate!$B:$M,8,FALSE()),"")</f>
        <v>264.6578476549019</v>
      </c>
      <c r="F17" s="25">
        <f>IF(Scoring!$K$6="Auction",IFERROR(VLOOKUP(Table9[[#This Row],[NAME]],Aggregate!$B:$M,10,FALSE()),""),IFERROR(VLOOKUP(Table9[[#This Row],[NAME]],Aggregate!$B:$M,9,FALSE()),""))</f>
        <v>2.3265629490196034</v>
      </c>
      <c r="G17" s="27">
        <f>SUMIFS(J18:$J$44,I18:$I$44,"&lt;&gt;x",I18:$I$44,"&lt;&gt;o",J18:$J$44,"&gt;0")/Aggregate!$J$1</f>
        <v>0</v>
      </c>
      <c r="H17" s="25" t="str">
        <f>VLOOKUP(Table9[[#This Row],[NAME]],ECR!C:E,3,FALSE)</f>
        <v>QB14</v>
      </c>
      <c r="I17" s="28"/>
      <c r="J17" s="29">
        <f>VLOOKUP(C17,Aggregate!B:J,9,FALSE())</f>
        <v>2.3265629490196034</v>
      </c>
      <c r="K17" s="30"/>
      <c r="L17" s="25">
        <f>IFERROR(VLOOKUP(Table10[[#This Row],[NAME]],Aggregate!$P:$AA,11,FALSE()),"")</f>
        <v>4</v>
      </c>
      <c r="M17" s="26" t="str">
        <f>Aggregate!P18</f>
        <v>Jeremiyah Love</v>
      </c>
      <c r="N17" s="26" t="str">
        <f>VLOOKUP(Table10[[#This Row],[NAME]],Aggregate!P:AA,4,FALSE())</f>
        <v>ARI/14</v>
      </c>
      <c r="O17" s="25">
        <f>IFERROR(VLOOKUP(Table10[[#This Row],[NAME]],Aggregate!$P:$AA,8,FALSE()),"")</f>
        <v>191.58898953317649</v>
      </c>
      <c r="P17" s="25">
        <f>IF(Scoring!$K$6="Auction",IFERROR(VLOOKUP(Table10[[#This Row],[NAME]],Aggregate!$P:$AA,10,FALSE()),""),IFERROR(VLOOKUP(Table10[[#This Row],[NAME]],Aggregate!$P:$AA,9,FALSE()),""))</f>
        <v>77.434511592000021</v>
      </c>
      <c r="Q17" s="27">
        <f>SUMIFS(T18:$T$84,S18:$S$84,"&lt;&gt;x",S18:$S$84,"&lt;&gt;o",T18:$T$84,"&gt;0")/Aggregate!$X$1</f>
        <v>0.37354214292794602</v>
      </c>
      <c r="R17" s="25" t="str">
        <f>VLOOKUP(Table10[[#This Row],[NAME]],ECR!C:E,3,FALSE)</f>
        <v>RB16</v>
      </c>
      <c r="S17" s="28"/>
      <c r="T17" s="29">
        <f>VLOOKUP(M17,Aggregate!P:X,9,FALSE())</f>
        <v>77.434511592000021</v>
      </c>
      <c r="U17" s="31"/>
      <c r="V17" s="25">
        <f>IFERROR(VLOOKUP(Table11[[#This Row],[NAME]],Aggregate!$AD:$AO,11,FALSE()),"")</f>
        <v>3</v>
      </c>
      <c r="W17" s="26" t="str">
        <f>Aggregate!AD14</f>
        <v>Malik Nabers</v>
      </c>
      <c r="X17" s="26" t="str">
        <f>VLOOKUP(Table11[[#This Row],[NAME]],Aggregate!AD:AO,4,FALSE())</f>
        <v>NYG/8</v>
      </c>
      <c r="Y17" s="25">
        <f>IFERROR(VLOOKUP(Table11[[#This Row],[NAME]],Aggregate!$AD:$AO,8,FALSE()),"")</f>
        <v>174.92056801960788</v>
      </c>
      <c r="Z17" s="25">
        <f>IF(Scoring!$K$6="Auction",IFERROR(VLOOKUP(Table11[[#This Row],[NAME]],Aggregate!$AD:$AO,10,FALSE()),""),IFERROR(VLOOKUP(Table11[[#This Row],[NAME]],Aggregate!$AD:$AO,9,FALSE()),""))</f>
        <v>60.216670030032304</v>
      </c>
      <c r="AA17" s="27">
        <f>SUMIFS(AD18:$AD$84,AC18:$AC$84,"&lt;&gt;x",AC18:$AC$84,"&lt;&gt;o",AD18:$AD$84,"&gt;0")/Aggregate!$AL$1</f>
        <v>0.35558943918398667</v>
      </c>
      <c r="AB17" s="25" t="str">
        <f>VLOOKUP(Table11[[#This Row],[NAME]],ECR!C:E,3,FALSE)</f>
        <v>WR12</v>
      </c>
      <c r="AC17" s="28"/>
      <c r="AD17" s="29">
        <f>VLOOKUP(W17,Aggregate!AD:AL,9,FALSE())</f>
        <v>60.216670030032304</v>
      </c>
      <c r="AF17" s="19"/>
      <c r="AG17" s="19"/>
    </row>
    <row r="18" spans="2:33" ht="14.25" customHeight="1" x14ac:dyDescent="0.3">
      <c r="B18" s="25">
        <f>IFERROR(VLOOKUP(Table9[[#This Row],[NAME]],Aggregate!$B:$M,11,FALSE()),"")</f>
        <v>5</v>
      </c>
      <c r="C18" s="26" t="str">
        <f>Aggregate!B14</f>
        <v>Bo Nix</v>
      </c>
      <c r="D18" s="26" t="str">
        <f>VLOOKUP(Table9[[#This Row],[NAME]],Aggregate!B:M,4,FALSE())</f>
        <v>DEN/10</v>
      </c>
      <c r="E18" s="25">
        <f>IFERROR(VLOOKUP(Table9[[#This Row],[NAME]],Aggregate!$B:$M,8,FALSE()),"")</f>
        <v>262.3312847058823</v>
      </c>
      <c r="F18" s="25">
        <f>IF(Scoring!$K$6="Auction",IFERROR(VLOOKUP(Table9[[#This Row],[NAME]],Aggregate!$B:$M,10,FALSE()),""),IFERROR(VLOOKUP(Table9[[#This Row],[NAME]],Aggregate!$B:$M,9,FALSE()),""))</f>
        <v>0</v>
      </c>
      <c r="G18" s="27">
        <f>SUMIFS(J19:$J$44,I19:$I$44,"&lt;&gt;x",I19:$I$44,"&lt;&gt;o",J19:$J$44,"&gt;0")/Aggregate!$J$1</f>
        <v>0</v>
      </c>
      <c r="H18" s="25" t="str">
        <f>VLOOKUP(Table9[[#This Row],[NAME]],ECR!C:E,3,FALSE)</f>
        <v>QB12</v>
      </c>
      <c r="I18" s="28"/>
      <c r="J18" s="29">
        <f>VLOOKUP(C18,Aggregate!B:J,9,FALSE())</f>
        <v>0</v>
      </c>
      <c r="K18" s="30"/>
      <c r="L18" s="25">
        <f>IFERROR(VLOOKUP(Table10[[#This Row],[NAME]],Aggregate!$P:$AA,11,FALSE()),"")</f>
        <v>4</v>
      </c>
      <c r="M18" s="26" t="str">
        <f>Aggregate!P16</f>
        <v>Javonte Williams</v>
      </c>
      <c r="N18" s="26" t="str">
        <f>VLOOKUP(Table10[[#This Row],[NAME]],Aggregate!P:AA,4,FALSE())</f>
        <v>DAL/14</v>
      </c>
      <c r="O18" s="25">
        <f>IFERROR(VLOOKUP(Table10[[#This Row],[NAME]],Aggregate!$P:$AA,8,FALSE()),"")</f>
        <v>188.87934850980386</v>
      </c>
      <c r="P18" s="25">
        <f>IF(Scoring!$K$6="Auction",IFERROR(VLOOKUP(Table10[[#This Row],[NAME]],Aggregate!$P:$AA,10,FALSE()),""),IFERROR(VLOOKUP(Table10[[#This Row],[NAME]],Aggregate!$P:$AA,9,FALSE()),""))</f>
        <v>74.724870568627395</v>
      </c>
      <c r="Q18" s="27">
        <f>SUMIFS(T19:$T$84,S19:$S$84,"&lt;&gt;x",S19:$S$84,"&lt;&gt;o",T19:$T$84,"&gt;0")/Aggregate!$X$1</f>
        <v>0.34095200460564606</v>
      </c>
      <c r="R18" s="25" t="str">
        <f>VLOOKUP(Table10[[#This Row],[NAME]],ECR!C:E,3,FALSE)</f>
        <v>RB14</v>
      </c>
      <c r="S18" s="28"/>
      <c r="T18" s="29">
        <f>VLOOKUP(M18,Aggregate!P:X,9,FALSE())</f>
        <v>74.724870568627395</v>
      </c>
      <c r="U18" s="31"/>
      <c r="V18" s="25">
        <f>IFERROR(VLOOKUP(Table11[[#This Row],[NAME]],Aggregate!$AD:$AO,11,FALSE()),"")</f>
        <v>3</v>
      </c>
      <c r="W18" s="26" t="str">
        <f>Aggregate!AD17</f>
        <v>Zay Flowers</v>
      </c>
      <c r="X18" s="26" t="str">
        <f>VLOOKUP(Table11[[#This Row],[NAME]],Aggregate!AD:AO,4,FALSE())</f>
        <v>BAL/13</v>
      </c>
      <c r="Y18" s="25">
        <f>IFERROR(VLOOKUP(Table11[[#This Row],[NAME]],Aggregate!$AD:$AO,8,FALSE()),"")</f>
        <v>167.44821534313724</v>
      </c>
      <c r="Z18" s="25">
        <f>IF(Scoring!$K$6="Auction",IFERROR(VLOOKUP(Table11[[#This Row],[NAME]],Aggregate!$AD:$AO,10,FALSE()),""),IFERROR(VLOOKUP(Table11[[#This Row],[NAME]],Aggregate!$AD:$AO,9,FALSE()),""))</f>
        <v>52.744317353561655</v>
      </c>
      <c r="AA18" s="27">
        <f>SUMIFS(AD19:$AD$84,AC19:$AC$84,"&lt;&gt;x",AC19:$AC$84,"&lt;&gt;o",AD19:$AD$84,"&gt;0")/Aggregate!$AL$1</f>
        <v>0.32605357138726504</v>
      </c>
      <c r="AB18" s="25" t="str">
        <f>VLOOKUP(Table11[[#This Row],[NAME]],ECR!C:E,3,FALSE)</f>
        <v>WR15</v>
      </c>
      <c r="AC18" s="28"/>
      <c r="AD18" s="29">
        <f>VLOOKUP(W18,Aggregate!AD:AL,9,FALSE())</f>
        <v>52.744317353561655</v>
      </c>
      <c r="AF18" s="19"/>
      <c r="AG18" s="19"/>
    </row>
    <row r="19" spans="2:33" ht="14.25" customHeight="1" x14ac:dyDescent="0.3">
      <c r="B19" s="25">
        <f>IFERROR(VLOOKUP(Table9[[#This Row],[NAME]],Aggregate!$B:$M,11,FALSE()),"")</f>
        <v>6</v>
      </c>
      <c r="C19" s="26" t="str">
        <f>Aggregate!B18</f>
        <v>Matthew Stafford</v>
      </c>
      <c r="D19" s="26" t="str">
        <f>VLOOKUP(Table9[[#This Row],[NAME]],Aggregate!B:M,4,FALSE())</f>
        <v>LAR/11</v>
      </c>
      <c r="E19" s="25">
        <f>IFERROR(VLOOKUP(Table9[[#This Row],[NAME]],Aggregate!$B:$M,8,FALSE()),"")</f>
        <v>252.56178807843131</v>
      </c>
      <c r="F19" s="25">
        <f>IF(Scoring!$K$6="Auction",IFERROR(VLOOKUP(Table9[[#This Row],[NAME]],Aggregate!$B:$M,10,FALSE()),""),IFERROR(VLOOKUP(Table9[[#This Row],[NAME]],Aggregate!$B:$M,9,FALSE()),""))</f>
        <v>-9.7694966274509909</v>
      </c>
      <c r="G19" s="27">
        <f>SUMIFS(J20:$J$44,I20:$I$44,"&lt;&gt;x",I20:$I$44,"&lt;&gt;o",J20:$J$44,"&gt;0")/Aggregate!$J$1</f>
        <v>0</v>
      </c>
      <c r="H19" s="25" t="str">
        <f>VLOOKUP(Table9[[#This Row],[NAME]],ECR!C:E,3,FALSE)</f>
        <v>QB16</v>
      </c>
      <c r="I19" s="28"/>
      <c r="J19" s="29">
        <f>VLOOKUP(C19,Aggregate!B:J,9,FALSE())</f>
        <v>-9.7694966274509909</v>
      </c>
      <c r="K19" s="30"/>
      <c r="L19" s="25">
        <f>IFERROR(VLOOKUP(Table10[[#This Row],[NAME]],Aggregate!$P:$AA,11,FALSE()),"")</f>
        <v>4</v>
      </c>
      <c r="M19" s="26" t="str">
        <f>Aggregate!P15</f>
        <v>Kyren Williams</v>
      </c>
      <c r="N19" s="26" t="str">
        <f>VLOOKUP(Table10[[#This Row],[NAME]],Aggregate!P:AA,4,FALSE())</f>
        <v>LAR/11</v>
      </c>
      <c r="O19" s="25">
        <f>IFERROR(VLOOKUP(Table10[[#This Row],[NAME]],Aggregate!$P:$AA,8,FALSE()),"")</f>
        <v>188.28482147058821</v>
      </c>
      <c r="P19" s="25">
        <f>IF(Scoring!$K$6="Auction",IFERROR(VLOOKUP(Table10[[#This Row],[NAME]],Aggregate!$P:$AA,10,FALSE()),""),IFERROR(VLOOKUP(Table10[[#This Row],[NAME]],Aggregate!$P:$AA,9,FALSE()),""))</f>
        <v>74.130343529411746</v>
      </c>
      <c r="Q19" s="27">
        <f>SUMIFS(T20:$T$84,S20:$S$84,"&lt;&gt;x",S20:$S$84,"&lt;&gt;o",T20:$T$84,"&gt;0")/Aggregate!$X$1</f>
        <v>0.30862116038846726</v>
      </c>
      <c r="R19" s="25" t="str">
        <f>VLOOKUP(Table10[[#This Row],[NAME]],ECR!C:E,3,FALSE)</f>
        <v>RB13</v>
      </c>
      <c r="S19" s="28"/>
      <c r="T19" s="29">
        <f>VLOOKUP(M19,Aggregate!P:X,9,FALSE())</f>
        <v>74.130343529411746</v>
      </c>
      <c r="U19" s="31"/>
      <c r="V19" s="25">
        <f>IFERROR(VLOOKUP(Table11[[#This Row],[NAME]],Aggregate!$AD:$AO,11,FALSE()),"")</f>
        <v>3</v>
      </c>
      <c r="W19" s="26" t="str">
        <f>Aggregate!AD15</f>
        <v>DeVonta Smith</v>
      </c>
      <c r="X19" s="26" t="str">
        <f>VLOOKUP(Table11[[#This Row],[NAME]],Aggregate!AD:AO,4,FALSE())</f>
        <v>PHI/10</v>
      </c>
      <c r="Y19" s="25">
        <f>IFERROR(VLOOKUP(Table11[[#This Row],[NAME]],Aggregate!$AD:$AO,8,FALSE()),"")</f>
        <v>165.73653261764704</v>
      </c>
      <c r="Z19" s="25">
        <f>IF(Scoring!$K$6="Auction",IFERROR(VLOOKUP(Table11[[#This Row],[NAME]],Aggregate!$AD:$AO,10,FALSE()),""),IFERROR(VLOOKUP(Table11[[#This Row],[NAME]],Aggregate!$AD:$AO,9,FALSE()),""))</f>
        <v>51.032634628071463</v>
      </c>
      <c r="AA19" s="27">
        <f>SUMIFS(AD20:$AD$84,AC20:$AC$84,"&lt;&gt;x",AC20:$AC$84,"&lt;&gt;o",AD20:$AD$84,"&gt;0")/Aggregate!$AL$1</f>
        <v>0.29747621508953792</v>
      </c>
      <c r="AB19" s="25" t="str">
        <f>VLOOKUP(Table11[[#This Row],[NAME]],ECR!C:E,3,FALSE)</f>
        <v>WR13</v>
      </c>
      <c r="AC19" s="28"/>
      <c r="AD19" s="29">
        <f>VLOOKUP(W19,Aggregate!AD:AL,9,FALSE())</f>
        <v>51.032634628071463</v>
      </c>
      <c r="AF19" s="19"/>
      <c r="AG19" s="19"/>
    </row>
    <row r="20" spans="2:33" ht="14.25" customHeight="1" x14ac:dyDescent="0.3">
      <c r="B20" s="25">
        <f>IFERROR(VLOOKUP(Table9[[#This Row],[NAME]],Aggregate!$B:$M,11,FALSE()),"")</f>
        <v>6</v>
      </c>
      <c r="C20" s="26" t="str">
        <f>Aggregate!B17</f>
        <v>Jared Goff</v>
      </c>
      <c r="D20" s="26" t="str">
        <f>VLOOKUP(Table9[[#This Row],[NAME]],Aggregate!B:M,4,FALSE())</f>
        <v>DET/6</v>
      </c>
      <c r="E20" s="25">
        <f>IFERROR(VLOOKUP(Table9[[#This Row],[NAME]],Aggregate!$B:$M,8,FALSE()),"")</f>
        <v>251.81997372549017</v>
      </c>
      <c r="F20" s="25">
        <f>IF(Scoring!$K$6="Auction",IFERROR(VLOOKUP(Table9[[#This Row],[NAME]],Aggregate!$B:$M,10,FALSE()),""),IFERROR(VLOOKUP(Table9[[#This Row],[NAME]],Aggregate!$B:$M,9,FALSE()),""))</f>
        <v>-10.511310980392125</v>
      </c>
      <c r="G20" s="27">
        <f>SUMIFS(J21:$J$44,I21:$I$44,"&lt;&gt;x",I21:$I$44,"&lt;&gt;o",J21:$J$44,"&gt;0")/Aggregate!$J$1</f>
        <v>0</v>
      </c>
      <c r="H20" s="25" t="str">
        <f>VLOOKUP(Table9[[#This Row],[NAME]],ECR!C:E,3,FALSE)</f>
        <v>QB15</v>
      </c>
      <c r="I20" s="28"/>
      <c r="J20" s="29">
        <f>VLOOKUP(C20,Aggregate!B:J,9,FALSE())</f>
        <v>-10.511310980392125</v>
      </c>
      <c r="K20" s="30"/>
      <c r="L20" s="25">
        <f>IFERROR(VLOOKUP(Table10[[#This Row],[NAME]],Aggregate!$P:$AA,11,FALSE()),"")</f>
        <v>4</v>
      </c>
      <c r="M20" s="26" t="str">
        <f>Aggregate!P17</f>
        <v>Breece Hall</v>
      </c>
      <c r="N20" s="26" t="str">
        <f>VLOOKUP(Table10[[#This Row],[NAME]],Aggregate!P:AA,4,FALSE())</f>
        <v>NYJ/13</v>
      </c>
      <c r="O20" s="25">
        <f>IFERROR(VLOOKUP(Table10[[#This Row],[NAME]],Aggregate!$P:$AA,8,FALSE()),"")</f>
        <v>187.19771990196077</v>
      </c>
      <c r="P20" s="25">
        <f>IF(Scoring!$K$6="Auction",IFERROR(VLOOKUP(Table10[[#This Row],[NAME]],Aggregate!$P:$AA,10,FALSE()),""),IFERROR(VLOOKUP(Table10[[#This Row],[NAME]],Aggregate!$P:$AA,9,FALSE()),""))</f>
        <v>73.0432419607843</v>
      </c>
      <c r="Q20" s="27">
        <f>SUMIFS(T21:$T$84,S21:$S$84,"&lt;&gt;x",S21:$S$84,"&lt;&gt;o",T21:$T$84,"&gt;0")/Aggregate!$X$1</f>
        <v>0.27676443931425754</v>
      </c>
      <c r="R20" s="25" t="str">
        <f>VLOOKUP(Table10[[#This Row],[NAME]],ECR!C:E,3,FALSE)</f>
        <v>RB15</v>
      </c>
      <c r="S20" s="28"/>
      <c r="T20" s="29">
        <f>VLOOKUP(M20,Aggregate!P:X,9,FALSE())</f>
        <v>73.0432419607843</v>
      </c>
      <c r="U20" s="31"/>
      <c r="V20" s="25">
        <f>IFERROR(VLOOKUP(Table11[[#This Row],[NAME]],Aggregate!$AD:$AO,11,FALSE()),"")</f>
        <v>3</v>
      </c>
      <c r="W20" s="26" t="str">
        <f>Aggregate!AD21</f>
        <v>Garrett Wilson</v>
      </c>
      <c r="X20" s="26" t="str">
        <f>VLOOKUP(Table11[[#This Row],[NAME]],Aggregate!AD:AO,4,FALSE())</f>
        <v>NYJ/13</v>
      </c>
      <c r="Y20" s="25">
        <f>IFERROR(VLOOKUP(Table11[[#This Row],[NAME]],Aggregate!$AD:$AO,8,FALSE()),"")</f>
        <v>159.21439796078431</v>
      </c>
      <c r="Z20" s="25">
        <f>IF(Scoring!$K$6="Auction",IFERROR(VLOOKUP(Table11[[#This Row],[NAME]],Aggregate!$AD:$AO,10,FALSE()),""),IFERROR(VLOOKUP(Table11[[#This Row],[NAME]],Aggregate!$AD:$AO,9,FALSE()),""))</f>
        <v>44.510499971208731</v>
      </c>
      <c r="AA20" s="27">
        <f>SUMIFS(AD21:$AD$84,AC21:$AC$84,"&lt;&gt;x",AC21:$AC$84,"&lt;&gt;o",AD21:$AD$84,"&gt;0")/Aggregate!$AL$1</f>
        <v>0.27255113673648912</v>
      </c>
      <c r="AB20" s="25" t="str">
        <f>VLOOKUP(Table11[[#This Row],[NAME]],ECR!C:E,3,FALSE)</f>
        <v>WR19</v>
      </c>
      <c r="AC20" s="28"/>
      <c r="AD20" s="29">
        <f>VLOOKUP(W20,Aggregate!AD:AL,9,FALSE())</f>
        <v>44.510499971208731</v>
      </c>
      <c r="AF20" s="19"/>
      <c r="AG20" s="19"/>
    </row>
    <row r="21" spans="2:33" ht="14.25" customHeight="1" x14ac:dyDescent="0.3">
      <c r="B21" s="25">
        <f>IFERROR(VLOOKUP(Table9[[#This Row],[NAME]],Aggregate!$B:$M,11,FALSE()),"")</f>
        <v>6</v>
      </c>
      <c r="C21" s="26" t="str">
        <f>Aggregate!B19</f>
        <v>Kyler Murray</v>
      </c>
      <c r="D21" s="26" t="str">
        <f>VLOOKUP(Table9[[#This Row],[NAME]],Aggregate!B:M,4,FALSE())</f>
        <v>MIN/6</v>
      </c>
      <c r="E21" s="25">
        <f>IFERROR(VLOOKUP(Table9[[#This Row],[NAME]],Aggregate!$B:$M,8,FALSE()),"")</f>
        <v>250.55691370980389</v>
      </c>
      <c r="F21" s="25">
        <f>IF(Scoring!$K$6="Auction",IFERROR(VLOOKUP(Table9[[#This Row],[NAME]],Aggregate!$B:$M,10,FALSE()),""),IFERROR(VLOOKUP(Table9[[#This Row],[NAME]],Aggregate!$B:$M,9,FALSE()),""))</f>
        <v>-11.774370996078403</v>
      </c>
      <c r="G21" s="27">
        <f>SUMIFS(J22:$J$44,I22:$I$44,"&lt;&gt;x",I22:$I$44,"&lt;&gt;o",J22:$J$44,"&gt;0")/Aggregate!$J$1</f>
        <v>0</v>
      </c>
      <c r="H21" s="25" t="str">
        <f>VLOOKUP(Table9[[#This Row],[NAME]],ECR!C:E,3,FALSE)</f>
        <v>QB17</v>
      </c>
      <c r="I21" s="28"/>
      <c r="J21" s="29">
        <f>VLOOKUP(C21,Aggregate!B:J,9,FALSE())</f>
        <v>-11.774370996078403</v>
      </c>
      <c r="K21" s="30"/>
      <c r="L21" s="25">
        <f>IFERROR(VLOOKUP(Table10[[#This Row],[NAME]],Aggregate!$P:$AA,11,FALSE()),"")</f>
        <v>4</v>
      </c>
      <c r="M21" s="26" t="str">
        <f>Aggregate!P19</f>
        <v>Travis Etienne Jr.</v>
      </c>
      <c r="N21" s="26" t="str">
        <f>VLOOKUP(Table10[[#This Row],[NAME]],Aggregate!P:AA,4,FALSE())</f>
        <v>NO/8</v>
      </c>
      <c r="O21" s="25">
        <f>IFERROR(VLOOKUP(Table10[[#This Row],[NAME]],Aggregate!$P:$AA,8,FALSE()),"")</f>
        <v>181.29835274509807</v>
      </c>
      <c r="P21" s="25">
        <f>IF(Scoring!$K$6="Auction",IFERROR(VLOOKUP(Table10[[#This Row],[NAME]],Aggregate!$P:$AA,10,FALSE()),""),IFERROR(VLOOKUP(Table10[[#This Row],[NAME]],Aggregate!$P:$AA,9,FALSE()),""))</f>
        <v>67.143874803921605</v>
      </c>
      <c r="Q21" s="27">
        <f>SUMIFS(T22:$T$84,S22:$S$84,"&lt;&gt;x",S22:$S$84,"&lt;&gt;o",T22:$T$84,"&gt;0")/Aggregate!$X$1</f>
        <v>0.24748063927949765</v>
      </c>
      <c r="R21" s="25" t="str">
        <f>VLOOKUP(Table10[[#This Row],[NAME]],ECR!C:E,3,FALSE)</f>
        <v>RB17</v>
      </c>
      <c r="S21" s="28"/>
      <c r="T21" s="29">
        <f>VLOOKUP(M21,Aggregate!P:X,9,FALSE())</f>
        <v>67.143874803921605</v>
      </c>
      <c r="U21" s="31"/>
      <c r="V21" s="25">
        <f>IFERROR(VLOOKUP(Table11[[#This Row],[NAME]],Aggregate!$AD:$AO,11,FALSE()),"")</f>
        <v>3</v>
      </c>
      <c r="W21" s="26" t="str">
        <f>Aggregate!AD18</f>
        <v>Tee Higgins</v>
      </c>
      <c r="X21" s="26" t="str">
        <f>VLOOKUP(Table11[[#This Row],[NAME]],Aggregate!AD:AO,4,FALSE())</f>
        <v>CIN/6</v>
      </c>
      <c r="Y21" s="25">
        <f>IFERROR(VLOOKUP(Table11[[#This Row],[NAME]],Aggregate!$AD:$AO,8,FALSE()),"")</f>
        <v>158.12437113725491</v>
      </c>
      <c r="Z21" s="25">
        <f>IF(Scoring!$K$6="Auction",IFERROR(VLOOKUP(Table11[[#This Row],[NAME]],Aggregate!$AD:$AO,10,FALSE()),""),IFERROR(VLOOKUP(Table11[[#This Row],[NAME]],Aggregate!$AD:$AO,9,FALSE()),""))</f>
        <v>43.420473147679331</v>
      </c>
      <c r="AA21" s="27">
        <f>SUMIFS(AD22:$AD$84,AC22:$AC$84,"&lt;&gt;x",AC22:$AC$84,"&lt;&gt;o",AD22:$AD$84,"&gt;0")/Aggregate!$AL$1</f>
        <v>0.24823645377331385</v>
      </c>
      <c r="AB21" s="25" t="str">
        <f>VLOOKUP(Table11[[#This Row],[NAME]],ECR!C:E,3,FALSE)</f>
        <v>WR16</v>
      </c>
      <c r="AC21" s="28"/>
      <c r="AD21" s="29">
        <f>VLOOKUP(W21,Aggregate!AD:AL,9,FALSE())</f>
        <v>43.420473147679331</v>
      </c>
      <c r="AF21" s="19"/>
      <c r="AG21" s="19"/>
    </row>
    <row r="22" spans="2:33" ht="14.25" customHeight="1" x14ac:dyDescent="0.3">
      <c r="B22" s="25">
        <f>IFERROR(VLOOKUP(Table9[[#This Row],[NAME]],Aggregate!$B:$M,11,FALSE()),"")</f>
        <v>7</v>
      </c>
      <c r="C22" s="26" t="str">
        <f>Aggregate!B21</f>
        <v>Baker Mayfield</v>
      </c>
      <c r="D22" s="26" t="str">
        <f>VLOOKUP(Table9[[#This Row],[NAME]],Aggregate!B:M,4,FALSE())</f>
        <v>TB/10</v>
      </c>
      <c r="E22" s="25">
        <f>IFERROR(VLOOKUP(Table9[[#This Row],[NAME]],Aggregate!$B:$M,8,FALSE()),"")</f>
        <v>238.99227909019609</v>
      </c>
      <c r="F22" s="25">
        <f>IF(Scoring!$K$6="Auction",IFERROR(VLOOKUP(Table9[[#This Row],[NAME]],Aggregate!$B:$M,10,FALSE()),""),IFERROR(VLOOKUP(Table9[[#This Row],[NAME]],Aggregate!$B:$M,9,FALSE()),""))</f>
        <v>-23.339005615686204</v>
      </c>
      <c r="G22" s="27">
        <f>SUMIFS(J23:$J$44,I23:$I$44,"&lt;&gt;x",I23:$I$44,"&lt;&gt;o",J23:$J$44,"&gt;0")/Aggregate!$J$1</f>
        <v>0</v>
      </c>
      <c r="H22" s="25" t="str">
        <f>VLOOKUP(Table9[[#This Row],[NAME]],ECR!C:E,3,FALSE)</f>
        <v>QB19</v>
      </c>
      <c r="I22" s="28"/>
      <c r="J22" s="29">
        <f>VLOOKUP(C22,Aggregate!B:J,9,FALSE())</f>
        <v>-23.339005615686204</v>
      </c>
      <c r="K22" s="30"/>
      <c r="L22" s="25">
        <f>IFERROR(VLOOKUP(Table10[[#This Row],[NAME]],Aggregate!$P:$AA,11,FALSE()),"")</f>
        <v>4</v>
      </c>
      <c r="M22" s="26" t="str">
        <f>Aggregate!P22</f>
        <v>Cam Skattebo</v>
      </c>
      <c r="N22" s="26" t="str">
        <f>VLOOKUP(Table10[[#This Row],[NAME]],Aggregate!P:AA,4,FALSE())</f>
        <v>NYG/8</v>
      </c>
      <c r="O22" s="25">
        <f>IFERROR(VLOOKUP(Table10[[#This Row],[NAME]],Aggregate!$P:$AA,8,FALSE()),"")</f>
        <v>175.00965909803918</v>
      </c>
      <c r="P22" s="25">
        <f>IF(Scoring!$K$6="Auction",IFERROR(VLOOKUP(Table10[[#This Row],[NAME]],Aggregate!$P:$AA,10,FALSE()),""),IFERROR(VLOOKUP(Table10[[#This Row],[NAME]],Aggregate!$P:$AA,9,FALSE()),""))</f>
        <v>60.855181156862713</v>
      </c>
      <c r="Q22" s="27">
        <f>SUMIFS(T23:$T$84,S23:$S$84,"&lt;&gt;x",S23:$S$84,"&lt;&gt;o",T23:$T$84,"&gt;0")/Aggregate!$X$1</f>
        <v>0.22093955922892289</v>
      </c>
      <c r="R22" s="25" t="str">
        <f>VLOOKUP(Table10[[#This Row],[NAME]],ECR!C:E,3,FALSE)</f>
        <v>RB20</v>
      </c>
      <c r="S22" s="28"/>
      <c r="T22" s="29">
        <f>VLOOKUP(M22,Aggregate!P:X,9,FALSE())</f>
        <v>60.855181156862713</v>
      </c>
      <c r="U22" s="31"/>
      <c r="V22" s="25">
        <f>IFERROR(VLOOKUP(Table11[[#This Row],[NAME]],Aggregate!$AD:$AO,11,FALSE()),"")</f>
        <v>3</v>
      </c>
      <c r="W22" s="26" t="str">
        <f>Aggregate!AD22</f>
        <v>Tetairoa McMillan</v>
      </c>
      <c r="X22" s="26" t="str">
        <f>VLOOKUP(Table11[[#This Row],[NAME]],Aggregate!AD:AO,4,FALSE())</f>
        <v>CAR/5</v>
      </c>
      <c r="Y22" s="25">
        <f>IFERROR(VLOOKUP(Table11[[#This Row],[NAME]],Aggregate!$AD:$AO,8,FALSE()),"")</f>
        <v>157.0523094117647</v>
      </c>
      <c r="Z22" s="25">
        <f>IF(Scoring!$K$6="Auction",IFERROR(VLOOKUP(Table11[[#This Row],[NAME]],Aggregate!$AD:$AO,10,FALSE()),""),IFERROR(VLOOKUP(Table11[[#This Row],[NAME]],Aggregate!$AD:$AO,9,FALSE()),""))</f>
        <v>42.348411422189116</v>
      </c>
      <c r="AA22" s="27">
        <f>SUMIFS(AD23:$AD$84,AC23:$AC$84,"&lt;&gt;x",AC23:$AC$84,"&lt;&gt;o",AD23:$AD$84,"&gt;0")/Aggregate!$AL$1</f>
        <v>0.22452210606866033</v>
      </c>
      <c r="AB22" s="25" t="str">
        <f>VLOOKUP(Table11[[#This Row],[NAME]],ECR!C:E,3,FALSE)</f>
        <v>WR20</v>
      </c>
      <c r="AC22" s="28"/>
      <c r="AD22" s="29">
        <f>VLOOKUP(W22,Aggregate!AD:AL,9,FALSE())</f>
        <v>42.348411422189116</v>
      </c>
      <c r="AF22" s="19"/>
      <c r="AG22" s="19"/>
    </row>
    <row r="23" spans="2:33" ht="14.25" customHeight="1" x14ac:dyDescent="0.3">
      <c r="B23" s="25">
        <f>IFERROR(VLOOKUP(Table9[[#This Row],[NAME]],Aggregate!$B:$M,11,FALSE()),"")</f>
        <v>7</v>
      </c>
      <c r="C23" s="26" t="str">
        <f>Aggregate!B22</f>
        <v>Tyler Shough</v>
      </c>
      <c r="D23" s="26" t="str">
        <f>VLOOKUP(Table9[[#This Row],[NAME]],Aggregate!B:M,4,FALSE())</f>
        <v>NO/8</v>
      </c>
      <c r="E23" s="25">
        <f>IFERROR(VLOOKUP(Table9[[#This Row],[NAME]],Aggregate!$B:$M,8,FALSE()),"")</f>
        <v>237.57109149803921</v>
      </c>
      <c r="F23" s="25">
        <f>IF(Scoring!$K$6="Auction",IFERROR(VLOOKUP(Table9[[#This Row],[NAME]],Aggregate!$B:$M,10,FALSE()),""),IFERROR(VLOOKUP(Table9[[#This Row],[NAME]],Aggregate!$B:$M,9,FALSE()),""))</f>
        <v>-24.760193207843088</v>
      </c>
      <c r="G23" s="27">
        <f>SUMIFS(J24:$J$44,I24:$I$44,"&lt;&gt;x",I24:$I$44,"&lt;&gt;o",J24:$J$44,"&gt;0")/Aggregate!$J$1</f>
        <v>0</v>
      </c>
      <c r="H23" s="25" t="str">
        <f>VLOOKUP(Table9[[#This Row],[NAME]],ECR!C:E,3,FALSE)</f>
        <v>QB20</v>
      </c>
      <c r="I23" s="28"/>
      <c r="J23" s="29">
        <f>VLOOKUP(C23,Aggregate!B:J,9,FALSE())</f>
        <v>-24.760193207843088</v>
      </c>
      <c r="K23" s="30"/>
      <c r="L23" s="25">
        <f>IFERROR(VLOOKUP(Table10[[#This Row],[NAME]],Aggregate!$P:$AA,11,FALSE()),"")</f>
        <v>4</v>
      </c>
      <c r="M23" s="26" t="str">
        <f>Aggregate!P20</f>
        <v>D'Andre Swift</v>
      </c>
      <c r="N23" s="26" t="str">
        <f>VLOOKUP(Table10[[#This Row],[NAME]],Aggregate!P:AA,4,FALSE())</f>
        <v>CHI/10</v>
      </c>
      <c r="O23" s="25">
        <f>IFERROR(VLOOKUP(Table10[[#This Row],[NAME]],Aggregate!$P:$AA,8,FALSE()),"")</f>
        <v>174.37801294117648</v>
      </c>
      <c r="P23" s="25">
        <f>IF(Scoring!$K$6="Auction",IFERROR(VLOOKUP(Table10[[#This Row],[NAME]],Aggregate!$P:$AA,10,FALSE()),""),IFERROR(VLOOKUP(Table10[[#This Row],[NAME]],Aggregate!$P:$AA,9,FALSE()),""))</f>
        <v>60.223535000000012</v>
      </c>
      <c r="Q23" s="27">
        <f>SUMIFS(T24:$T$84,S24:$S$84,"&lt;&gt;x",S24:$S$84,"&lt;&gt;o",T24:$T$84,"&gt;0")/Aggregate!$X$1</f>
        <v>0.19467396223327027</v>
      </c>
      <c r="R23" s="25" t="str">
        <f>VLOOKUP(Table10[[#This Row],[NAME]],ECR!C:E,3,FALSE)</f>
        <v>RB18</v>
      </c>
      <c r="S23" s="28"/>
      <c r="T23" s="29">
        <f>VLOOKUP(M23,Aggregate!P:X,9,FALSE())</f>
        <v>60.223535000000012</v>
      </c>
      <c r="U23" s="31"/>
      <c r="V23" s="25">
        <f>IFERROR(VLOOKUP(Table11[[#This Row],[NAME]],Aggregate!$AD:$AO,11,FALSE()),"")</f>
        <v>4</v>
      </c>
      <c r="W23" s="26" t="str">
        <f>Aggregate!AD23</f>
        <v>Emeka Egbuka</v>
      </c>
      <c r="X23" s="26" t="str">
        <f>VLOOKUP(Table11[[#This Row],[NAME]],Aggregate!AD:AO,4,FALSE())</f>
        <v>TB/10</v>
      </c>
      <c r="Y23" s="25">
        <f>IFERROR(VLOOKUP(Table11[[#This Row],[NAME]],Aggregate!$AD:$AO,8,FALSE()),"")</f>
        <v>154.47706195098041</v>
      </c>
      <c r="Z23" s="25">
        <f>IF(Scoring!$K$6="Auction",IFERROR(VLOOKUP(Table11[[#This Row],[NAME]],Aggregate!$AD:$AO,10,FALSE()),""),IFERROR(VLOOKUP(Table11[[#This Row],[NAME]],Aggregate!$AD:$AO,9,FALSE()),""))</f>
        <v>39.773163961404833</v>
      </c>
      <c r="AA23" s="27">
        <f>SUMIFS(AD24:$AD$84,AC24:$AC$84,"&lt;&gt;x",AC24:$AC$84,"&lt;&gt;o",AD24:$AD$84,"&gt;0")/Aggregate!$AL$1</f>
        <v>0.20224985056202877</v>
      </c>
      <c r="AB23" s="25" t="str">
        <f>VLOOKUP(Table11[[#This Row],[NAME]],ECR!C:E,3,FALSE)</f>
        <v>WR21</v>
      </c>
      <c r="AC23" s="28"/>
      <c r="AD23" s="29">
        <f>VLOOKUP(W23,Aggregate!AD:AL,9,FALSE())</f>
        <v>39.773163961404833</v>
      </c>
      <c r="AF23" s="19"/>
      <c r="AG23" s="19"/>
    </row>
    <row r="24" spans="2:33" ht="14.25" customHeight="1" x14ac:dyDescent="0.3">
      <c r="B24" s="25">
        <f>IFERROR(VLOOKUP(Table9[[#This Row],[NAME]],Aggregate!$B:$M,11,FALSE()),"")</f>
        <v>7</v>
      </c>
      <c r="C24" s="26" t="str">
        <f>Aggregate!B20</f>
        <v>Jordan Love</v>
      </c>
      <c r="D24" s="26" t="str">
        <f>VLOOKUP(Table9[[#This Row],[NAME]],Aggregate!B:M,4,FALSE())</f>
        <v>GB/11</v>
      </c>
      <c r="E24" s="25">
        <f>IFERROR(VLOOKUP(Table9[[#This Row],[NAME]],Aggregate!$B:$M,8,FALSE()),"")</f>
        <v>235.88159090196078</v>
      </c>
      <c r="F24" s="25">
        <f>IF(Scoring!$K$6="Auction",IFERROR(VLOOKUP(Table9[[#This Row],[NAME]],Aggregate!$B:$M,10,FALSE()),""),IFERROR(VLOOKUP(Table9[[#This Row],[NAME]],Aggregate!$B:$M,9,FALSE()),""))</f>
        <v>-26.449693803921519</v>
      </c>
      <c r="G24" s="27">
        <f>SUMIFS(J25:$J$44,I25:$I$44,"&lt;&gt;x",I25:$I$44,"&lt;&gt;o",J25:$J$44,"&gt;0")/Aggregate!$J$1</f>
        <v>0</v>
      </c>
      <c r="H24" s="25" t="str">
        <f>VLOOKUP(Table9[[#This Row],[NAME]],ECR!C:E,3,FALSE)</f>
        <v>QB18</v>
      </c>
      <c r="I24" s="28"/>
      <c r="J24" s="29">
        <f>VLOOKUP(C24,Aggregate!B:J,9,FALSE())</f>
        <v>-26.449693803921519</v>
      </c>
      <c r="K24" s="30"/>
      <c r="L24" s="25">
        <f>IFERROR(VLOOKUP(Table10[[#This Row],[NAME]],Aggregate!$P:$AA,11,FALSE()),"")</f>
        <v>4</v>
      </c>
      <c r="M24" s="26" t="str">
        <f>Aggregate!P21</f>
        <v>Bucky Irving</v>
      </c>
      <c r="N24" s="26" t="str">
        <f>VLOOKUP(Table10[[#This Row],[NAME]],Aggregate!P:AA,4,FALSE())</f>
        <v>TB/10</v>
      </c>
      <c r="O24" s="25">
        <f>IFERROR(VLOOKUP(Table10[[#This Row],[NAME]],Aggregate!$P:$AA,8,FALSE()),"")</f>
        <v>169.99665382352941</v>
      </c>
      <c r="P24" s="25">
        <f>IF(Scoring!$K$6="Auction",IFERROR(VLOOKUP(Table10[[#This Row],[NAME]],Aggregate!$P:$AA,10,FALSE()),""),IFERROR(VLOOKUP(Table10[[#This Row],[NAME]],Aggregate!$P:$AA,9,FALSE()),""))</f>
        <v>55.842175882352947</v>
      </c>
      <c r="Q24" s="27">
        <f>SUMIFS(T25:$T$84,S25:$S$84,"&lt;&gt;x",S25:$S$84,"&lt;&gt;o",T25:$T$84,"&gt;0")/Aggregate!$X$1</f>
        <v>0.17031922970077715</v>
      </c>
      <c r="R24" s="25" t="str">
        <f>VLOOKUP(Table10[[#This Row],[NAME]],ECR!C:E,3,FALSE)</f>
        <v>RB19</v>
      </c>
      <c r="S24" s="28"/>
      <c r="T24" s="29">
        <f>VLOOKUP(M24,Aggregate!P:X,9,FALSE())</f>
        <v>55.842175882352947</v>
      </c>
      <c r="U24" s="31"/>
      <c r="V24" s="25">
        <f>IFERROR(VLOOKUP(Table11[[#This Row],[NAME]],Aggregate!$AD:$AO,11,FALSE()),"")</f>
        <v>4</v>
      </c>
      <c r="W24" s="26" t="str">
        <f>Aggregate!AD20</f>
        <v>Ladd McConkey</v>
      </c>
      <c r="X24" s="26" t="str">
        <f>VLOOKUP(Table11[[#This Row],[NAME]],Aggregate!AD:AO,4,FALSE())</f>
        <v>LAC/7</v>
      </c>
      <c r="Y24" s="25">
        <f>IFERROR(VLOOKUP(Table11[[#This Row],[NAME]],Aggregate!$AD:$AO,8,FALSE()),"")</f>
        <v>150.91398290196079</v>
      </c>
      <c r="Z24" s="25">
        <f>IF(Scoring!$K$6="Auction",IFERROR(VLOOKUP(Table11[[#This Row],[NAME]],Aggregate!$AD:$AO,10,FALSE()),""),IFERROR(VLOOKUP(Table11[[#This Row],[NAME]],Aggregate!$AD:$AO,9,FALSE()),""))</f>
        <v>36.210084912385213</v>
      </c>
      <c r="AA24" s="27">
        <f>SUMIFS(AD25:$AD$84,AC25:$AC$84,"&lt;&gt;x",AC25:$AC$84,"&lt;&gt;o",AD25:$AD$84,"&gt;0")/Aggregate!$AL$1</f>
        <v>0.1819728551520568</v>
      </c>
      <c r="AB24" s="25" t="str">
        <f>VLOOKUP(Table11[[#This Row],[NAME]],ECR!C:E,3,FALSE)</f>
        <v>WR18</v>
      </c>
      <c r="AC24" s="28"/>
      <c r="AD24" s="29">
        <f>VLOOKUP(W24,Aggregate!AD:AL,9,FALSE())</f>
        <v>36.210084912385213</v>
      </c>
      <c r="AF24" s="19"/>
      <c r="AG24" s="19"/>
    </row>
    <row r="25" spans="2:33" ht="14.25" customHeight="1" x14ac:dyDescent="0.3">
      <c r="B25" s="25">
        <f>IFERROR(VLOOKUP(Table9[[#This Row],[NAME]],Aggregate!$B:$M,11,FALSE()),"")</f>
        <v>8</v>
      </c>
      <c r="C25" s="26" t="str">
        <f>Aggregate!B23</f>
        <v>Malik Willis</v>
      </c>
      <c r="D25" s="26" t="str">
        <f>VLOOKUP(Table9[[#This Row],[NAME]],Aggregate!B:M,4,FALSE())</f>
        <v>MIA/6</v>
      </c>
      <c r="E25" s="25">
        <f>IFERROR(VLOOKUP(Table9[[#This Row],[NAME]],Aggregate!$B:$M,8,FALSE()),"")</f>
        <v>226.15983956862749</v>
      </c>
      <c r="F25" s="25">
        <f>IF(Scoring!$K$6="Auction",IFERROR(VLOOKUP(Table9[[#This Row],[NAME]],Aggregate!$B:$M,10,FALSE()),""),IFERROR(VLOOKUP(Table9[[#This Row],[NAME]],Aggregate!$B:$M,9,FALSE()),""))</f>
        <v>-36.171445137254807</v>
      </c>
      <c r="G25" s="27">
        <f>SUMIFS(J26:$J$44,I26:$I$44,"&lt;&gt;x",I26:$I$44,"&lt;&gt;o",J26:$J$44,"&gt;0")/Aggregate!$J$1</f>
        <v>0</v>
      </c>
      <c r="H25" s="25" t="str">
        <f>VLOOKUP(Table9[[#This Row],[NAME]],ECR!C:E,3,FALSE)</f>
        <v>QB21</v>
      </c>
      <c r="I25" s="28"/>
      <c r="J25" s="29">
        <f>VLOOKUP(C25,Aggregate!B:J,9,FALSE())</f>
        <v>-36.171445137254807</v>
      </c>
      <c r="K25" s="30"/>
      <c r="L25" s="25">
        <f>IFERROR(VLOOKUP(Table10[[#This Row],[NAME]],Aggregate!$P:$AA,11,FALSE()),"")</f>
        <v>5</v>
      </c>
      <c r="M25" s="26" t="str">
        <f>Aggregate!P24</f>
        <v>Quinshon Judkins</v>
      </c>
      <c r="N25" s="26" t="str">
        <f>VLOOKUP(Table10[[#This Row],[NAME]],Aggregate!P:AA,4,FALSE())</f>
        <v>CLE/11</v>
      </c>
      <c r="O25" s="25">
        <f>IFERROR(VLOOKUP(Table10[[#This Row],[NAME]],Aggregate!$P:$AA,8,FALSE()),"")</f>
        <v>166.43142019607842</v>
      </c>
      <c r="P25" s="25">
        <f>IF(Scoring!$K$6="Auction",IFERROR(VLOOKUP(Table10[[#This Row],[NAME]],Aggregate!$P:$AA,10,FALSE()),""),IFERROR(VLOOKUP(Table10[[#This Row],[NAME]],Aggregate!$P:$AA,9,FALSE()),""))</f>
        <v>52.276942254901954</v>
      </c>
      <c r="Q25" s="27">
        <f>SUMIFS(T26:$T$84,S26:$S$84,"&lt;&gt;x",S26:$S$84,"&lt;&gt;o",T26:$T$84,"&gt;0")/Aggregate!$X$1</f>
        <v>0.14751942066545135</v>
      </c>
      <c r="R25" s="25" t="str">
        <f>VLOOKUP(Table10[[#This Row],[NAME]],ECR!C:E,3,FALSE)</f>
        <v>RB22</v>
      </c>
      <c r="S25" s="28"/>
      <c r="T25" s="29">
        <f>VLOOKUP(M25,Aggregate!P:X,9,FALSE())</f>
        <v>52.276942254901954</v>
      </c>
      <c r="U25" s="31"/>
      <c r="V25" s="25">
        <f>IFERROR(VLOOKUP(Table11[[#This Row],[NAME]],Aggregate!$AD:$AO,11,FALSE()),"")</f>
        <v>4</v>
      </c>
      <c r="W25" s="26" t="str">
        <f>Aggregate!AD25</f>
        <v>Davante Adams</v>
      </c>
      <c r="X25" s="26" t="str">
        <f>VLOOKUP(Table11[[#This Row],[NAME]],Aggregate!AD:AO,4,FALSE())</f>
        <v>LAR/11</v>
      </c>
      <c r="Y25" s="25">
        <f>IFERROR(VLOOKUP(Table11[[#This Row],[NAME]],Aggregate!$AD:$AO,8,FALSE()),"")</f>
        <v>150.38957085294115</v>
      </c>
      <c r="Z25" s="25">
        <f>IF(Scoring!$K$6="Auction",IFERROR(VLOOKUP(Table11[[#This Row],[NAME]],Aggregate!$AD:$AO,10,FALSE()),""),IFERROR(VLOOKUP(Table11[[#This Row],[NAME]],Aggregate!$AD:$AO,9,FALSE()),""))</f>
        <v>35.685672863365568</v>
      </c>
      <c r="AA25" s="27">
        <f>SUMIFS(AD26:$AD$84,AC26:$AC$84,"&lt;&gt;x",AC26:$AC$84,"&lt;&gt;o",AD26:$AD$84,"&gt;0")/Aggregate!$AL$1</f>
        <v>0.16198952104491346</v>
      </c>
      <c r="AB25" s="25" t="str">
        <f>VLOOKUP(Table11[[#This Row],[NAME]],ECR!C:E,3,FALSE)</f>
        <v>WR23</v>
      </c>
      <c r="AC25" s="28"/>
      <c r="AD25" s="29">
        <f>VLOOKUP(W25,Aggregate!AD:AL,9,FALSE())</f>
        <v>35.685672863365568</v>
      </c>
      <c r="AF25" s="19"/>
      <c r="AG25" s="19"/>
    </row>
    <row r="26" spans="2:33" ht="14.25" customHeight="1" x14ac:dyDescent="0.3">
      <c r="B26" s="25">
        <f>IFERROR(VLOOKUP(Table9[[#This Row],[NAME]],Aggregate!$B:$M,11,FALSE()),"")</f>
        <v>9</v>
      </c>
      <c r="C26" s="26" t="str">
        <f>Aggregate!B26</f>
        <v>Daniel Jones</v>
      </c>
      <c r="D26" s="26" t="str">
        <f>VLOOKUP(Table9[[#This Row],[NAME]],Aggregate!B:M,4,FALSE())</f>
        <v>IND/13</v>
      </c>
      <c r="E26" s="25">
        <f>IFERROR(VLOOKUP(Table9[[#This Row],[NAME]],Aggregate!$B:$M,8,FALSE()),"")</f>
        <v>219.8708</v>
      </c>
      <c r="F26" s="25">
        <f>IF(Scoring!$K$6="Auction",IFERROR(VLOOKUP(Table9[[#This Row],[NAME]],Aggregate!$B:$M,10,FALSE()),""),IFERROR(VLOOKUP(Table9[[#This Row],[NAME]],Aggregate!$B:$M,9,FALSE()),""))</f>
        <v>-42.460484705882294</v>
      </c>
      <c r="G26" s="27">
        <f>SUMIFS(J27:$J$44,I27:$I$44,"&lt;&gt;x",I27:$I$44,"&lt;&gt;o",J27:$J$44,"&gt;0")/Aggregate!$J$1</f>
        <v>0</v>
      </c>
      <c r="H26" s="25" t="str">
        <f>VLOOKUP(Table9[[#This Row],[NAME]],ECR!C:E,3,FALSE)</f>
        <v>QB24</v>
      </c>
      <c r="I26" s="28"/>
      <c r="J26" s="29">
        <f>VLOOKUP(C26,Aggregate!B:J,9,FALSE())</f>
        <v>-42.460484705882294</v>
      </c>
      <c r="K26" s="30"/>
      <c r="L26" s="25">
        <f>IFERROR(VLOOKUP(Table10[[#This Row],[NAME]],Aggregate!$P:$AA,11,FALSE()),"")</f>
        <v>5</v>
      </c>
      <c r="M26" s="26" t="str">
        <f>Aggregate!P25</f>
        <v>Bhayshul Tuten</v>
      </c>
      <c r="N26" s="26" t="str">
        <f>VLOOKUP(Table10[[#This Row],[NAME]],Aggregate!P:AA,4,FALSE())</f>
        <v>JAC/7</v>
      </c>
      <c r="O26" s="25">
        <f>IFERROR(VLOOKUP(Table10[[#This Row],[NAME]],Aggregate!$P:$AA,8,FALSE()),"")</f>
        <v>163.07169412549018</v>
      </c>
      <c r="P26" s="25">
        <f>IF(Scoring!$K$6="Auction",IFERROR(VLOOKUP(Table10[[#This Row],[NAME]],Aggregate!$P:$AA,10,FALSE()),""),IFERROR(VLOOKUP(Table10[[#This Row],[NAME]],Aggregate!$P:$AA,9,FALSE()),""))</f>
        <v>48.917216184313716</v>
      </c>
      <c r="Q26" s="27">
        <f>SUMIFS(T27:$T$84,S27:$S$84,"&lt;&gt;x",S27:$S$84,"&lt;&gt;o",T27:$T$84,"&gt;0")/Aggregate!$X$1</f>
        <v>0.12618490607001287</v>
      </c>
      <c r="R26" s="25" t="str">
        <f>VLOOKUP(Table10[[#This Row],[NAME]],ECR!C:E,3,FALSE)</f>
        <v>RB23</v>
      </c>
      <c r="S26" s="28"/>
      <c r="T26" s="29">
        <f>VLOOKUP(M26,Aggregate!P:X,9,FALSE())</f>
        <v>48.917216184313716</v>
      </c>
      <c r="U26" s="31"/>
      <c r="V26" s="25">
        <f>IFERROR(VLOOKUP(Table11[[#This Row],[NAME]],Aggregate!$AD:$AO,11,FALSE()),"")</f>
        <v>4</v>
      </c>
      <c r="W26" s="26" t="str">
        <f>Aggregate!AD19</f>
        <v>Jaylen Waddle</v>
      </c>
      <c r="X26" s="26" t="str">
        <f>VLOOKUP(Table11[[#This Row],[NAME]],Aggregate!AD:AO,4,FALSE())</f>
        <v>DEN/10</v>
      </c>
      <c r="Y26" s="25">
        <f>IFERROR(VLOOKUP(Table11[[#This Row],[NAME]],Aggregate!$AD:$AO,8,FALSE()),"")</f>
        <v>149.20194585294118</v>
      </c>
      <c r="Z26" s="25">
        <f>IF(Scoring!$K$6="Auction",IFERROR(VLOOKUP(Table11[[#This Row],[NAME]],Aggregate!$AD:$AO,10,FALSE()),""),IFERROR(VLOOKUP(Table11[[#This Row],[NAME]],Aggregate!$AD:$AO,9,FALSE()),""))</f>
        <v>34.498047863365599</v>
      </c>
      <c r="AA26" s="27">
        <f>SUMIFS(AD27:$AD$84,AC27:$AC$84,"&lt;&gt;x",AC27:$AC$84,"&lt;&gt;o",AD27:$AD$84,"&gt;0")/Aggregate!$AL$1</f>
        <v>0.14267123554873126</v>
      </c>
      <c r="AB26" s="25" t="str">
        <f>VLOOKUP(Table11[[#This Row],[NAME]],ECR!C:E,3,FALSE)</f>
        <v>WR17</v>
      </c>
      <c r="AC26" s="28"/>
      <c r="AD26" s="29">
        <f>VLOOKUP(W26,Aggregate!AD:AL,9,FALSE())</f>
        <v>34.498047863365599</v>
      </c>
      <c r="AF26" s="19"/>
      <c r="AG26" s="19"/>
    </row>
    <row r="27" spans="2:33" ht="14.25" customHeight="1" x14ac:dyDescent="0.3">
      <c r="B27" s="25">
        <f>IFERROR(VLOOKUP(Table9[[#This Row],[NAME]],Aggregate!$B:$M,11,FALSE()),"")</f>
        <v>9</v>
      </c>
      <c r="C27" s="26" t="str">
        <f>Aggregate!B24</f>
        <v>Sam Darnold</v>
      </c>
      <c r="D27" s="26" t="str">
        <f>VLOOKUP(Table9[[#This Row],[NAME]],Aggregate!B:M,4,FALSE())</f>
        <v>SEA/11</v>
      </c>
      <c r="E27" s="25">
        <f>IFERROR(VLOOKUP(Table9[[#This Row],[NAME]],Aggregate!$B:$M,8,FALSE()),"")</f>
        <v>219.87058942745099</v>
      </c>
      <c r="F27" s="25">
        <f>IF(Scoring!$K$6="Auction",IFERROR(VLOOKUP(Table9[[#This Row],[NAME]],Aggregate!$B:$M,10,FALSE()),""),IFERROR(VLOOKUP(Table9[[#This Row],[NAME]],Aggregate!$B:$M,9,FALSE()),""))</f>
        <v>-42.460695278431302</v>
      </c>
      <c r="G27" s="27">
        <f>SUMIFS(J28:$J$44,I28:$I$44,"&lt;&gt;x",I28:$I$44,"&lt;&gt;o",J28:$J$44,"&gt;0")/Aggregate!$J$1</f>
        <v>0</v>
      </c>
      <c r="H27" s="25" t="str">
        <f>VLOOKUP(Table9[[#This Row],[NAME]],ECR!C:E,3,FALSE)</f>
        <v>QB22</v>
      </c>
      <c r="I27" s="28"/>
      <c r="J27" s="29">
        <f>VLOOKUP(C27,Aggregate!B:J,9,FALSE())</f>
        <v>-42.460695278431302</v>
      </c>
      <c r="K27" s="30"/>
      <c r="L27" s="25">
        <f>IFERROR(VLOOKUP(Table10[[#This Row],[NAME]],Aggregate!$P:$AA,11,FALSE()),"")</f>
        <v>5</v>
      </c>
      <c r="M27" s="26" t="str">
        <f>Aggregate!P26</f>
        <v>Jadarian Price</v>
      </c>
      <c r="N27" s="26" t="str">
        <f>VLOOKUP(Table10[[#This Row],[NAME]],Aggregate!P:AA,4,FALSE())</f>
        <v>SEA/11</v>
      </c>
      <c r="O27" s="25">
        <f>IFERROR(VLOOKUP(Table10[[#This Row],[NAME]],Aggregate!$P:$AA,8,FALSE()),"")</f>
        <v>159.01823927058823</v>
      </c>
      <c r="P27" s="25">
        <f>IF(Scoring!$K$6="Auction",IFERROR(VLOOKUP(Table10[[#This Row],[NAME]],Aggregate!$P:$AA,10,FALSE()),""),IFERROR(VLOOKUP(Table10[[#This Row],[NAME]],Aggregate!$P:$AA,9,FALSE()),""))</f>
        <v>44.863761329411759</v>
      </c>
      <c r="Q27" s="27">
        <f>SUMIFS(T28:$T$84,S28:$S$84,"&lt;&gt;x",S28:$S$84,"&lt;&gt;o",T28:$T$84,"&gt;0")/Aggregate!$X$1</f>
        <v>0.10661824538183715</v>
      </c>
      <c r="R27" s="25" t="str">
        <f>VLOOKUP(Table10[[#This Row],[NAME]],ECR!C:E,3,FALSE)</f>
        <v>RB24</v>
      </c>
      <c r="S27" s="28"/>
      <c r="T27" s="29">
        <f>VLOOKUP(M27,Aggregate!P:X,9,FALSE())</f>
        <v>44.863761329411759</v>
      </c>
      <c r="U27" s="31"/>
      <c r="V27" s="25">
        <f>IFERROR(VLOOKUP(Table11[[#This Row],[NAME]],Aggregate!$AD:$AO,11,FALSE()),"")</f>
        <v>4</v>
      </c>
      <c r="W27" s="26" t="str">
        <f>Aggregate!AD27</f>
        <v>Jameson Williams</v>
      </c>
      <c r="X27" s="26" t="str">
        <f>VLOOKUP(Table11[[#This Row],[NAME]],Aggregate!AD:AO,4,FALSE())</f>
        <v>DET/6</v>
      </c>
      <c r="Y27" s="25">
        <f>IFERROR(VLOOKUP(Table11[[#This Row],[NAME]],Aggregate!$AD:$AO,8,FALSE()),"")</f>
        <v>145.97952281372548</v>
      </c>
      <c r="Z27" s="25">
        <f>IF(Scoring!$K$6="Auction",IFERROR(VLOOKUP(Table11[[#This Row],[NAME]],Aggregate!$AD:$AO,10,FALSE()),""),IFERROR(VLOOKUP(Table11[[#This Row],[NAME]],Aggregate!$AD:$AO,9,FALSE()),""))</f>
        <v>31.275624824149901</v>
      </c>
      <c r="AA27" s="27">
        <f>SUMIFS(AD28:$AD$84,AC28:$AC$84,"&lt;&gt;x",AC28:$AC$84,"&lt;&gt;o",AD28:$AD$84,"&gt;0")/Aggregate!$AL$1</f>
        <v>0.12515744891890815</v>
      </c>
      <c r="AB27" s="25" t="str">
        <f>VLOOKUP(Table11[[#This Row],[NAME]],ECR!C:E,3,FALSE)</f>
        <v>WR25</v>
      </c>
      <c r="AC27" s="28"/>
      <c r="AD27" s="29">
        <f>VLOOKUP(W27,Aggregate!AD:AL,9,FALSE())</f>
        <v>31.275624824149901</v>
      </c>
      <c r="AF27" s="19"/>
      <c r="AG27" s="19"/>
    </row>
    <row r="28" spans="2:33" ht="14.25" customHeight="1" x14ac:dyDescent="0.3">
      <c r="B28" s="25">
        <f>IFERROR(VLOOKUP(Table9[[#This Row],[NAME]],Aggregate!$B:$M,11,FALSE()),"")</f>
        <v>10</v>
      </c>
      <c r="C28" s="26" t="str">
        <f>Aggregate!B25</f>
        <v>C.J. Stroud</v>
      </c>
      <c r="D28" s="26" t="str">
        <f>VLOOKUP(Table9[[#This Row],[NAME]],Aggregate!B:M,4,FALSE())</f>
        <v>HOU/8</v>
      </c>
      <c r="E28" s="25">
        <f>IFERROR(VLOOKUP(Table9[[#This Row],[NAME]],Aggregate!$B:$M,8,FALSE()),"")</f>
        <v>214.51287372549018</v>
      </c>
      <c r="F28" s="25">
        <f>IF(Scoring!$K$6="Auction",IFERROR(VLOOKUP(Table9[[#This Row],[NAME]],Aggregate!$B:$M,10,FALSE()),""),IFERROR(VLOOKUP(Table9[[#This Row],[NAME]],Aggregate!$B:$M,9,FALSE()),""))</f>
        <v>-47.818410980392116</v>
      </c>
      <c r="G28" s="27">
        <f>SUMIFS(J29:$J$44,I29:$I$44,"&lt;&gt;x",I29:$I$44,"&lt;&gt;o",J29:$J$44,"&gt;0")/Aggregate!$J$1</f>
        <v>0</v>
      </c>
      <c r="H28" s="25" t="str">
        <f>VLOOKUP(Table9[[#This Row],[NAME]],ECR!C:E,3,FALSE)</f>
        <v>QB23</v>
      </c>
      <c r="I28" s="28"/>
      <c r="J28" s="29">
        <f>VLOOKUP(C28,Aggregate!B:J,9,FALSE())</f>
        <v>-47.818410980392116</v>
      </c>
      <c r="K28" s="30"/>
      <c r="L28" s="25">
        <f>IFERROR(VLOOKUP(Table10[[#This Row],[NAME]],Aggregate!$P:$AA,11,FALSE()),"")</f>
        <v>5</v>
      </c>
      <c r="M28" s="26" t="str">
        <f>Aggregate!P23</f>
        <v>David Montgomery</v>
      </c>
      <c r="N28" s="26" t="str">
        <f>VLOOKUP(Table10[[#This Row],[NAME]],Aggregate!P:AA,4,FALSE())</f>
        <v>HOU/8</v>
      </c>
      <c r="O28" s="25">
        <f>IFERROR(VLOOKUP(Table10[[#This Row],[NAME]],Aggregate!$P:$AA,8,FALSE()),"")</f>
        <v>158.1156138039216</v>
      </c>
      <c r="P28" s="25">
        <f>IF(Scoring!$K$6="Auction",IFERROR(VLOOKUP(Table10[[#This Row],[NAME]],Aggregate!$P:$AA,10,FALSE()),""),IFERROR(VLOOKUP(Table10[[#This Row],[NAME]],Aggregate!$P:$AA,9,FALSE()),""))</f>
        <v>43.961135862745138</v>
      </c>
      <c r="Q28" s="27">
        <f>SUMIFS(T29:$T$84,S29:$S$84,"&lt;&gt;x",S29:$S$84,"&lt;&gt;o",T29:$T$84,"&gt;0")/Aggregate!$X$1</f>
        <v>8.7445251334875337E-2</v>
      </c>
      <c r="R28" s="25" t="str">
        <f>VLOOKUP(Table10[[#This Row],[NAME]],ECR!C:E,3,FALSE)</f>
        <v>RB21</v>
      </c>
      <c r="S28" s="28"/>
      <c r="T28" s="29">
        <f>VLOOKUP(M28,Aggregate!P:X,9,FALSE())</f>
        <v>43.961135862745138</v>
      </c>
      <c r="U28" s="31"/>
      <c r="V28" s="25">
        <f>IFERROR(VLOOKUP(Table11[[#This Row],[NAME]],Aggregate!$AD:$AO,11,FALSE()),"")</f>
        <v>4</v>
      </c>
      <c r="W28" s="26" t="str">
        <f>Aggregate!AD26</f>
        <v>Terry McLaurin</v>
      </c>
      <c r="X28" s="26" t="str">
        <f>VLOOKUP(Table11[[#This Row],[NAME]],Aggregate!AD:AO,4,FALSE())</f>
        <v>WAS/7</v>
      </c>
      <c r="Y28" s="25">
        <f>IFERROR(VLOOKUP(Table11[[#This Row],[NAME]],Aggregate!$AD:$AO,8,FALSE()),"")</f>
        <v>143.83584194117645</v>
      </c>
      <c r="Z28" s="25">
        <f>IF(Scoring!$K$6="Auction",IFERROR(VLOOKUP(Table11[[#This Row],[NAME]],Aggregate!$AD:$AO,10,FALSE()),""),IFERROR(VLOOKUP(Table11[[#This Row],[NAME]],Aggregate!$AD:$AO,9,FALSE()),""))</f>
        <v>29.131943951600874</v>
      </c>
      <c r="AA28" s="27">
        <f>SUMIFS(AD29:$AD$84,AC29:$AC$84,"&lt;&gt;x",AC29:$AC$84,"&lt;&gt;o",AD29:$AD$84,"&gt;0")/Aggregate!$AL$1</f>
        <v>0.10884408497017777</v>
      </c>
      <c r="AB28" s="25" t="str">
        <f>VLOOKUP(Table11[[#This Row],[NAME]],ECR!C:E,3,FALSE)</f>
        <v>WR24</v>
      </c>
      <c r="AC28" s="28"/>
      <c r="AD28" s="29">
        <f>VLOOKUP(W28,Aggregate!AD:AL,9,FALSE())</f>
        <v>29.131943951600874</v>
      </c>
      <c r="AF28" s="19"/>
      <c r="AG28" s="19"/>
    </row>
    <row r="29" spans="2:33" ht="14.25" customHeight="1" x14ac:dyDescent="0.3">
      <c r="B29" s="25">
        <f>IFERROR(VLOOKUP(Table9[[#This Row],[NAME]],Aggregate!$B:$M,11,FALSE()),"")</f>
        <v>11</v>
      </c>
      <c r="C29" s="26" t="str">
        <f>Aggregate!B28</f>
        <v>Bryce Young</v>
      </c>
      <c r="D29" s="26" t="str">
        <f>VLOOKUP(Table9[[#This Row],[NAME]],Aggregate!B:M,4,FALSE())</f>
        <v>CAR/5</v>
      </c>
      <c r="E29" s="25">
        <f>IFERROR(VLOOKUP(Table9[[#This Row],[NAME]],Aggregate!$B:$M,8,FALSE()),"")</f>
        <v>202.31990588235294</v>
      </c>
      <c r="F29" s="25">
        <f>IF(Scoring!$K$6="Auction",IFERROR(VLOOKUP(Table9[[#This Row],[NAME]],Aggregate!$B:$M,10,FALSE()),""),IFERROR(VLOOKUP(Table9[[#This Row],[NAME]],Aggregate!$B:$M,9,FALSE()),""))</f>
        <v>-60.011378823529355</v>
      </c>
      <c r="G29" s="27">
        <f>SUMIFS(J30:$J$44,I30:$I$44,"&lt;&gt;x",I30:$I$44,"&lt;&gt;o",J30:$J$44,"&gt;0")/Aggregate!$J$1</f>
        <v>0</v>
      </c>
      <c r="H29" s="25" t="str">
        <f>VLOOKUP(Table9[[#This Row],[NAME]],ECR!C:E,3,FALSE)</f>
        <v>QB26</v>
      </c>
      <c r="I29" s="28"/>
      <c r="J29" s="29">
        <f>VLOOKUP(C29,Aggregate!B:J,9,FALSE())</f>
        <v>-60.011378823529355</v>
      </c>
      <c r="K29" s="30"/>
      <c r="L29" s="25">
        <f>IFERROR(VLOOKUP(Table10[[#This Row],[NAME]],Aggregate!$P:$AA,11,FALSE()),"")</f>
        <v>5</v>
      </c>
      <c r="M29" s="26" t="str">
        <f>Aggregate!P27</f>
        <v>TreVeyon Henderson</v>
      </c>
      <c r="N29" s="26" t="str">
        <f>VLOOKUP(Table10[[#This Row],[NAME]],Aggregate!P:AA,4,FALSE())</f>
        <v>NE/11</v>
      </c>
      <c r="O29" s="25">
        <f>IFERROR(VLOOKUP(Table10[[#This Row],[NAME]],Aggregate!$P:$AA,8,FALSE()),"")</f>
        <v>145.4195605882353</v>
      </c>
      <c r="P29" s="25">
        <f>IF(Scoring!$K$6="Auction",IFERROR(VLOOKUP(Table10[[#This Row],[NAME]],Aggregate!$P:$AA,10,FALSE()),""),IFERROR(VLOOKUP(Table10[[#This Row],[NAME]],Aggregate!$P:$AA,9,FALSE()),""))</f>
        <v>31.265082647058833</v>
      </c>
      <c r="Q29" s="27">
        <f>SUMIFS(T30:$T$84,S30:$S$84,"&lt;&gt;x",S30:$S$84,"&lt;&gt;o",T30:$T$84,"&gt;0")/Aggregate!$X$1</f>
        <v>7.380945162893944E-2</v>
      </c>
      <c r="R29" s="25" t="str">
        <f>VLOOKUP(Table10[[#This Row],[NAME]],ECR!C:E,3,FALSE)</f>
        <v>RB25</v>
      </c>
      <c r="S29" s="28"/>
      <c r="T29" s="29">
        <f>VLOOKUP(M29,Aggregate!P:X,9,FALSE())</f>
        <v>31.265082647058833</v>
      </c>
      <c r="U29" s="31"/>
      <c r="V29" s="25">
        <f>IFERROR(VLOOKUP(Table11[[#This Row],[NAME]],Aggregate!$AD:$AO,11,FALSE()),"")</f>
        <v>4</v>
      </c>
      <c r="W29" s="26" t="str">
        <f>Aggregate!AD24</f>
        <v>Luther Burden III</v>
      </c>
      <c r="X29" s="26" t="str">
        <f>VLOOKUP(Table11[[#This Row],[NAME]],Aggregate!AD:AO,4,FALSE())</f>
        <v>CHI/10</v>
      </c>
      <c r="Y29" s="25">
        <f>IFERROR(VLOOKUP(Table11[[#This Row],[NAME]],Aggregate!$AD:$AO,8,FALSE()),"")</f>
        <v>143.41114807843135</v>
      </c>
      <c r="Z29" s="25">
        <f>IF(Scoring!$K$6="Auction",IFERROR(VLOOKUP(Table11[[#This Row],[NAME]],Aggregate!$AD:$AO,10,FALSE()),""),IFERROR(VLOOKUP(Table11[[#This Row],[NAME]],Aggregate!$AD:$AO,9,FALSE()),""))</f>
        <v>28.707250088855773</v>
      </c>
      <c r="AA29" s="27">
        <f>SUMIFS(AD30:$AD$84,AC30:$AC$84,"&lt;&gt;x",AC30:$AC$84,"&lt;&gt;o",AD30:$AD$84,"&gt;0")/Aggregate!$AL$1</f>
        <v>9.2768541935879426E-2</v>
      </c>
      <c r="AB29" s="25" t="str">
        <f>VLOOKUP(Table11[[#This Row],[NAME]],ECR!C:E,3,FALSE)</f>
        <v>WR22</v>
      </c>
      <c r="AC29" s="28"/>
      <c r="AD29" s="29">
        <f>VLOOKUP(W29,Aggregate!AD:AL,9,FALSE())</f>
        <v>28.707250088855773</v>
      </c>
      <c r="AF29" s="19"/>
      <c r="AG29" s="19"/>
    </row>
    <row r="30" spans="2:33" ht="14.25" customHeight="1" x14ac:dyDescent="0.3">
      <c r="B30" s="25">
        <f>IFERROR(VLOOKUP(Table9[[#This Row],[NAME]],Aggregate!$B:$M,11,FALSE()),"")</f>
        <v>12</v>
      </c>
      <c r="C30" s="26" t="str">
        <f>Aggregate!B27</f>
        <v>Cam Ward</v>
      </c>
      <c r="D30" s="26" t="str">
        <f>VLOOKUP(Table9[[#This Row],[NAME]],Aggregate!B:M,4,FALSE())</f>
        <v>TEN/9</v>
      </c>
      <c r="E30" s="25">
        <f>IFERROR(VLOOKUP(Table9[[#This Row],[NAME]],Aggregate!$B:$M,8,FALSE()),"")</f>
        <v>194.52696470588236</v>
      </c>
      <c r="F30" s="25">
        <f>IF(Scoring!$K$6="Auction",IFERROR(VLOOKUP(Table9[[#This Row],[NAME]],Aggregate!$B:$M,10,FALSE()),""),IFERROR(VLOOKUP(Table9[[#This Row],[NAME]],Aggregate!$B:$M,9,FALSE()),""))</f>
        <v>-67.804319999999933</v>
      </c>
      <c r="G30" s="27">
        <f>SUMIFS(J31:$J$44,I31:$I$44,"&lt;&gt;x",I31:$I$44,"&lt;&gt;o",J31:$J$44,"&gt;0")/Aggregate!$J$1</f>
        <v>0</v>
      </c>
      <c r="H30" s="25" t="str">
        <f>VLOOKUP(Table9[[#This Row],[NAME]],ECR!C:E,3,FALSE)</f>
        <v>QB25</v>
      </c>
      <c r="I30" s="28"/>
      <c r="J30" s="29">
        <f>VLOOKUP(C30,Aggregate!B:J,9,FALSE())</f>
        <v>-67.804319999999933</v>
      </c>
      <c r="K30" s="30"/>
      <c r="L30" s="25">
        <f>IFERROR(VLOOKUP(Table10[[#This Row],[NAME]],Aggregate!$P:$AA,11,FALSE()),"")</f>
        <v>5</v>
      </c>
      <c r="M30" s="26" t="str">
        <f>Aggregate!P29</f>
        <v>Jaylen Warren</v>
      </c>
      <c r="N30" s="26" t="str">
        <f>VLOOKUP(Table10[[#This Row],[NAME]],Aggregate!P:AA,4,FALSE())</f>
        <v>PIT/9</v>
      </c>
      <c r="O30" s="25">
        <f>IFERROR(VLOOKUP(Table10[[#This Row],[NAME]],Aggregate!$P:$AA,8,FALSE()),"")</f>
        <v>143.97150503921569</v>
      </c>
      <c r="P30" s="25">
        <f>IF(Scoring!$K$6="Auction",IFERROR(VLOOKUP(Table10[[#This Row],[NAME]],Aggregate!$P:$AA,10,FALSE()),""),IFERROR(VLOOKUP(Table10[[#This Row],[NAME]],Aggregate!$P:$AA,9,FALSE()),""))</f>
        <v>29.817027098039219</v>
      </c>
      <c r="Q30" s="27">
        <f>SUMIFS(T31:$T$84,S31:$S$84,"&lt;&gt;x",S31:$S$84,"&lt;&gt;o",T31:$T$84,"&gt;0")/Aggregate!$X$1</f>
        <v>6.0805199763525837E-2</v>
      </c>
      <c r="R30" s="25" t="str">
        <f>VLOOKUP(Table10[[#This Row],[NAME]],ECR!C:E,3,FALSE)</f>
        <v>RB27</v>
      </c>
      <c r="S30" s="28"/>
      <c r="T30" s="29">
        <f>VLOOKUP(M30,Aggregate!P:X,9,FALSE())</f>
        <v>29.817027098039219</v>
      </c>
      <c r="U30" s="31"/>
      <c r="V30" s="25">
        <f>IFERROR(VLOOKUP(Table11[[#This Row],[NAME]],Aggregate!$AD:$AO,11,FALSE()),"")</f>
        <v>4</v>
      </c>
      <c r="W30" s="26" t="str">
        <f>Aggregate!AD28</f>
        <v>DJ Moore</v>
      </c>
      <c r="X30" s="26" t="str">
        <f>VLOOKUP(Table11[[#This Row],[NAME]],Aggregate!AD:AO,4,FALSE())</f>
        <v>BUF/7</v>
      </c>
      <c r="Y30" s="25">
        <f>IFERROR(VLOOKUP(Table11[[#This Row],[NAME]],Aggregate!$AD:$AO,8,FALSE()),"")</f>
        <v>139.4891103529412</v>
      </c>
      <c r="Z30" s="25">
        <f>IF(Scoring!$K$6="Auction",IFERROR(VLOOKUP(Table11[[#This Row],[NAME]],Aggregate!$AD:$AO,10,FALSE()),""),IFERROR(VLOOKUP(Table11[[#This Row],[NAME]],Aggregate!$AD:$AO,9,FALSE()),""))</f>
        <v>24.785212363365616</v>
      </c>
      <c r="AA30" s="27">
        <f>SUMIFS(AD31:$AD$84,AC31:$AC$84,"&lt;&gt;x",AC31:$AC$84,"&lt;&gt;o",AD31:$AD$84,"&gt;0")/Aggregate!$AL$1</f>
        <v>7.888926939224486E-2</v>
      </c>
      <c r="AB30" s="25" t="str">
        <f>VLOOKUP(Table11[[#This Row],[NAME]],ECR!C:E,3,FALSE)</f>
        <v>WR26</v>
      </c>
      <c r="AC30" s="28"/>
      <c r="AD30" s="29">
        <f>VLOOKUP(W30,Aggregate!AD:AL,9,FALSE())</f>
        <v>24.785212363365616</v>
      </c>
      <c r="AF30" s="19"/>
      <c r="AG30" s="19"/>
    </row>
    <row r="31" spans="2:33" ht="14.25" customHeight="1" x14ac:dyDescent="0.3">
      <c r="B31" s="25">
        <f>IFERROR(VLOOKUP(Table9[[#This Row],[NAME]],Aggregate!$B:$M,11,FALSE()),"")</f>
        <v>13</v>
      </c>
      <c r="C31" s="26" t="str">
        <f>Aggregate!B29</f>
        <v>Jacoby Brissett</v>
      </c>
      <c r="D31" s="26" t="str">
        <f>VLOOKUP(Table9[[#This Row],[NAME]],Aggregate!B:M,4,FALSE())</f>
        <v>ARI/14</v>
      </c>
      <c r="E31" s="25">
        <f>IFERROR(VLOOKUP(Table9[[#This Row],[NAME]],Aggregate!$B:$M,8,FALSE()),"")</f>
        <v>187.23407058823531</v>
      </c>
      <c r="F31" s="25">
        <f>IF(Scoring!$K$6="Auction",IFERROR(VLOOKUP(Table9[[#This Row],[NAME]],Aggregate!$B:$M,10,FALSE()),""),IFERROR(VLOOKUP(Table9[[#This Row],[NAME]],Aggregate!$B:$M,9,FALSE()),""))</f>
        <v>-75.097214117646985</v>
      </c>
      <c r="G31" s="27">
        <f>SUMIFS(J32:$J$44,I32:$I$44,"&lt;&gt;x",I32:$I$44,"&lt;&gt;o",J32:$J$44,"&gt;0")/Aggregate!$J$1</f>
        <v>0</v>
      </c>
      <c r="H31" s="25" t="str">
        <f>VLOOKUP(Table9[[#This Row],[NAME]],ECR!C:E,3,FALSE)</f>
        <v>QB27</v>
      </c>
      <c r="I31" s="28"/>
      <c r="J31" s="29">
        <f>VLOOKUP(C31,Aggregate!B:J,9,FALSE())</f>
        <v>-75.097214117646985</v>
      </c>
      <c r="K31" s="30"/>
      <c r="L31" s="25">
        <f>IFERROR(VLOOKUP(Table10[[#This Row],[NAME]],Aggregate!$P:$AA,11,FALSE()),"")</f>
        <v>6</v>
      </c>
      <c r="M31" s="26" t="str">
        <f>Aggregate!P28</f>
        <v>Rhamondre Stevenson</v>
      </c>
      <c r="N31" s="26" t="str">
        <f>VLOOKUP(Table10[[#This Row],[NAME]],Aggregate!P:AA,4,FALSE())</f>
        <v>NE/11</v>
      </c>
      <c r="O31" s="25">
        <f>IFERROR(VLOOKUP(Table10[[#This Row],[NAME]],Aggregate!$P:$AA,8,FALSE()),"")</f>
        <v>142.519827372549</v>
      </c>
      <c r="P31" s="25">
        <f>IF(Scoring!$K$6="Auction",IFERROR(VLOOKUP(Table10[[#This Row],[NAME]],Aggregate!$P:$AA,10,FALSE()),""),IFERROR(VLOOKUP(Table10[[#This Row],[NAME]],Aggregate!$P:$AA,9,FALSE()),""))</f>
        <v>28.365349431372536</v>
      </c>
      <c r="Q31" s="27">
        <f>SUMIFS(T32:$T$84,S32:$S$84,"&lt;&gt;x",S32:$S$84,"&lt;&gt;o",T32:$T$84,"&gt;0")/Aggregate!$X$1</f>
        <v>4.8434075471248811E-2</v>
      </c>
      <c r="R31" s="25" t="str">
        <f>VLOOKUP(Table10[[#This Row],[NAME]],ECR!C:E,3,FALSE)</f>
        <v>RB26</v>
      </c>
      <c r="S31" s="28"/>
      <c r="T31" s="29">
        <f>VLOOKUP(M31,Aggregate!P:X,9,FALSE())</f>
        <v>28.365349431372536</v>
      </c>
      <c r="U31" s="31"/>
      <c r="V31" s="25">
        <f>IFERROR(VLOOKUP(Table11[[#This Row],[NAME]],Aggregate!$AD:$AO,11,FALSE()),"")</f>
        <v>4</v>
      </c>
      <c r="W31" s="26" t="str">
        <f>Aggregate!AD30</f>
        <v>Rome Odunze</v>
      </c>
      <c r="X31" s="26" t="str">
        <f>VLOOKUP(Table11[[#This Row],[NAME]],Aggregate!AD:AO,4,FALSE())</f>
        <v>CHI/10</v>
      </c>
      <c r="Y31" s="25">
        <f>IFERROR(VLOOKUP(Table11[[#This Row],[NAME]],Aggregate!$AD:$AO,8,FALSE()),"")</f>
        <v>137.65800941176471</v>
      </c>
      <c r="Z31" s="25">
        <f>IF(Scoring!$K$6="Auction",IFERROR(VLOOKUP(Table11[[#This Row],[NAME]],Aggregate!$AD:$AO,10,FALSE()),""),IFERROR(VLOOKUP(Table11[[#This Row],[NAME]],Aggregate!$AD:$AO,9,FALSE()),""))</f>
        <v>22.954111422189129</v>
      </c>
      <c r="AA31" s="27">
        <f>SUMIFS(AD32:$AD$84,AC32:$AC$84,"&lt;&gt;x",AC32:$AC$84,"&lt;&gt;o",AD32:$AD$84,"&gt;0")/Aggregate!$AL$1</f>
        <v>6.6035380397675938E-2</v>
      </c>
      <c r="AB31" s="25" t="str">
        <f>VLOOKUP(Table11[[#This Row],[NAME]],ECR!C:E,3,FALSE)</f>
        <v>WR28</v>
      </c>
      <c r="AC31" s="28"/>
      <c r="AD31" s="29">
        <f>VLOOKUP(W31,Aggregate!AD:AL,9,FALSE())</f>
        <v>22.954111422189129</v>
      </c>
      <c r="AF31" s="19"/>
      <c r="AG31" s="19"/>
    </row>
    <row r="32" spans="2:33" ht="14.25" customHeight="1" x14ac:dyDescent="0.3">
      <c r="B32" s="25">
        <f>IFERROR(VLOOKUP(Table9[[#This Row],[NAME]],Aggregate!$B:$M,11,FALSE()),"")</f>
        <v>13</v>
      </c>
      <c r="C32" s="26" t="str">
        <f>Aggregate!B31</f>
        <v>Geno Smith</v>
      </c>
      <c r="D32" s="26" t="str">
        <f>VLOOKUP(Table9[[#This Row],[NAME]],Aggregate!B:M,4,FALSE())</f>
        <v>NYJ/13</v>
      </c>
      <c r="E32" s="25">
        <f>IFERROR(VLOOKUP(Table9[[#This Row],[NAME]],Aggregate!$B:$M,8,FALSE()),"")</f>
        <v>186.63715294117648</v>
      </c>
      <c r="F32" s="25">
        <f>IF(Scoring!$K$6="Auction",IFERROR(VLOOKUP(Table9[[#This Row],[NAME]],Aggregate!$B:$M,10,FALSE()),""),IFERROR(VLOOKUP(Table9[[#This Row],[NAME]],Aggregate!$B:$M,9,FALSE()),""))</f>
        <v>-75.694131764705816</v>
      </c>
      <c r="G32" s="27">
        <f>SUMIFS(J33:$J$44,I33:$I$44,"&lt;&gt;x",I33:$I$44,"&lt;&gt;o",J33:$J$44,"&gt;0")/Aggregate!$J$1</f>
        <v>0</v>
      </c>
      <c r="H32" s="25" t="str">
        <f>VLOOKUP(Table9[[#This Row],[NAME]],ECR!C:E,3,FALSE)</f>
        <v>QB29</v>
      </c>
      <c r="I32" s="28"/>
      <c r="J32" s="29">
        <f>VLOOKUP(C32,Aggregate!B:J,9,FALSE())</f>
        <v>-75.694131764705816</v>
      </c>
      <c r="K32" s="30"/>
      <c r="L32" s="25">
        <f>IFERROR(VLOOKUP(Table10[[#This Row],[NAME]],Aggregate!$P:$AA,11,FALSE()),"")</f>
        <v>6</v>
      </c>
      <c r="M32" s="26" t="str">
        <f>Aggregate!P30</f>
        <v>Tony Pollard</v>
      </c>
      <c r="N32" s="26" t="str">
        <f>VLOOKUP(Table10[[#This Row],[NAME]],Aggregate!P:AA,4,FALSE())</f>
        <v>TEN/9</v>
      </c>
      <c r="O32" s="25">
        <f>IFERROR(VLOOKUP(Table10[[#This Row],[NAME]],Aggregate!$P:$AA,8,FALSE()),"")</f>
        <v>141.90545752941176</v>
      </c>
      <c r="P32" s="25">
        <f>IF(Scoring!$K$6="Auction",IFERROR(VLOOKUP(Table10[[#This Row],[NAME]],Aggregate!$P:$AA,10,FALSE()),""),IFERROR(VLOOKUP(Table10[[#This Row],[NAME]],Aggregate!$P:$AA,9,FALSE()),""))</f>
        <v>27.750979588235296</v>
      </c>
      <c r="Q32" s="27">
        <f>SUMIFS(T33:$T$84,S33:$S$84,"&lt;&gt;x",S33:$S$84,"&lt;&gt;o",T33:$T$84,"&gt;0")/Aggregate!$X$1</f>
        <v>3.6330899427212689E-2</v>
      </c>
      <c r="R32" s="25" t="str">
        <f>VLOOKUP(Table10[[#This Row],[NAME]],ECR!C:E,3,FALSE)</f>
        <v>RB28</v>
      </c>
      <c r="S32" s="28"/>
      <c r="T32" s="29">
        <f>VLOOKUP(M32,Aggregate!P:X,9,FALSE())</f>
        <v>27.750979588235296</v>
      </c>
      <c r="U32" s="31"/>
      <c r="V32" s="25">
        <f>IFERROR(VLOOKUP(Table11[[#This Row],[NAME]],Aggregate!$AD:$AO,11,FALSE()),"")</f>
        <v>4</v>
      </c>
      <c r="W32" s="26" t="str">
        <f>Aggregate!AD29</f>
        <v>Christian Watson</v>
      </c>
      <c r="X32" s="26" t="str">
        <f>VLOOKUP(Table11[[#This Row],[NAME]],Aggregate!AD:AO,4,FALSE())</f>
        <v>GB/11</v>
      </c>
      <c r="Y32" s="25">
        <f>IFERROR(VLOOKUP(Table11[[#This Row],[NAME]],Aggregate!$AD:$AO,8,FALSE()),"")</f>
        <v>136.94330541176473</v>
      </c>
      <c r="Z32" s="25">
        <f>IF(Scoring!$K$6="Auction",IFERROR(VLOOKUP(Table11[[#This Row],[NAME]],Aggregate!$AD:$AO,10,FALSE()),""),IFERROR(VLOOKUP(Table11[[#This Row],[NAME]],Aggregate!$AD:$AO,9,FALSE()),""))</f>
        <v>22.239407422189146</v>
      </c>
      <c r="AA32" s="27">
        <f>SUMIFS(AD33:$AD$84,AC33:$AC$84,"&lt;&gt;x",AC33:$AC$84,"&lt;&gt;o",AD33:$AD$84,"&gt;0")/Aggregate!$AL$1</f>
        <v>5.3581712771340606E-2</v>
      </c>
      <c r="AB32" s="25" t="str">
        <f>VLOOKUP(Table11[[#This Row],[NAME]],ECR!C:E,3,FALSE)</f>
        <v>WR27</v>
      </c>
      <c r="AC32" s="28"/>
      <c r="AD32" s="29">
        <f>VLOOKUP(W32,Aggregate!AD:AL,9,FALSE())</f>
        <v>22.239407422189146</v>
      </c>
      <c r="AF32" s="19"/>
      <c r="AG32" s="19"/>
    </row>
    <row r="33" spans="2:33" ht="14.25" customHeight="1" x14ac:dyDescent="0.3">
      <c r="B33" s="25">
        <f>IFERROR(VLOOKUP(Table9[[#This Row],[NAME]],Aggregate!$B:$M,11,FALSE()),"")</f>
        <v>14</v>
      </c>
      <c r="C33" s="26" t="str">
        <f>Aggregate!B30</f>
        <v>Aaron Rodgers</v>
      </c>
      <c r="D33" s="26" t="str">
        <f>VLOOKUP(Table9[[#This Row],[NAME]],Aggregate!B:M,4,FALSE())</f>
        <v>PIT/9</v>
      </c>
      <c r="E33" s="25">
        <f>IFERROR(VLOOKUP(Table9[[#This Row],[NAME]],Aggregate!$B:$M,8,FALSE()),"")</f>
        <v>182.12211764705884</v>
      </c>
      <c r="F33" s="25">
        <f>IF(Scoring!$K$6="Auction",IFERROR(VLOOKUP(Table9[[#This Row],[NAME]],Aggregate!$B:$M,10,FALSE()),""),IFERROR(VLOOKUP(Table9[[#This Row],[NAME]],Aggregate!$B:$M,9,FALSE()),""))</f>
        <v>-80.209167058823454</v>
      </c>
      <c r="G33" s="27">
        <f>SUMIFS(J34:$J$44,I34:$I$44,"&lt;&gt;x",I34:$I$44,"&lt;&gt;o",J34:$J$44,"&gt;0")/Aggregate!$J$1</f>
        <v>0</v>
      </c>
      <c r="H33" s="25" t="str">
        <f>VLOOKUP(Table9[[#This Row],[NAME]],ECR!C:E,3,FALSE)</f>
        <v>QB28</v>
      </c>
      <c r="I33" s="28"/>
      <c r="J33" s="29">
        <f>VLOOKUP(C33,Aggregate!B:J,9,FALSE())</f>
        <v>-80.209167058823454</v>
      </c>
      <c r="K33" s="30"/>
      <c r="L33" s="25">
        <f>IFERROR(VLOOKUP(Table10[[#This Row],[NAME]],Aggregate!$P:$AA,11,FALSE()),"")</f>
        <v>6</v>
      </c>
      <c r="M33" s="26" t="str">
        <f>Aggregate!P31</f>
        <v>Rico Dowdle</v>
      </c>
      <c r="N33" s="26" t="str">
        <f>VLOOKUP(Table10[[#This Row],[NAME]],Aggregate!P:AA,4,FALSE())</f>
        <v>PIT/9</v>
      </c>
      <c r="O33" s="25">
        <f>IFERROR(VLOOKUP(Table10[[#This Row],[NAME]],Aggregate!$P:$AA,8,FALSE()),"")</f>
        <v>137.54796766666666</v>
      </c>
      <c r="P33" s="25">
        <f>IF(Scoring!$K$6="Auction",IFERROR(VLOOKUP(Table10[[#This Row],[NAME]],Aggregate!$P:$AA,10,FALSE()),""),IFERROR(VLOOKUP(Table10[[#This Row],[NAME]],Aggregate!$P:$AA,9,FALSE()),""))</f>
        <v>23.393489725490198</v>
      </c>
      <c r="Q33" s="27">
        <f>SUMIFS(T34:$T$84,S34:$S$84,"&lt;&gt;x",S34:$S$84,"&lt;&gt;o",T34:$T$84,"&gt;0")/Aggregate!$X$1</f>
        <v>2.6128177626646414E-2</v>
      </c>
      <c r="R33" s="25" t="str">
        <f>VLOOKUP(Table10[[#This Row],[NAME]],ECR!C:E,3,FALSE)</f>
        <v>RB29</v>
      </c>
      <c r="S33" s="28"/>
      <c r="T33" s="29">
        <f>VLOOKUP(M33,Aggregate!P:X,9,FALSE())</f>
        <v>23.393489725490198</v>
      </c>
      <c r="U33" s="31"/>
      <c r="V33" s="25">
        <f>IFERROR(VLOOKUP(Table11[[#This Row],[NAME]],Aggregate!$AD:$AO,11,FALSE()),"")</f>
        <v>5</v>
      </c>
      <c r="W33" s="26" t="str">
        <f>Aggregate!AD31</f>
        <v>Mike Evans</v>
      </c>
      <c r="X33" s="26" t="str">
        <f>VLOOKUP(Table11[[#This Row],[NAME]],Aggregate!AD:AO,4,FALSE())</f>
        <v>SF/8</v>
      </c>
      <c r="Y33" s="25">
        <f>IFERROR(VLOOKUP(Table11[[#This Row],[NAME]],Aggregate!$AD:$AO,8,FALSE()),"")</f>
        <v>129.44160223529411</v>
      </c>
      <c r="Z33" s="25">
        <f>IF(Scoring!$K$6="Auction",IFERROR(VLOOKUP(Table11[[#This Row],[NAME]],Aggregate!$AD:$AO,10,FALSE()),""),IFERROR(VLOOKUP(Table11[[#This Row],[NAME]],Aggregate!$AD:$AO,9,FALSE()),""))</f>
        <v>14.737704245718533</v>
      </c>
      <c r="AA33" s="27">
        <f>SUMIFS(AD34:$AD$84,AC34:$AC$84,"&lt;&gt;x",AC34:$AC$84,"&lt;&gt;o",AD34:$AD$84,"&gt;0")/Aggregate!$AL$1</f>
        <v>4.5328863818706822E-2</v>
      </c>
      <c r="AB33" s="25" t="str">
        <f>VLOOKUP(Table11[[#This Row],[NAME]],ECR!C:E,3,FALSE)</f>
        <v>WR29</v>
      </c>
      <c r="AC33" s="28"/>
      <c r="AD33" s="29">
        <f>VLOOKUP(W33,Aggregate!AD:AL,9,FALSE())</f>
        <v>14.737704245718533</v>
      </c>
      <c r="AF33" s="19"/>
      <c r="AG33" s="19"/>
    </row>
    <row r="34" spans="2:33" ht="14.25" customHeight="1" x14ac:dyDescent="0.3">
      <c r="B34" s="25">
        <f>IFERROR(VLOOKUP(Table9[[#This Row],[NAME]],Aggregate!$B:$M,11,FALSE()),"")</f>
        <v>15</v>
      </c>
      <c r="C34" s="26" t="str">
        <f>Aggregate!B32</f>
        <v>Fernando Mendoza</v>
      </c>
      <c r="D34" s="26" t="str">
        <f>VLOOKUP(Table9[[#This Row],[NAME]],Aggregate!B:M,4,FALSE())</f>
        <v>LV/13</v>
      </c>
      <c r="E34" s="25">
        <f>IFERROR(VLOOKUP(Table9[[#This Row],[NAME]],Aggregate!$B:$M,8,FALSE()),"")</f>
        <v>155.55143529411768</v>
      </c>
      <c r="F34" s="25">
        <f>IF(Scoring!$K$6="Auction",IFERROR(VLOOKUP(Table9[[#This Row],[NAME]],Aggregate!$B:$M,10,FALSE()),""),IFERROR(VLOOKUP(Table9[[#This Row],[NAME]],Aggregate!$B:$M,9,FALSE()),""))</f>
        <v>-106.77984941176462</v>
      </c>
      <c r="G34" s="27">
        <f>SUMIFS(J35:$J$44,I35:$I$44,"&lt;&gt;x",I35:$I$44,"&lt;&gt;o",J35:$J$44,"&gt;0")/Aggregate!$J$1</f>
        <v>0</v>
      </c>
      <c r="H34" s="25" t="str">
        <f>VLOOKUP(Table9[[#This Row],[NAME]],ECR!C:E,3,FALSE)</f>
        <v>QB30</v>
      </c>
      <c r="I34" s="28"/>
      <c r="J34" s="29">
        <f>VLOOKUP(C34,Aggregate!B:J,9,FALSE())</f>
        <v>-106.77984941176462</v>
      </c>
      <c r="K34" s="30"/>
      <c r="L34" s="25">
        <f>IFERROR(VLOOKUP(Table10[[#This Row],[NAME]],Aggregate!$P:$AA,11,FALSE()),"")</f>
        <v>6</v>
      </c>
      <c r="M34" s="26" t="str">
        <f>Aggregate!P33</f>
        <v>J.K. Dobbins</v>
      </c>
      <c r="N34" s="26" t="str">
        <f>VLOOKUP(Table10[[#This Row],[NAME]],Aggregate!P:AA,4,FALSE())</f>
        <v>DEN/10</v>
      </c>
      <c r="O34" s="25">
        <f>IFERROR(VLOOKUP(Table10[[#This Row],[NAME]],Aggregate!$P:$AA,8,FALSE()),"")</f>
        <v>134.24927476470589</v>
      </c>
      <c r="P34" s="25">
        <f>IF(Scoring!$K$6="Auction",IFERROR(VLOOKUP(Table10[[#This Row],[NAME]],Aggregate!$P:$AA,10,FALSE()),""),IFERROR(VLOOKUP(Table10[[#This Row],[NAME]],Aggregate!$P:$AA,9,FALSE()),""))</f>
        <v>20.094796823529421</v>
      </c>
      <c r="Q34" s="27">
        <f>SUMIFS(T35:$T$84,S35:$S$84,"&lt;&gt;x",S35:$S$84,"&lt;&gt;o",T35:$T$84,"&gt;0")/Aggregate!$X$1</f>
        <v>1.7364131559334944E-2</v>
      </c>
      <c r="R34" s="25" t="str">
        <f>VLOOKUP(Table10[[#This Row],[NAME]],ECR!C:E,3,FALSE)</f>
        <v>RB31</v>
      </c>
      <c r="S34" s="28"/>
      <c r="T34" s="29">
        <f>VLOOKUP(M34,Aggregate!P:X,9,FALSE())</f>
        <v>20.094796823529421</v>
      </c>
      <c r="U34" s="31"/>
      <c r="V34" s="25">
        <f>IFERROR(VLOOKUP(Table11[[#This Row],[NAME]],Aggregate!$AD:$AO,11,FALSE()),"")</f>
        <v>5</v>
      </c>
      <c r="W34" s="26" t="str">
        <f>Aggregate!AD33</f>
        <v>Marvin Harrison Jr.</v>
      </c>
      <c r="X34" s="26" t="str">
        <f>VLOOKUP(Table11[[#This Row],[NAME]],Aggregate!AD:AO,4,FALSE())</f>
        <v>ARI/14</v>
      </c>
      <c r="Y34" s="25">
        <f>IFERROR(VLOOKUP(Table11[[#This Row],[NAME]],Aggregate!$AD:$AO,8,FALSE()),"")</f>
        <v>128.56144260784313</v>
      </c>
      <c r="Z34" s="25">
        <f>IF(Scoring!$K$6="Auction",IFERROR(VLOOKUP(Table11[[#This Row],[NAME]],Aggregate!$AD:$AO,10,FALSE()),""),IFERROR(VLOOKUP(Table11[[#This Row],[NAME]],Aggregate!$AD:$AO,9,FALSE()),""))</f>
        <v>13.857544618267553</v>
      </c>
      <c r="AA34" s="27">
        <f>SUMIFS(AD35:$AD$84,AC35:$AC$84,"&lt;&gt;x",AC35:$AC$84,"&lt;&gt;o",AD35:$AD$84,"&gt;0")/Aggregate!$AL$1</f>
        <v>3.7568888405835485E-2</v>
      </c>
      <c r="AB34" s="25" t="str">
        <f>VLOOKUP(Table11[[#This Row],[NAME]],ECR!C:E,3,FALSE)</f>
        <v>WR31</v>
      </c>
      <c r="AC34" s="28"/>
      <c r="AD34" s="29">
        <f>VLOOKUP(W34,Aggregate!AD:AL,9,FALSE())</f>
        <v>13.857544618267553</v>
      </c>
      <c r="AF34" s="19"/>
      <c r="AG34" s="19"/>
    </row>
    <row r="35" spans="2:33" ht="14.25" customHeight="1" x14ac:dyDescent="0.3">
      <c r="B35" s="25">
        <f>IFERROR(VLOOKUP(Table9[[#This Row],[NAME]],Aggregate!$B:$M,11,FALSE()),"")</f>
        <v>15</v>
      </c>
      <c r="C35" s="26" t="str">
        <f>Aggregate!B34</f>
        <v>Tua Tagovailoa</v>
      </c>
      <c r="D35" s="26" t="str">
        <f>VLOOKUP(Table9[[#This Row],[NAME]],Aggregate!B:M,4,FALSE())</f>
        <v>ATL/11</v>
      </c>
      <c r="E35" s="25">
        <f>IFERROR(VLOOKUP(Table9[[#This Row],[NAME]],Aggregate!$B:$M,8,FALSE()),"")</f>
        <v>112.93324705882354</v>
      </c>
      <c r="F35" s="25">
        <f>IF(Scoring!$K$6="Auction",IFERROR(VLOOKUP(Table9[[#This Row],[NAME]],Aggregate!$B:$M,10,FALSE()),""),IFERROR(VLOOKUP(Table9[[#This Row],[NAME]],Aggregate!$B:$M,9,FALSE()),""))</f>
        <v>-149.39803764705874</v>
      </c>
      <c r="G35" s="27">
        <f>SUMIFS(J36:$J$44,I36:$I$44,"&lt;&gt;x",I36:$I$44,"&lt;&gt;o",J36:$J$44,"&gt;0")/Aggregate!$J$1</f>
        <v>0</v>
      </c>
      <c r="H35" s="25" t="str">
        <f>VLOOKUP(Table9[[#This Row],[NAME]],ECR!C:E,3,FALSE)</f>
        <v>QB32</v>
      </c>
      <c r="I35" s="28"/>
      <c r="J35" s="29">
        <f>VLOOKUP(C35,Aggregate!B:J,9,FALSE())</f>
        <v>-149.39803764705874</v>
      </c>
      <c r="K35" s="30"/>
      <c r="L35" s="25">
        <f>IFERROR(VLOOKUP(Table10[[#This Row],[NAME]],Aggregate!$P:$AA,11,FALSE()),"")</f>
        <v>6</v>
      </c>
      <c r="M35" s="26" t="str">
        <f>Aggregate!P32</f>
        <v>Jonathon Brooks</v>
      </c>
      <c r="N35" s="26" t="str">
        <f>VLOOKUP(Table10[[#This Row],[NAME]],Aggregate!P:AA,4,FALSE())</f>
        <v>CAR/5</v>
      </c>
      <c r="O35" s="25">
        <f>IFERROR(VLOOKUP(Table10[[#This Row],[NAME]],Aggregate!$P:$AA,8,FALSE()),"")</f>
        <v>127.54573839215686</v>
      </c>
      <c r="P35" s="25">
        <f>IF(Scoring!$K$6="Auction",IFERROR(VLOOKUP(Table10[[#This Row],[NAME]],Aggregate!$P:$AA,10,FALSE()),""),IFERROR(VLOOKUP(Table10[[#This Row],[NAME]],Aggregate!$P:$AA,9,FALSE()),""))</f>
        <v>13.391260450980397</v>
      </c>
      <c r="Q35" s="27">
        <f>SUMIFS(T36:$T$84,S36:$S$84,"&lt;&gt;x",S36:$S$84,"&lt;&gt;o",T36:$T$84,"&gt;0")/Aggregate!$X$1</f>
        <v>1.1523732946578774E-2</v>
      </c>
      <c r="R35" s="25" t="str">
        <f>VLOOKUP(Table10[[#This Row],[NAME]],ECR!C:E,3,FALSE)</f>
        <v>RB30</v>
      </c>
      <c r="S35" s="28"/>
      <c r="T35" s="29">
        <f>VLOOKUP(M35,Aggregate!P:X,9,FALSE())</f>
        <v>13.391260450980397</v>
      </c>
      <c r="U35" s="31"/>
      <c r="V35" s="25">
        <f>IFERROR(VLOOKUP(Table11[[#This Row],[NAME]],Aggregate!$AD:$AO,11,FALSE()),"")</f>
        <v>5</v>
      </c>
      <c r="W35" s="26" t="str">
        <f>Aggregate!AD34</f>
        <v>Carnell Tate</v>
      </c>
      <c r="X35" s="26" t="str">
        <f>VLOOKUP(Table11[[#This Row],[NAME]],Aggregate!AD:AO,4,FALSE())</f>
        <v>TEN/9</v>
      </c>
      <c r="Y35" s="25">
        <f>IFERROR(VLOOKUP(Table11[[#This Row],[NAME]],Aggregate!$AD:$AO,8,FALSE()),"")</f>
        <v>128.03009487294116</v>
      </c>
      <c r="Z35" s="25">
        <f>IF(Scoring!$K$6="Auction",IFERROR(VLOOKUP(Table11[[#This Row],[NAME]],Aggregate!$AD:$AO,10,FALSE()),""),IFERROR(VLOOKUP(Table11[[#This Row],[NAME]],Aggregate!$AD:$AO,9,FALSE()),""))</f>
        <v>13.326196883365583</v>
      </c>
      <c r="AA35" s="27">
        <f>SUMIFS(AD36:$AD$84,AC36:$AC$84,"&lt;&gt;x",AC36:$AC$84,"&lt;&gt;o",AD36:$AD$84,"&gt;0")/Aggregate!$AL$1</f>
        <v>3.010645815497566E-2</v>
      </c>
      <c r="AB35" s="25" t="str">
        <f>VLOOKUP(Table11[[#This Row],[NAME]],ECR!C:E,3,FALSE)</f>
        <v>WR32</v>
      </c>
      <c r="AC35" s="28"/>
      <c r="AD35" s="29">
        <f>VLOOKUP(W35,Aggregate!AD:AL,9,FALSE())</f>
        <v>13.326196883365583</v>
      </c>
      <c r="AF35" s="19"/>
      <c r="AG35" s="19"/>
    </row>
    <row r="36" spans="2:33" ht="14.25" customHeight="1" x14ac:dyDescent="0.3">
      <c r="B36" s="25">
        <f>IFERROR(VLOOKUP(Table9[[#This Row],[NAME]],Aggregate!$B:$M,11,FALSE()),"")</f>
        <v>15</v>
      </c>
      <c r="C36" s="26" t="str">
        <f>Aggregate!B33</f>
        <v>Michael Penix Jr.</v>
      </c>
      <c r="D36" s="26" t="str">
        <f>VLOOKUP(Table9[[#This Row],[NAME]],Aggregate!B:M,4,FALSE())</f>
        <v>ATL/11</v>
      </c>
      <c r="E36" s="25">
        <f>IFERROR(VLOOKUP(Table9[[#This Row],[NAME]],Aggregate!$B:$M,8,FALSE()),"")</f>
        <v>91.619552941176451</v>
      </c>
      <c r="F36" s="25">
        <f>IF(Scoring!$K$6="Auction",IFERROR(VLOOKUP(Table9[[#This Row],[NAME]],Aggregate!$B:$M,10,FALSE()),""),IFERROR(VLOOKUP(Table9[[#This Row],[NAME]],Aggregate!$B:$M,9,FALSE()),""))</f>
        <v>-170.71173176470586</v>
      </c>
      <c r="G36" s="27">
        <f>SUMIFS(J37:$J$44,I37:$I$44,"&lt;&gt;x",I37:$I$44,"&lt;&gt;o",J37:$J$44,"&gt;0")/Aggregate!$J$1</f>
        <v>0</v>
      </c>
      <c r="H36" s="25" t="str">
        <f>VLOOKUP(Table9[[#This Row],[NAME]],ECR!C:E,3,FALSE)</f>
        <v>QB31</v>
      </c>
      <c r="I36" s="28"/>
      <c r="J36" s="29">
        <f>VLOOKUP(C36,Aggregate!B:J,9,FALSE())</f>
        <v>-170.71173176470586</v>
      </c>
      <c r="K36" s="30"/>
      <c r="L36" s="25">
        <f>IFERROR(VLOOKUP(Table10[[#This Row],[NAME]],Aggregate!$P:$AA,11,FALSE()),"")</f>
        <v>6</v>
      </c>
      <c r="M36" s="26" t="str">
        <f>Aggregate!P36</f>
        <v>Chuba Hubbard</v>
      </c>
      <c r="N36" s="26" t="str">
        <f>VLOOKUP(Table10[[#This Row],[NAME]],Aggregate!P:AA,4,FALSE())</f>
        <v>CAR/5</v>
      </c>
      <c r="O36" s="25">
        <f>IFERROR(VLOOKUP(Table10[[#This Row],[NAME]],Aggregate!$P:$AA,8,FALSE()),"")</f>
        <v>125.45271039215686</v>
      </c>
      <c r="P36" s="25">
        <f>IF(Scoring!$K$6="Auction",IFERROR(VLOOKUP(Table10[[#This Row],[NAME]],Aggregate!$P:$AA,10,FALSE()),""),IFERROR(VLOOKUP(Table10[[#This Row],[NAME]],Aggregate!$P:$AA,9,FALSE()),""))</f>
        <v>11.298232450980393</v>
      </c>
      <c r="Q36" s="27">
        <f>SUMIFS(T37:$T$84,S37:$S$84,"&lt;&gt;x",S37:$S$84,"&lt;&gt;o",T37:$T$84,"&gt;0")/Aggregate!$X$1</f>
        <v>6.596177293781977E-3</v>
      </c>
      <c r="R36" s="25" t="str">
        <f>VLOOKUP(Table10[[#This Row],[NAME]],ECR!C:E,3,FALSE)</f>
        <v>RB34</v>
      </c>
      <c r="S36" s="28"/>
      <c r="T36" s="29">
        <f>VLOOKUP(M36,Aggregate!P:X,9,FALSE())</f>
        <v>11.298232450980393</v>
      </c>
      <c r="U36" s="31"/>
      <c r="V36" s="25">
        <f>IFERROR(VLOOKUP(Table11[[#This Row],[NAME]],Aggregate!$AD:$AO,11,FALSE()),"")</f>
        <v>5</v>
      </c>
      <c r="W36" s="26" t="str">
        <f>Aggregate!AD35</f>
        <v>DK Metcalf</v>
      </c>
      <c r="X36" s="26" t="str">
        <f>VLOOKUP(Table11[[#This Row],[NAME]],Aggregate!AD:AO,4,FALSE())</f>
        <v>PIT/9</v>
      </c>
      <c r="Y36" s="25">
        <f>IFERROR(VLOOKUP(Table11[[#This Row],[NAME]],Aggregate!$AD:$AO,8,FALSE()),"")</f>
        <v>127.89393355411762</v>
      </c>
      <c r="Z36" s="25">
        <f>IF(Scoring!$K$6="Auction",IFERROR(VLOOKUP(Table11[[#This Row],[NAME]],Aggregate!$AD:$AO,10,FALSE()),""),IFERROR(VLOOKUP(Table11[[#This Row],[NAME]],Aggregate!$AD:$AO,9,FALSE()),""))</f>
        <v>13.190035564542043</v>
      </c>
      <c r="AA36" s="27">
        <f>SUMIFS(AD37:$AD$84,AC37:$AC$84,"&lt;&gt;x",AC37:$AC$84,"&lt;&gt;o",AD37:$AD$84,"&gt;0")/Aggregate!$AL$1</f>
        <v>2.272027579040169E-2</v>
      </c>
      <c r="AB36" s="25" t="str">
        <f>VLOOKUP(Table11[[#This Row],[NAME]],ECR!C:E,3,FALSE)</f>
        <v>WR33</v>
      </c>
      <c r="AC36" s="28"/>
      <c r="AD36" s="29">
        <f>VLOOKUP(W36,Aggregate!AD:AL,9,FALSE())</f>
        <v>13.190035564542043</v>
      </c>
      <c r="AF36" s="19"/>
      <c r="AG36" s="19"/>
    </row>
    <row r="37" spans="2:33" ht="14.25" customHeight="1" x14ac:dyDescent="0.3">
      <c r="B37" s="25">
        <f>IFERROR(VLOOKUP(Table9[[#This Row],[NAME]],Aggregate!$B:$M,11,FALSE()),"")</f>
        <v>15</v>
      </c>
      <c r="C37" s="26" t="str">
        <f>Aggregate!B37</f>
        <v>Deshaun Watson</v>
      </c>
      <c r="D37" s="26" t="str">
        <f>VLOOKUP(Table9[[#This Row],[NAME]],Aggregate!B:M,4,FALSE())</f>
        <v>CLE/11</v>
      </c>
      <c r="E37" s="25">
        <f>IFERROR(VLOOKUP(Table9[[#This Row],[NAME]],Aggregate!$B:$M,8,FALSE()),"")</f>
        <v>86.203188235294121</v>
      </c>
      <c r="F37" s="25">
        <f>IF(Scoring!$K$6="Auction",IFERROR(VLOOKUP(Table9[[#This Row],[NAME]],Aggregate!$B:$M,10,FALSE()),""),IFERROR(VLOOKUP(Table9[[#This Row],[NAME]],Aggregate!$B:$M,9,FALSE()),""))</f>
        <v>-176.12809647058816</v>
      </c>
      <c r="G37" s="27">
        <f>SUMIFS(J38:$J$44,I38:$I$44,"&lt;&gt;x",I38:$I$44,"&lt;&gt;o",J38:$J$44,"&gt;0")/Aggregate!$J$1</f>
        <v>0</v>
      </c>
      <c r="H37" s="25" t="str">
        <f>VLOOKUP(Table9[[#This Row],[NAME]],ECR!C:E,3,FALSE)</f>
        <v>QB35</v>
      </c>
      <c r="I37" s="28"/>
      <c r="J37" s="29">
        <f>VLOOKUP(C37,Aggregate!B:J,9,FALSE())</f>
        <v>-176.12809647058816</v>
      </c>
      <c r="K37" s="30"/>
      <c r="L37" s="25">
        <f>IFERROR(VLOOKUP(Table10[[#This Row],[NAME]],Aggregate!$P:$AA,11,FALSE()),"")</f>
        <v>6</v>
      </c>
      <c r="M37" s="26" t="str">
        <f>Aggregate!P35</f>
        <v>MarShawn Lloyd</v>
      </c>
      <c r="N37" s="26" t="str">
        <f>VLOOKUP(Table10[[#This Row],[NAME]],Aggregate!P:AA,4,FALSE())</f>
        <v>GB/11</v>
      </c>
      <c r="O37" s="25">
        <f>IFERROR(VLOOKUP(Table10[[#This Row],[NAME]],Aggregate!$P:$AA,8,FALSE()),"")</f>
        <v>123.43281084313723</v>
      </c>
      <c r="P37" s="25">
        <f>IF(Scoring!$K$6="Auction",IFERROR(VLOOKUP(Table10[[#This Row],[NAME]],Aggregate!$P:$AA,10,FALSE()),""),IFERROR(VLOOKUP(Table10[[#This Row],[NAME]],Aggregate!$P:$AA,9,FALSE()),""))</f>
        <v>9.2783329019607663</v>
      </c>
      <c r="Q37" s="27">
        <f>SUMIFS(T38:$T$84,S38:$S$84,"&lt;&gt;x",S38:$S$84,"&lt;&gt;o",T38:$T$84,"&gt;0")/Aggregate!$X$1</f>
        <v>2.5495707172267196E-3</v>
      </c>
      <c r="R37" s="25" t="str">
        <f>VLOOKUP(Table10[[#This Row],[NAME]],ECR!C:E,3,FALSE)</f>
        <v>RB33</v>
      </c>
      <c r="S37" s="28"/>
      <c r="T37" s="29">
        <f>VLOOKUP(M37,Aggregate!P:X,9,FALSE())</f>
        <v>9.2783329019607663</v>
      </c>
      <c r="U37" s="31"/>
      <c r="V37" s="25">
        <f>IFERROR(VLOOKUP(Table11[[#This Row],[NAME]],Aggregate!$AD:$AO,11,FALSE()),"")</f>
        <v>5</v>
      </c>
      <c r="W37" s="26" t="str">
        <f>Aggregate!AD38</f>
        <v>Courtland Sutton</v>
      </c>
      <c r="X37" s="26" t="str">
        <f>VLOOKUP(Table11[[#This Row],[NAME]],Aggregate!AD:AO,4,FALSE())</f>
        <v>DEN/10</v>
      </c>
      <c r="Y37" s="25">
        <f>IFERROR(VLOOKUP(Table11[[#This Row],[NAME]],Aggregate!$AD:$AO,8,FALSE()),"")</f>
        <v>125.67787874509803</v>
      </c>
      <c r="Z37" s="25">
        <f>IF(Scoring!$K$6="Auction",IFERROR(VLOOKUP(Table11[[#This Row],[NAME]],Aggregate!$AD:$AO,10,FALSE()),""),IFERROR(VLOOKUP(Table11[[#This Row],[NAME]],Aggregate!$AD:$AO,9,FALSE()),""))</f>
        <v>10.973980755522447</v>
      </c>
      <c r="AA37" s="27">
        <f>SUMIFS(AD38:$AD$84,AC38:$AC$84,"&lt;&gt;x",AC38:$AC$84,"&lt;&gt;o",AD38:$AD$84,"&gt;0")/Aggregate!$AL$1</f>
        <v>1.6575044207894709E-2</v>
      </c>
      <c r="AB37" s="25" t="str">
        <f>VLOOKUP(Table11[[#This Row],[NAME]],ECR!C:E,3,FALSE)</f>
        <v>WR36</v>
      </c>
      <c r="AC37" s="28"/>
      <c r="AD37" s="29">
        <f>VLOOKUP(W37,Aggregate!AD:AL,9,FALSE())</f>
        <v>10.973980755522447</v>
      </c>
      <c r="AF37" s="19"/>
      <c r="AG37" s="19"/>
    </row>
    <row r="38" spans="2:33" ht="14.25" customHeight="1" x14ac:dyDescent="0.3">
      <c r="B38" s="25">
        <f>IFERROR(VLOOKUP(Table9[[#This Row],[NAME]],Aggregate!$B:$M,11,FALSE()),"")</f>
        <v>15</v>
      </c>
      <c r="C38" s="26" t="str">
        <f>Aggregate!B36</f>
        <v>Shedeur Sanders</v>
      </c>
      <c r="D38" s="26" t="str">
        <f>VLOOKUP(Table9[[#This Row],[NAME]],Aggregate!B:M,4,FALSE())</f>
        <v>CLE/11</v>
      </c>
      <c r="E38" s="25">
        <f>IFERROR(VLOOKUP(Table9[[#This Row],[NAME]],Aggregate!$B:$M,8,FALSE()),"")</f>
        <v>81.585599999999999</v>
      </c>
      <c r="F38" s="25">
        <f>IF(Scoring!$K$6="Auction",IFERROR(VLOOKUP(Table9[[#This Row],[NAME]],Aggregate!$B:$M,10,FALSE()),""),IFERROR(VLOOKUP(Table9[[#This Row],[NAME]],Aggregate!$B:$M,9,FALSE()),""))</f>
        <v>-180.7456847058823</v>
      </c>
      <c r="G38" s="27">
        <f>SUMIFS(J39:$J$44,I39:$I$44,"&lt;&gt;x",I39:$I$44,"&lt;&gt;o",J39:$J$44,"&gt;0")/Aggregate!$J$1</f>
        <v>0</v>
      </c>
      <c r="H38" s="25" t="str">
        <f>VLOOKUP(Table9[[#This Row],[NAME]],ECR!C:E,3,FALSE)</f>
        <v>QB34</v>
      </c>
      <c r="I38" s="28"/>
      <c r="J38" s="29">
        <f>VLOOKUP(C38,Aggregate!B:J,9,FALSE())</f>
        <v>-180.7456847058823</v>
      </c>
      <c r="K38" s="30"/>
      <c r="L38" s="25">
        <f>IFERROR(VLOOKUP(Table10[[#This Row],[NAME]],Aggregate!$P:$AA,11,FALSE()),"")</f>
        <v>7</v>
      </c>
      <c r="M38" s="26" t="str">
        <f>Aggregate!P40</f>
        <v>Kenny Gainwell</v>
      </c>
      <c r="N38" s="26" t="str">
        <f>VLOOKUP(Table10[[#This Row],[NAME]],Aggregate!P:AA,4,FALSE())</f>
        <v>TB/10</v>
      </c>
      <c r="O38" s="25">
        <f>IFERROR(VLOOKUP(Table10[[#This Row],[NAME]],Aggregate!$P:$AA,8,FALSE()),"")</f>
        <v>116.60266439215685</v>
      </c>
      <c r="P38" s="25">
        <f>IF(Scoring!$K$6="Auction",IFERROR(VLOOKUP(Table10[[#This Row],[NAME]],Aggregate!$P:$AA,10,FALSE()),""),IFERROR(VLOOKUP(Table10[[#This Row],[NAME]],Aggregate!$P:$AA,9,FALSE()),""))</f>
        <v>2.448186450980387</v>
      </c>
      <c r="Q38" s="27">
        <f>SUMIFS(T39:$T$84,S39:$S$84,"&lt;&gt;x",S39:$S$84,"&lt;&gt;o",T39:$T$84,"&gt;0")/Aggregate!$X$1</f>
        <v>1.4818306934690979E-3</v>
      </c>
      <c r="R38" s="25" t="str">
        <f>VLOOKUP(Table10[[#This Row],[NAME]],ECR!C:E,3,FALSE)</f>
        <v>RB38</v>
      </c>
      <c r="S38" s="28"/>
      <c r="T38" s="29">
        <f>VLOOKUP(M38,Aggregate!P:X,9,FALSE())</f>
        <v>2.448186450980387</v>
      </c>
      <c r="U38" s="31"/>
      <c r="V38" s="25">
        <f>IFERROR(VLOOKUP(Table11[[#This Row],[NAME]],Aggregate!$AD:$AO,11,FALSE()),"")</f>
        <v>5</v>
      </c>
      <c r="W38" s="26" t="str">
        <f>Aggregate!AD32</f>
        <v>Parker Washington</v>
      </c>
      <c r="X38" s="26" t="str">
        <f>VLOOKUP(Table11[[#This Row],[NAME]],Aggregate!AD:AO,4,FALSE())</f>
        <v>JAC/7</v>
      </c>
      <c r="Y38" s="25">
        <f>IFERROR(VLOOKUP(Table11[[#This Row],[NAME]],Aggregate!$AD:$AO,8,FALSE()),"")</f>
        <v>124.73651476470589</v>
      </c>
      <c r="Z38" s="25">
        <f>IF(Scoring!$K$6="Auction",IFERROR(VLOOKUP(Table11[[#This Row],[NAME]],Aggregate!$AD:$AO,10,FALSE()),""),IFERROR(VLOOKUP(Table11[[#This Row],[NAME]],Aggregate!$AD:$AO,9,FALSE()),""))</f>
        <v>10.032616775130307</v>
      </c>
      <c r="AA38" s="27">
        <f>SUMIFS(AD39:$AD$84,AC39:$AC$84,"&lt;&gt;x",AC39:$AC$84,"&lt;&gt;o",AD39:$AD$84,"&gt;0")/Aggregate!$AL$1</f>
        <v>1.0956959500511334E-2</v>
      </c>
      <c r="AB38" s="25" t="str">
        <f>VLOOKUP(Table11[[#This Row],[NAME]],ECR!C:E,3,FALSE)</f>
        <v>WR30</v>
      </c>
      <c r="AC38" s="28"/>
      <c r="AD38" s="29">
        <f>VLOOKUP(W38,Aggregate!AD:AL,9,FALSE())</f>
        <v>10.032616775130307</v>
      </c>
      <c r="AF38" s="19"/>
      <c r="AG38" s="19"/>
    </row>
    <row r="39" spans="2:33" ht="14.25" customHeight="1" x14ac:dyDescent="0.3">
      <c r="B39" s="25">
        <f>IFERROR(VLOOKUP(Table9[[#This Row],[NAME]],Aggregate!$B:$M,11,FALSE()),"")</f>
        <v>15</v>
      </c>
      <c r="C39" s="26" t="str">
        <f>Aggregate!B35</f>
        <v>Kirk Cousins</v>
      </c>
      <c r="D39" s="26" t="str">
        <f>VLOOKUP(Table9[[#This Row],[NAME]],Aggregate!B:M,4,FALSE())</f>
        <v>LV/13</v>
      </c>
      <c r="E39" s="25">
        <f>IFERROR(VLOOKUP(Table9[[#This Row],[NAME]],Aggregate!$B:$M,8,FALSE()),"")</f>
        <v>54.02943529411764</v>
      </c>
      <c r="F39" s="25">
        <f>IF(Scoring!$K$6="Auction",IFERROR(VLOOKUP(Table9[[#This Row],[NAME]],Aggregate!$B:$M,10,FALSE()),""),IFERROR(VLOOKUP(Table9[[#This Row],[NAME]],Aggregate!$B:$M,9,FALSE()),""))</f>
        <v>-208.30184941176466</v>
      </c>
      <c r="G39" s="27">
        <f>SUMIFS(J40:$J$44,I40:$I$44,"&lt;&gt;x",I40:$I$44,"&lt;&gt;o",J40:$J$44,"&gt;0")/Aggregate!$J$1</f>
        <v>0</v>
      </c>
      <c r="H39" s="25" t="str">
        <f>VLOOKUP(Table9[[#This Row],[NAME]],ECR!C:E,3,FALSE)</f>
        <v>QB33</v>
      </c>
      <c r="I39" s="28"/>
      <c r="J39" s="29">
        <f>VLOOKUP(C39,Aggregate!B:J,9,FALSE())</f>
        <v>-208.30184941176466</v>
      </c>
      <c r="K39" s="30"/>
      <c r="L39" s="25">
        <f>IFERROR(VLOOKUP(Table10[[#This Row],[NAME]],Aggregate!$P:$AA,11,FALSE()),"")</f>
        <v>7</v>
      </c>
      <c r="M39" s="26" t="str">
        <f>Aggregate!P37</f>
        <v>RJ Harvey</v>
      </c>
      <c r="N39" s="26" t="str">
        <f>VLOOKUP(Table10[[#This Row],[NAME]],Aggregate!P:AA,4,FALSE())</f>
        <v>DEN/10</v>
      </c>
      <c r="O39" s="25">
        <f>IFERROR(VLOOKUP(Table10[[#This Row],[NAME]],Aggregate!$P:$AA,8,FALSE()),"")</f>
        <v>115.74526258823529</v>
      </c>
      <c r="P39" s="25">
        <f>IF(Scoring!$K$6="Auction",IFERROR(VLOOKUP(Table10[[#This Row],[NAME]],Aggregate!$P:$AA,10,FALSE()),""),IFERROR(VLOOKUP(Table10[[#This Row],[NAME]],Aggregate!$P:$AA,9,FALSE()),""))</f>
        <v>1.5907846470588254</v>
      </c>
      <c r="Q39" s="27">
        <f>SUMIFS(T40:$T$84,S40:$S$84,"&lt;&gt;x",S40:$S$84,"&lt;&gt;o",T40:$T$84,"&gt;0")/Aggregate!$X$1</f>
        <v>7.880336846000798E-4</v>
      </c>
      <c r="R39" s="25" t="str">
        <f>VLOOKUP(Table10[[#This Row],[NAME]],ECR!C:E,3,FALSE)</f>
        <v>RB35</v>
      </c>
      <c r="S39" s="28"/>
      <c r="T39" s="29">
        <f>VLOOKUP(M39,Aggregate!P:X,9,FALSE())</f>
        <v>1.5907846470588254</v>
      </c>
      <c r="U39" s="31"/>
      <c r="V39" s="25">
        <f>IFERROR(VLOOKUP(Table11[[#This Row],[NAME]],Aggregate!$AD:$AO,11,FALSE()),"")</f>
        <v>5</v>
      </c>
      <c r="W39" s="26" t="str">
        <f>Aggregate!AD42</f>
        <v>Alec Pierce</v>
      </c>
      <c r="X39" s="26" t="str">
        <f>VLOOKUP(Table11[[#This Row],[NAME]],Aggregate!AD:AO,4,FALSE())</f>
        <v>IND/13</v>
      </c>
      <c r="Y39" s="25">
        <f>IFERROR(VLOOKUP(Table11[[#This Row],[NAME]],Aggregate!$AD:$AO,8,FALSE()),"")</f>
        <v>123.23267222635889</v>
      </c>
      <c r="Z39" s="25">
        <f>IF(Scoring!$K$6="Auction",IFERROR(VLOOKUP(Table11[[#This Row],[NAME]],Aggregate!$AD:$AO,10,FALSE()),""),IFERROR(VLOOKUP(Table11[[#This Row],[NAME]],Aggregate!$AD:$AO,9,FALSE()),""))</f>
        <v>8.5287742367833062</v>
      </c>
      <c r="AA39" s="27">
        <f>SUMIFS(AD40:$AD$84,AC40:$AC$84,"&lt;&gt;x",AC40:$AC$84,"&lt;&gt;o",AD40:$AD$84,"&gt;0")/Aggregate!$AL$1</f>
        <v>6.1809995305088673E-3</v>
      </c>
      <c r="AB39" s="25" t="str">
        <f>VLOOKUP(Table11[[#This Row],[NAME]],ECR!C:E,3,FALSE)</f>
        <v>WR40</v>
      </c>
      <c r="AC39" s="28"/>
      <c r="AD39" s="29">
        <f>VLOOKUP(W39,Aggregate!AD:AL,9,FALSE())</f>
        <v>8.5287742367833062</v>
      </c>
      <c r="AF39" s="19"/>
      <c r="AG39" s="19"/>
    </row>
    <row r="40" spans="2:33" ht="15" customHeight="1" x14ac:dyDescent="0.3">
      <c r="B40" s="25">
        <f>IFERROR(VLOOKUP(Table9[[#This Row],[NAME]],Aggregate!$B:$M,11,FALSE()),"")</f>
        <v>15</v>
      </c>
      <c r="C40" s="26" t="str">
        <f>Aggregate!B38</f>
        <v>Carson Beck</v>
      </c>
      <c r="D40" s="26" t="str">
        <f>VLOOKUP(Table9[[#This Row],[NAME]],Aggregate!B:M,4,FALSE())</f>
        <v>ARI/14</v>
      </c>
      <c r="E40" s="25">
        <f>IFERROR(VLOOKUP(Table9[[#This Row],[NAME]],Aggregate!$B:$M,8,FALSE()),"")</f>
        <v>24.173270588235297</v>
      </c>
      <c r="F40" s="25">
        <f>IF(Scoring!$K$6="Auction",IFERROR(VLOOKUP(Table9[[#This Row],[NAME]],Aggregate!$B:$M,10,FALSE()),""),IFERROR(VLOOKUP(Table9[[#This Row],[NAME]],Aggregate!$B:$M,9,FALSE()),""))</f>
        <v>-238.15801411764699</v>
      </c>
      <c r="G40" s="27">
        <f>SUMIFS(J41:$J$44,I41:$I$44,"&lt;&gt;x",I41:$I$44,"&lt;&gt;o",J41:$J$44,"&gt;0")/Aggregate!$J$1</f>
        <v>0</v>
      </c>
      <c r="H40" s="25" t="str">
        <f>VLOOKUP(Table9[[#This Row],[NAME]],ECR!C:E,3,FALSE)</f>
        <v>QB36</v>
      </c>
      <c r="I40" s="28"/>
      <c r="J40" s="29">
        <f>VLOOKUP(C40,Aggregate!B:J,9,FALSE())</f>
        <v>-238.15801411764699</v>
      </c>
      <c r="K40" s="30"/>
      <c r="L40" s="25">
        <f>IFERROR(VLOOKUP(Table10[[#This Row],[NAME]],Aggregate!$P:$AA,11,FALSE()),"")</f>
        <v>7</v>
      </c>
      <c r="M40" s="26" t="str">
        <f>Aggregate!P41</f>
        <v>Kyle Monangai</v>
      </c>
      <c r="N40" s="26" t="str">
        <f>VLOOKUP(Table10[[#This Row],[NAME]],Aggregate!P:AA,4,FALSE())</f>
        <v>CHI/10</v>
      </c>
      <c r="O40" s="25">
        <f>IFERROR(VLOOKUP(Table10[[#This Row],[NAME]],Aggregate!$P:$AA,8,FALSE()),"")</f>
        <v>115.19275819607843</v>
      </c>
      <c r="P40" s="25">
        <f>IF(Scoring!$K$6="Auction",IFERROR(VLOOKUP(Table10[[#This Row],[NAME]],Aggregate!$P:$AA,10,FALSE()),""),IFERROR(VLOOKUP(Table10[[#This Row],[NAME]],Aggregate!$P:$AA,9,FALSE()),""))</f>
        <v>1.038280254901963</v>
      </c>
      <c r="Q40" s="27">
        <f>SUMIFS(T41:$T$84,S41:$S$84,"&lt;&gt;x",S41:$S$84,"&lt;&gt;o",T41:$T$84,"&gt;0")/Aggregate!$X$1</f>
        <v>3.3520322979867272E-4</v>
      </c>
      <c r="R40" s="25" t="str">
        <f>VLOOKUP(Table10[[#This Row],[NAME]],ECR!C:E,3,FALSE)</f>
        <v>RB39</v>
      </c>
      <c r="S40" s="28"/>
      <c r="T40" s="29">
        <f>VLOOKUP(M40,Aggregate!P:X,9,FALSE())</f>
        <v>1.038280254901963</v>
      </c>
      <c r="U40" s="31"/>
      <c r="V40" s="25">
        <f>IFERROR(VLOOKUP(Table11[[#This Row],[NAME]],Aggregate!$AD:$AO,11,FALSE()),"")</f>
        <v>5</v>
      </c>
      <c r="W40" s="26" t="str">
        <f>Aggregate!AD36</f>
        <v>Brian Thomas Jr.</v>
      </c>
      <c r="X40" s="26" t="str">
        <f>VLOOKUP(Table11[[#This Row],[NAME]],Aggregate!AD:AO,4,FALSE())</f>
        <v>JAC/7</v>
      </c>
      <c r="Y40" s="25">
        <f>IFERROR(VLOOKUP(Table11[[#This Row],[NAME]],Aggregate!$AD:$AO,8,FALSE()),"")</f>
        <v>122.05540386001489</v>
      </c>
      <c r="Z40" s="25">
        <f>IF(Scoring!$K$6="Auction",IFERROR(VLOOKUP(Table11[[#This Row],[NAME]],Aggregate!$AD:$AO,10,FALSE()),""),IFERROR(VLOOKUP(Table11[[#This Row],[NAME]],Aggregate!$AD:$AO,9,FALSE()),""))</f>
        <v>7.3515058704393113</v>
      </c>
      <c r="AA40" s="27">
        <f>SUMIFS(AD41:$AD$84,AC41:$AC$84,"&lt;&gt;x",AC41:$AC$84,"&lt;&gt;o",AD41:$AD$84,"&gt;0")/Aggregate!$AL$1</f>
        <v>2.0642886431424205E-3</v>
      </c>
      <c r="AB40" s="25" t="str">
        <f>VLOOKUP(Table11[[#This Row],[NAME]],ECR!C:E,3,FALSE)</f>
        <v>WR34</v>
      </c>
      <c r="AC40" s="28"/>
      <c r="AD40" s="29">
        <f>VLOOKUP(W40,Aggregate!AD:AL,9,FALSE())</f>
        <v>7.3515058704393113</v>
      </c>
      <c r="AF40" s="19"/>
      <c r="AG40" s="19"/>
    </row>
    <row r="41" spans="2:33" ht="15" customHeight="1" x14ac:dyDescent="0.3">
      <c r="B41" s="25">
        <f>IFERROR(VLOOKUP(Table9[[#This Row],[NAME]],Aggregate!$B:$M,11,FALSE()),"")</f>
        <v>15</v>
      </c>
      <c r="C41" s="26" t="str">
        <f>Aggregate!B42</f>
        <v>Ty Simpson</v>
      </c>
      <c r="D41" s="26" t="str">
        <f>VLOOKUP(Table9[[#This Row],[NAME]],Aggregate!B:M,4,FALSE())</f>
        <v>LAR/11</v>
      </c>
      <c r="E41" s="25">
        <f>IFERROR(VLOOKUP(Table9[[#This Row],[NAME]],Aggregate!$B:$M,8,FALSE()),"")</f>
        <v>14.698894117647063</v>
      </c>
      <c r="F41" s="25">
        <f>IF(Scoring!$K$6="Auction",IFERROR(VLOOKUP(Table9[[#This Row],[NAME]],Aggregate!$B:$M,10,FALSE()),""),IFERROR(VLOOKUP(Table9[[#This Row],[NAME]],Aggregate!$B:$M,9,FALSE()),""))</f>
        <v>-247.63239058823524</v>
      </c>
      <c r="G41" s="27">
        <f>SUMIFS(J42:$J$44,I42:$I$44,"&lt;&gt;x",I42:$I$44,"&lt;&gt;o",J42:$J$44,"&gt;0")/Aggregate!$J$1</f>
        <v>0</v>
      </c>
      <c r="H41" s="25" t="str">
        <f>VLOOKUP(Table9[[#This Row],[NAME]],ECR!C:E,3,FALSE)</f>
        <v>QB40</v>
      </c>
      <c r="I41" s="28"/>
      <c r="J41" s="29">
        <f>VLOOKUP(C41,Aggregate!B:J,9,FALSE())</f>
        <v>-247.63239058823524</v>
      </c>
      <c r="K41" s="30"/>
      <c r="L41" s="25">
        <f>IFERROR(VLOOKUP(Table10[[#This Row],[NAME]],Aggregate!$P:$AA,11,FALSE()),"")</f>
        <v>7</v>
      </c>
      <c r="M41" s="26" t="str">
        <f>Aggregate!P34</f>
        <v>Blake Corum</v>
      </c>
      <c r="N41" s="26" t="str">
        <f>VLOOKUP(Table10[[#This Row],[NAME]],Aggregate!P:AA,4,FALSE())</f>
        <v>LAR/11</v>
      </c>
      <c r="O41" s="25">
        <f>IFERROR(VLOOKUP(Table10[[#This Row],[NAME]],Aggregate!$P:$AA,8,FALSE()),"")</f>
        <v>114.9230545490196</v>
      </c>
      <c r="P41" s="25">
        <f>IF(Scoring!$K$6="Auction",IFERROR(VLOOKUP(Table10[[#This Row],[NAME]],Aggregate!$P:$AA,10,FALSE()),""),IFERROR(VLOOKUP(Table10[[#This Row],[NAME]],Aggregate!$P:$AA,9,FALSE()),""))</f>
        <v>0.76857660784312998</v>
      </c>
      <c r="Q41" s="27">
        <f>SUMIFS(T42:$T$84,S42:$S$84,"&lt;&gt;x",S42:$S$84,"&lt;&gt;o",T42:$T$84,"&gt;0")/Aggregate!$X$1</f>
        <v>0</v>
      </c>
      <c r="R41" s="25" t="str">
        <f>VLOOKUP(Table10[[#This Row],[NAME]],ECR!C:E,3,FALSE)</f>
        <v>RB32</v>
      </c>
      <c r="S41" s="28"/>
      <c r="T41" s="29">
        <f>VLOOKUP(M41,Aggregate!P:X,9,FALSE())</f>
        <v>0.76857660784312998</v>
      </c>
      <c r="U41" s="31"/>
      <c r="V41" s="25">
        <f>IFERROR(VLOOKUP(Table11[[#This Row],[NAME]],Aggregate!$AD:$AO,11,FALSE()),"")</f>
        <v>5</v>
      </c>
      <c r="W41" s="26" t="str">
        <f>Aggregate!AD51</f>
        <v>De'Zhaun Stribling</v>
      </c>
      <c r="X41" s="26" t="str">
        <f>VLOOKUP(Table11[[#This Row],[NAME]],Aggregate!AD:AO,4,FALSE())</f>
        <v>SF/8</v>
      </c>
      <c r="Y41" s="25">
        <f>IFERROR(VLOOKUP(Table11[[#This Row],[NAME]],Aggregate!$AD:$AO,8,FALSE()),"")</f>
        <v>116.81846542566397</v>
      </c>
      <c r="Z41" s="25">
        <f>IF(Scoring!$K$6="Auction",IFERROR(VLOOKUP(Table11[[#This Row],[NAME]],Aggregate!$AD:$AO,10,FALSE()),""),IFERROR(VLOOKUP(Table11[[#This Row],[NAME]],Aggregate!$AD:$AO,9,FALSE()),""))</f>
        <v>2.114567436088393</v>
      </c>
      <c r="AA41" s="27">
        <f>SUMIFS(AD42:$AD$84,AC42:$AC$84,"&lt;&gt;x",AC42:$AC$84,"&lt;&gt;o",AD42:$AD$84,"&gt;0")/Aggregate!$AL$1</f>
        <v>8.8016896213678677E-4</v>
      </c>
      <c r="AB41" s="25" t="str">
        <f>VLOOKUP(Table11[[#This Row],[NAME]],ECR!C:E,3,FALSE)</f>
        <v>WR49</v>
      </c>
      <c r="AC41" s="28"/>
      <c r="AD41" s="29">
        <f>VLOOKUP(W41,Aggregate!AD:AL,9,FALSE())</f>
        <v>2.114567436088393</v>
      </c>
      <c r="AF41" s="19"/>
      <c r="AG41" s="19"/>
    </row>
    <row r="42" spans="2:33" ht="14.25" customHeight="1" x14ac:dyDescent="0.3">
      <c r="B42" s="25">
        <f>IFERROR(VLOOKUP(Table9[[#This Row],[NAME]],Aggregate!$B:$M,11,FALSE()),"")</f>
        <v>15</v>
      </c>
      <c r="C42" s="26" t="str">
        <f>Aggregate!B40</f>
        <v>J.J. McCarthy</v>
      </c>
      <c r="D42" s="26" t="str">
        <f>VLOOKUP(Table9[[#This Row],[NAME]],Aggregate!B:M,4,FALSE())</f>
        <v>MIN/6</v>
      </c>
      <c r="E42" s="25">
        <f>IFERROR(VLOOKUP(Table9[[#This Row],[NAME]],Aggregate!$B:$M,8,FALSE()),"")</f>
        <v>11.659917647058824</v>
      </c>
      <c r="F42" s="25">
        <f>IF(Scoring!$K$6="Auction",IFERROR(VLOOKUP(Table9[[#This Row],[NAME]],Aggregate!$B:$M,10,FALSE()),""),IFERROR(VLOOKUP(Table9[[#This Row],[NAME]],Aggregate!$B:$M,9,FALSE()),""))</f>
        <v>-250.67136705882348</v>
      </c>
      <c r="G42" s="27">
        <f>SUMIFS(J43:$J$44,I43:$I$44,"&lt;&gt;x",I43:$I$44,"&lt;&gt;o",J43:$J$44,"&gt;0")/Aggregate!$J$1</f>
        <v>0</v>
      </c>
      <c r="H42" s="25" t="str">
        <f>VLOOKUP(Table9[[#This Row],[NAME]],ECR!C:E,3,FALSE)</f>
        <v>QB38</v>
      </c>
      <c r="I42" s="28"/>
      <c r="J42" s="29">
        <f>VLOOKUP(C42,Aggregate!B:J,9,FALSE())</f>
        <v>-250.67136705882348</v>
      </c>
      <c r="K42" s="30"/>
      <c r="L42" s="25">
        <f>IFERROR(VLOOKUP(Table10[[#This Row],[NAME]],Aggregate!$P:$AA,11,FALSE()),"")</f>
        <v>7</v>
      </c>
      <c r="M42" s="26" t="str">
        <f>Aggregate!P39</f>
        <v>Jacory Croskey-Merritt</v>
      </c>
      <c r="N42" s="26" t="str">
        <f>VLOOKUP(Table10[[#This Row],[NAME]],Aggregate!P:AA,4,FALSE())</f>
        <v>WAS/7</v>
      </c>
      <c r="O42" s="25">
        <f>IFERROR(VLOOKUP(Table10[[#This Row],[NAME]],Aggregate!$P:$AA,8,FALSE()),"")</f>
        <v>114.15447794117647</v>
      </c>
      <c r="P42" s="25">
        <f>IF(Scoring!$K$6="Auction",IFERROR(VLOOKUP(Table10[[#This Row],[NAME]],Aggregate!$P:$AA,10,FALSE()),""),IFERROR(VLOOKUP(Table10[[#This Row],[NAME]],Aggregate!$P:$AA,9,FALSE()),""))</f>
        <v>0</v>
      </c>
      <c r="Q42" s="27">
        <f>SUMIFS(T43:$T$84,S43:$S$84,"&lt;&gt;x",S43:$S$84,"&lt;&gt;o",T43:$T$84,"&gt;0")/Aggregate!$X$1</f>
        <v>0</v>
      </c>
      <c r="R42" s="25" t="str">
        <f>VLOOKUP(Table10[[#This Row],[NAME]],ECR!C:E,3,FALSE)</f>
        <v>RB37</v>
      </c>
      <c r="S42" s="28"/>
      <c r="T42" s="29">
        <f>VLOOKUP(M42,Aggregate!P:X,9,FALSE())</f>
        <v>0</v>
      </c>
      <c r="U42" s="31"/>
      <c r="V42" s="25">
        <f>IFERROR(VLOOKUP(Table11[[#This Row],[NAME]],Aggregate!$AD:$AO,11,FALSE()),"")</f>
        <v>5</v>
      </c>
      <c r="W42" s="26" t="str">
        <f>Aggregate!AD40</f>
        <v>Michael Pittman Jr.</v>
      </c>
      <c r="X42" s="26" t="str">
        <f>VLOOKUP(Table11[[#This Row],[NAME]],Aggregate!AD:AO,4,FALSE())</f>
        <v>PIT/9</v>
      </c>
      <c r="Y42" s="25">
        <f>IFERROR(VLOOKUP(Table11[[#This Row],[NAME]],Aggregate!$AD:$AO,8,FALSE()),"")</f>
        <v>116.27567882849343</v>
      </c>
      <c r="Z42" s="25">
        <f>IF(Scoring!$K$6="Auction",IFERROR(VLOOKUP(Table11[[#This Row],[NAME]],Aggregate!$AD:$AO,10,FALSE()),""),IFERROR(VLOOKUP(Table11[[#This Row],[NAME]],Aggregate!$AD:$AO,9,FALSE()),""))</f>
        <v>1.5717808389178458</v>
      </c>
      <c r="AA42" s="27">
        <f>SUMIFS(AD43:$AD$84,AC43:$AC$84,"&lt;&gt;x",AC43:$AC$84,"&lt;&gt;o",AD43:$AD$84,"&gt;0")/Aggregate!$AL$1</f>
        <v>0</v>
      </c>
      <c r="AB42" s="25" t="str">
        <f>VLOOKUP(Table11[[#This Row],[NAME]],ECR!C:E,3,FALSE)</f>
        <v>WR38</v>
      </c>
      <c r="AC42" s="28"/>
      <c r="AD42" s="29">
        <f>VLOOKUP(W42,Aggregate!AD:AL,9,FALSE())</f>
        <v>1.5717808389178458</v>
      </c>
      <c r="AF42" s="19"/>
      <c r="AG42" s="19"/>
    </row>
    <row r="43" spans="2:33" ht="15" customHeight="1" x14ac:dyDescent="0.3">
      <c r="B43" s="25">
        <f>IFERROR(VLOOKUP(Table9[[#This Row],[NAME]],Aggregate!$B:$M,11,FALSE()),"")</f>
        <v>15</v>
      </c>
      <c r="C43" s="26" t="str">
        <f>Aggregate!B39</f>
        <v>Mac Jones</v>
      </c>
      <c r="D43" s="26" t="str">
        <f>VLOOKUP(Table9[[#This Row],[NAME]],Aggregate!B:M,4,FALSE())</f>
        <v>SF/8</v>
      </c>
      <c r="E43" s="25">
        <f>IFERROR(VLOOKUP(Table9[[#This Row],[NAME]],Aggregate!$B:$M,8,FALSE()),"")</f>
        <v>10.778070588235295</v>
      </c>
      <c r="F43" s="25">
        <f>IF(Scoring!$K$6="Auction",IFERROR(VLOOKUP(Table9[[#This Row],[NAME]],Aggregate!$B:$M,10,FALSE()),""),IFERROR(VLOOKUP(Table9[[#This Row],[NAME]],Aggregate!$B:$M,9,FALSE()),""))</f>
        <v>-251.553214117647</v>
      </c>
      <c r="G43" s="27">
        <f>SUMIFS(J44:$J$44,I44:$I$44,"&lt;&gt;x",I44:$I$44,"&lt;&gt;o",J44:$J$44,"&gt;0")/Aggregate!$J$1</f>
        <v>0</v>
      </c>
      <c r="H43" s="25" t="str">
        <f>VLOOKUP(Table9[[#This Row],[NAME]],ECR!C:E,3,FALSE)</f>
        <v>QB37</v>
      </c>
      <c r="I43" s="28"/>
      <c r="J43" s="29">
        <f>VLOOKUP(C43,Aggregate!B:J,9,FALSE())</f>
        <v>-251.553214117647</v>
      </c>
      <c r="K43" s="30"/>
      <c r="L43" s="25">
        <f>IFERROR(VLOOKUP(Table10[[#This Row],[NAME]],Aggregate!$P:$AA,11,FALSE()),"")</f>
        <v>7</v>
      </c>
      <c r="M43" s="26" t="str">
        <f>Aggregate!P42</f>
        <v>Rachaad White</v>
      </c>
      <c r="N43" s="26" t="str">
        <f>VLOOKUP(Table10[[#This Row],[NAME]],Aggregate!P:AA,4,FALSE())</f>
        <v>WAS/7</v>
      </c>
      <c r="O43" s="25">
        <f>IFERROR(VLOOKUP(Table10[[#This Row],[NAME]],Aggregate!$P:$AA,8,FALSE()),"")</f>
        <v>114.05759756862744</v>
      </c>
      <c r="P43" s="25">
        <f>IF(Scoring!$K$6="Auction",IFERROR(VLOOKUP(Table10[[#This Row],[NAME]],Aggregate!$P:$AA,10,FALSE()),""),IFERROR(VLOOKUP(Table10[[#This Row],[NAME]],Aggregate!$P:$AA,9,FALSE()),""))</f>
        <v>-9.6880372549023264E-2</v>
      </c>
      <c r="Q43" s="27">
        <f>SUMIFS(T44:$T$84,S44:$S$84,"&lt;&gt;x",S44:$S$84,"&lt;&gt;o",T44:$T$84,"&gt;0")/Aggregate!$X$1</f>
        <v>0</v>
      </c>
      <c r="R43" s="25" t="str">
        <f>VLOOKUP(Table10[[#This Row],[NAME]],ECR!C:E,3,FALSE)</f>
        <v>RB40</v>
      </c>
      <c r="S43" s="28"/>
      <c r="T43" s="29">
        <f>VLOOKUP(M43,Aggregate!P:X,9,FALSE())</f>
        <v>-9.6880372549023264E-2</v>
      </c>
      <c r="U43" s="31"/>
      <c r="V43" s="25">
        <f>IFERROR(VLOOKUP(Table11[[#This Row],[NAME]],Aggregate!$AD:$AO,11,FALSE()),"")</f>
        <v>5</v>
      </c>
      <c r="W43" s="26" t="str">
        <f>Aggregate!AD50</f>
        <v>KC Concepcion</v>
      </c>
      <c r="X43" s="26" t="str">
        <f>VLOOKUP(Table11[[#This Row],[NAME]],Aggregate!AD:AO,4,FALSE())</f>
        <v>CLE/11</v>
      </c>
      <c r="Y43" s="25">
        <f>IFERROR(VLOOKUP(Table11[[#This Row],[NAME]],Aggregate!$AD:$AO,8,FALSE()),"")</f>
        <v>114.70389798957558</v>
      </c>
      <c r="Z43" s="25">
        <f>IF(Scoring!$K$6="Auction",IFERROR(VLOOKUP(Table11[[#This Row],[NAME]],Aggregate!$AD:$AO,10,FALSE()),""),IFERROR(VLOOKUP(Table11[[#This Row],[NAME]],Aggregate!$AD:$AO,9,FALSE()),""))</f>
        <v>0</v>
      </c>
      <c r="AA43" s="27">
        <f>SUMIFS(AD44:$AD$84,AC44:$AC$84,"&lt;&gt;x",AC44:$AC$84,"&lt;&gt;o",AD44:$AD$84,"&gt;0")/Aggregate!$AL$1</f>
        <v>0</v>
      </c>
      <c r="AB43" s="25" t="str">
        <f>VLOOKUP(Table11[[#This Row],[NAME]],ECR!C:E,3,FALSE)</f>
        <v>WR48</v>
      </c>
      <c r="AC43" s="28"/>
      <c r="AD43" s="29">
        <f>VLOOKUP(W43,Aggregate!AD:AL,9,FALSE())</f>
        <v>0</v>
      </c>
      <c r="AF43" s="19"/>
      <c r="AG43" s="19"/>
    </row>
    <row r="44" spans="2:33" ht="14.25" customHeight="1" x14ac:dyDescent="0.3">
      <c r="B44" s="25">
        <f>IFERROR(VLOOKUP(Table9[[#This Row],[NAME]],Aggregate!$B:$M,11,FALSE()),"")</f>
        <v>15</v>
      </c>
      <c r="C44" s="26" t="str">
        <f>Aggregate!B41</f>
        <v>Justin Fields</v>
      </c>
      <c r="D44" s="26" t="str">
        <f>VLOOKUP(Table9[[#This Row],[NAME]],Aggregate!B:M,4,FALSE())</f>
        <v>KC/5</v>
      </c>
      <c r="E44" s="25">
        <f>IFERROR(VLOOKUP(Table9[[#This Row],[NAME]],Aggregate!$B:$M,8,FALSE()),"")</f>
        <v>10.217682352941177</v>
      </c>
      <c r="F44" s="25">
        <f>IF(Scoring!$K$6="Auction",IFERROR(VLOOKUP(Table9[[#This Row],[NAME]],Aggregate!$B:$M,10,FALSE()),""),IFERROR(VLOOKUP(Table9[[#This Row],[NAME]],Aggregate!$B:$M,9,FALSE()),""))</f>
        <v>-252.11360235294111</v>
      </c>
      <c r="G44" s="27">
        <f>SUMIFS(J$44:$J45,I$44:$I45,"&lt;&gt;x",I$44:$I45,"&lt;&gt;o",J$44:$J45,"&gt;0")/Aggregate!$J$1</f>
        <v>0</v>
      </c>
      <c r="H44" s="25" t="str">
        <f>VLOOKUP(Table9[[#This Row],[NAME]],ECR!C:E,3,FALSE)</f>
        <v>QB39</v>
      </c>
      <c r="I44" s="28"/>
      <c r="J44" s="29">
        <f>VLOOKUP(C44,Aggregate!B:J,9,FALSE())</f>
        <v>-252.11360235294111</v>
      </c>
      <c r="K44" s="30"/>
      <c r="L44" s="25">
        <f>IFERROR(VLOOKUP(Table10[[#This Row],[NAME]],Aggregate!$P:$AA,11,FALSE()),"")</f>
        <v>7</v>
      </c>
      <c r="M44" s="26" t="str">
        <f>Aggregate!P38</f>
        <v>Jordan Mason</v>
      </c>
      <c r="N44" s="26" t="str">
        <f>VLOOKUP(Table10[[#This Row],[NAME]],Aggregate!P:AA,4,FALSE())</f>
        <v>MIN/6</v>
      </c>
      <c r="O44" s="25">
        <f>IFERROR(VLOOKUP(Table10[[#This Row],[NAME]],Aggregate!$P:$AA,8,FALSE()),"")</f>
        <v>112.67655580392157</v>
      </c>
      <c r="P44" s="25">
        <f>IF(Scoring!$K$6="Auction",IFERROR(VLOOKUP(Table10[[#This Row],[NAME]],Aggregate!$P:$AA,10,FALSE()),""),IFERROR(VLOOKUP(Table10[[#This Row],[NAME]],Aggregate!$P:$AA,9,FALSE()),""))</f>
        <v>-1.4779221372548932</v>
      </c>
      <c r="Q44" s="27">
        <f>SUMIFS(T45:$T$84,S45:$S$84,"&lt;&gt;x",S45:$S$84,"&lt;&gt;o",T45:$T$84,"&gt;0")/Aggregate!$X$1</f>
        <v>0</v>
      </c>
      <c r="R44" s="25" t="str">
        <f>VLOOKUP(Table10[[#This Row],[NAME]],ECR!C:E,3,FALSE)</f>
        <v>RB36</v>
      </c>
      <c r="S44" s="28"/>
      <c r="T44" s="29">
        <f>VLOOKUP(M44,Aggregate!P:X,9,FALSE())</f>
        <v>-1.4779221372548932</v>
      </c>
      <c r="U44" s="31"/>
      <c r="V44" s="25">
        <f>IFERROR(VLOOKUP(Table11[[#This Row],[NAME]],Aggregate!$AD:$AO,11,FALSE()),"")</f>
        <v>5</v>
      </c>
      <c r="W44" s="26" t="str">
        <f>Aggregate!AD39</f>
        <v>Quentin Johnston</v>
      </c>
      <c r="X44" s="26" t="str">
        <f>VLOOKUP(Table11[[#This Row],[NAME]],Aggregate!AD:AO,4,FALSE())</f>
        <v>LAC/7</v>
      </c>
      <c r="Y44" s="25">
        <f>IFERROR(VLOOKUP(Table11[[#This Row],[NAME]],Aggregate!$AD:$AO,8,FALSE()),"")</f>
        <v>114.41158080392155</v>
      </c>
      <c r="Z44" s="25">
        <f>IF(Scoring!$K$6="Auction",IFERROR(VLOOKUP(Table11[[#This Row],[NAME]],Aggregate!$AD:$AO,10,FALSE()),""),IFERROR(VLOOKUP(Table11[[#This Row],[NAME]],Aggregate!$AD:$AO,9,FALSE()),""))</f>
        <v>-0.29231718565402787</v>
      </c>
      <c r="AA44" s="27">
        <f>SUMIFS(AD45:$AD$84,AC45:$AC$84,"&lt;&gt;x",AC45:$AC$84,"&lt;&gt;o",AD45:$AD$84,"&gt;0")/Aggregate!$AL$1</f>
        <v>0</v>
      </c>
      <c r="AB44" s="25" t="str">
        <f>VLOOKUP(Table11[[#This Row],[NAME]],ECR!C:E,3,FALSE)</f>
        <v>WR37</v>
      </c>
      <c r="AC44" s="28"/>
      <c r="AD44" s="29">
        <f>VLOOKUP(W44,Aggregate!AD:AL,9,FALSE())</f>
        <v>-0.29231718565402787</v>
      </c>
      <c r="AF44" s="19"/>
      <c r="AG44" s="19"/>
    </row>
    <row r="45" spans="2:33" ht="14.25" customHeight="1" x14ac:dyDescent="0.3">
      <c r="B45" s="34"/>
      <c r="C45" s="34"/>
      <c r="D45" s="35"/>
      <c r="E45" s="35"/>
      <c r="F45" s="35"/>
      <c r="G45" s="35"/>
      <c r="H45" s="35"/>
      <c r="I45" s="36"/>
      <c r="J45" s="35"/>
      <c r="K45" s="30"/>
      <c r="L45" s="25">
        <f>IFERROR(VLOOKUP(Table10[[#This Row],[NAME]],Aggregate!$P:$AA,11,FALSE()),"")</f>
        <v>7</v>
      </c>
      <c r="M45" s="26" t="str">
        <f>Aggregate!P43</f>
        <v>Aaron Jones Sr.</v>
      </c>
      <c r="N45" s="26" t="str">
        <f>VLOOKUP(Table10[[#This Row],[NAME]],Aggregate!P:AA,4,FALSE())</f>
        <v>MIN/6</v>
      </c>
      <c r="O45" s="25">
        <f>IFERROR(VLOOKUP(Table10[[#This Row],[NAME]],Aggregate!$P:$AA,8,FALSE()),"")</f>
        <v>111.97475476470588</v>
      </c>
      <c r="P45" s="25">
        <f>IF(Scoring!$K$6="Auction",IFERROR(VLOOKUP(Table10[[#This Row],[NAME]],Aggregate!$P:$AA,10,FALSE()),""),IFERROR(VLOOKUP(Table10[[#This Row],[NAME]],Aggregate!$P:$AA,9,FALSE()),""))</f>
        <v>-2.1797231764705884</v>
      </c>
      <c r="Q45" s="27">
        <f>SUMIFS(T46:$T$84,S46:$S$84,"&lt;&gt;x",S46:$S$84,"&lt;&gt;o",T46:$T$84,"&gt;0")/Aggregate!$X$1</f>
        <v>0</v>
      </c>
      <c r="R45" s="25" t="str">
        <f>VLOOKUP(Table10[[#This Row],[NAME]],ECR!C:E,3,FALSE)</f>
        <v>RB41</v>
      </c>
      <c r="S45" s="28"/>
      <c r="T45" s="29">
        <f>VLOOKUP(M45,Aggregate!P:X,9,FALSE())</f>
        <v>-2.1797231764705884</v>
      </c>
      <c r="U45" s="31"/>
      <c r="V45" s="25">
        <f>IFERROR(VLOOKUP(Table11[[#This Row],[NAME]],Aggregate!$AD:$AO,11,FALSE()),"")</f>
        <v>5</v>
      </c>
      <c r="W45" s="26" t="str">
        <f>Aggregate!AD37</f>
        <v>Chris Godwin Jr.</v>
      </c>
      <c r="X45" s="26" t="str">
        <f>VLOOKUP(Table11[[#This Row],[NAME]],Aggregate!AD:AO,4,FALSE())</f>
        <v>TB/10</v>
      </c>
      <c r="Y45" s="25">
        <f>IFERROR(VLOOKUP(Table11[[#This Row],[NAME]],Aggregate!$AD:$AO,8,FALSE()),"")</f>
        <v>114.11040628629932</v>
      </c>
      <c r="Z45" s="25">
        <f>IF(Scoring!$K$6="Auction",IFERROR(VLOOKUP(Table11[[#This Row],[NAME]],Aggregate!$AD:$AO,10,FALSE()),""),IFERROR(VLOOKUP(Table11[[#This Row],[NAME]],Aggregate!$AD:$AO,9,FALSE()),""))</f>
        <v>-0.593491703276257</v>
      </c>
      <c r="AA45" s="27">
        <f>SUMIFS(AD46:$AD$84,AC46:$AC$84,"&lt;&gt;x",AC46:$AC$84,"&lt;&gt;o",AD46:$AD$84,"&gt;0")/Aggregate!$AL$1</f>
        <v>0</v>
      </c>
      <c r="AB45" s="25" t="str">
        <f>VLOOKUP(Table11[[#This Row],[NAME]],ECR!C:E,3,FALSE)</f>
        <v>WR35</v>
      </c>
      <c r="AC45" s="28"/>
      <c r="AD45" s="29">
        <f>VLOOKUP(W45,Aggregate!AD:AL,9,FALSE())</f>
        <v>-0.593491703276257</v>
      </c>
      <c r="AF45" s="19"/>
      <c r="AG45" s="19"/>
    </row>
    <row r="46" spans="2:33" ht="13.8" customHeight="1" x14ac:dyDescent="0.3">
      <c r="B46" s="113" t="s">
        <v>94</v>
      </c>
      <c r="C46" s="113"/>
      <c r="D46" s="113"/>
      <c r="E46" s="113"/>
      <c r="F46" s="113"/>
      <c r="G46" s="113"/>
      <c r="H46" s="113"/>
      <c r="I46" s="113"/>
      <c r="K46" s="30"/>
      <c r="L46" s="25">
        <f>IFERROR(VLOOKUP(Table10[[#This Row],[NAME]],Aggregate!$P:$AA,11,FALSE()),"")</f>
        <v>7</v>
      </c>
      <c r="M46" s="26" t="str">
        <f>Aggregate!P49</f>
        <v>Mike Washington Jr.</v>
      </c>
      <c r="N46" s="26" t="str">
        <f>VLOOKUP(Table10[[#This Row],[NAME]],Aggregate!P:AA,4,FALSE())</f>
        <v>LV/13</v>
      </c>
      <c r="O46" s="25">
        <f>IFERROR(VLOOKUP(Table10[[#This Row],[NAME]],Aggregate!$P:$AA,8,FALSE()),"")</f>
        <v>97.575484962352945</v>
      </c>
      <c r="P46" s="25">
        <f>IF(Scoring!$K$6="Auction",IFERROR(VLOOKUP(Table10[[#This Row],[NAME]],Aggregate!$P:$AA,10,FALSE()),""),IFERROR(VLOOKUP(Table10[[#This Row],[NAME]],Aggregate!$P:$AA,9,FALSE()),""))</f>
        <v>-16.578992978823521</v>
      </c>
      <c r="Q46" s="27">
        <f>SUMIFS(T47:$T$84,S47:$S$84,"&lt;&gt;x",S47:$S$84,"&lt;&gt;o",T47:$T$84,"&gt;0")/Aggregate!$X$1</f>
        <v>0</v>
      </c>
      <c r="R46" s="25" t="str">
        <f>VLOOKUP(Table10[[#This Row],[NAME]],ECR!C:E,3,FALSE)</f>
        <v>RB47</v>
      </c>
      <c r="S46" s="28"/>
      <c r="T46" s="29">
        <f>VLOOKUP(M46,Aggregate!P:X,9,FALSE())</f>
        <v>-16.578992978823521</v>
      </c>
      <c r="U46" s="31"/>
      <c r="V46" s="25">
        <f>IFERROR(VLOOKUP(Table11[[#This Row],[NAME]],Aggregate!$AD:$AO,11,FALSE()),"")</f>
        <v>5</v>
      </c>
      <c r="W46" s="26" t="str">
        <f>Aggregate!AD41</f>
        <v>Michael Wilson</v>
      </c>
      <c r="X46" s="26" t="str">
        <f>VLOOKUP(Table11[[#This Row],[NAME]],Aggregate!AD:AO,4,FALSE())</f>
        <v>ARI/14</v>
      </c>
      <c r="Y46" s="25">
        <f>IFERROR(VLOOKUP(Table11[[#This Row],[NAME]],Aggregate!$AD:$AO,8,FALSE()),"")</f>
        <v>113.65432489451477</v>
      </c>
      <c r="Z46" s="25">
        <f>IF(Scoring!$K$6="Auction",IFERROR(VLOOKUP(Table11[[#This Row],[NAME]],Aggregate!$AD:$AO,10,FALSE()),""),IFERROR(VLOOKUP(Table11[[#This Row],[NAME]],Aggregate!$AD:$AO,9,FALSE()),""))</f>
        <v>-1.0495730950608078</v>
      </c>
      <c r="AA46" s="27">
        <f>SUMIFS(AD47:$AD$84,AC47:$AC$84,"&lt;&gt;x",AC47:$AC$84,"&lt;&gt;o",AD47:$AD$84,"&gt;0")/Aggregate!$AL$1</f>
        <v>0</v>
      </c>
      <c r="AB46" s="25" t="str">
        <f>VLOOKUP(Table11[[#This Row],[NAME]],ECR!C:E,3,FALSE)</f>
        <v>WR39</v>
      </c>
      <c r="AC46" s="28"/>
      <c r="AD46" s="29">
        <f>VLOOKUP(W46,Aggregate!AD:AL,9,FALSE())</f>
        <v>-1.0495730950608078</v>
      </c>
      <c r="AF46" s="19"/>
      <c r="AG46" s="19"/>
    </row>
    <row r="47" spans="2:33" ht="14.25" customHeight="1" x14ac:dyDescent="0.3">
      <c r="B47" s="23" t="s">
        <v>78</v>
      </c>
      <c r="C47" s="23" t="s">
        <v>79</v>
      </c>
      <c r="D47" s="37" t="s">
        <v>80</v>
      </c>
      <c r="E47" s="37" t="s">
        <v>81</v>
      </c>
      <c r="F47" s="37" t="s">
        <v>82</v>
      </c>
      <c r="G47" s="37" t="s">
        <v>83</v>
      </c>
      <c r="H47" s="37" t="s">
        <v>84</v>
      </c>
      <c r="I47" s="23" t="s">
        <v>85</v>
      </c>
      <c r="J47" s="37"/>
      <c r="K47" s="30"/>
      <c r="L47" s="25">
        <f>IFERROR(VLOOKUP(Table10[[#This Row],[NAME]],Aggregate!$P:$AA,11,FALSE()),"")</f>
        <v>8</v>
      </c>
      <c r="M47" s="26" t="str">
        <f>Aggregate!P46</f>
        <v>Woody Marks</v>
      </c>
      <c r="N47" s="26" t="str">
        <f>VLOOKUP(Table10[[#This Row],[NAME]],Aggregate!P:AA,4,FALSE())</f>
        <v>HOU/8</v>
      </c>
      <c r="O47" s="25">
        <f>IFERROR(VLOOKUP(Table10[[#This Row],[NAME]],Aggregate!$P:$AA,8,FALSE()),"")</f>
        <v>92.374831137254901</v>
      </c>
      <c r="P47" s="25">
        <f>IF(Scoring!$K$6="Auction",IFERROR(VLOOKUP(Table10[[#This Row],[NAME]],Aggregate!$P:$AA,10,FALSE()),""),IFERROR(VLOOKUP(Table10[[#This Row],[NAME]],Aggregate!$P:$AA,9,FALSE()),""))</f>
        <v>-21.779646803921565</v>
      </c>
      <c r="Q47" s="27">
        <f>SUMIFS(T48:$T$84,S48:$S$84,"&lt;&gt;x",S48:$S$84,"&lt;&gt;o",T48:$T$84,"&gt;0")/Aggregate!$X$1</f>
        <v>0</v>
      </c>
      <c r="R47" s="25" t="str">
        <f>VLOOKUP(Table10[[#This Row],[NAME]],ECR!C:E,3,FALSE)</f>
        <v>RB44</v>
      </c>
      <c r="S47" s="28"/>
      <c r="T47" s="29">
        <f>VLOOKUP(M47,Aggregate!P:X,9,FALSE())</f>
        <v>-21.779646803921565</v>
      </c>
      <c r="U47" s="31"/>
      <c r="V47" s="25">
        <f>IFERROR(VLOOKUP(Table11[[#This Row],[NAME]],Aggregate!$AD:$AO,11,FALSE()),"")</f>
        <v>5</v>
      </c>
      <c r="W47" s="26" t="str">
        <f>Aggregate!AD46</f>
        <v>Jayden Reed</v>
      </c>
      <c r="X47" s="26" t="str">
        <f>VLOOKUP(Table11[[#This Row],[NAME]],Aggregate!AD:AO,4,FALSE())</f>
        <v>GB/11</v>
      </c>
      <c r="Y47" s="25">
        <f>IFERROR(VLOOKUP(Table11[[#This Row],[NAME]],Aggregate!$AD:$AO,8,FALSE()),"")</f>
        <v>112.50289262422434</v>
      </c>
      <c r="Z47" s="25">
        <f>IF(Scoring!$K$6="Auction",IFERROR(VLOOKUP(Table11[[#This Row],[NAME]],Aggregate!$AD:$AO,10,FALSE()),""),IFERROR(VLOOKUP(Table11[[#This Row],[NAME]],Aggregate!$AD:$AO,9,FALSE()),""))</f>
        <v>-2.2010053653512358</v>
      </c>
      <c r="AA47" s="27">
        <f>SUMIFS(AD48:$AD$84,AC48:$AC$84,"&lt;&gt;x",AC48:$AC$84,"&lt;&gt;o",AD48:$AD$84,"&gt;0")/Aggregate!$AL$1</f>
        <v>0</v>
      </c>
      <c r="AB47" s="25" t="str">
        <f>VLOOKUP(Table11[[#This Row],[NAME]],ECR!C:E,3,FALSE)</f>
        <v>WR44</v>
      </c>
      <c r="AC47" s="28"/>
      <c r="AD47" s="29">
        <f>VLOOKUP(W47,Aggregate!AD:AL,9,FALSE())</f>
        <v>-2.2010053653512358</v>
      </c>
      <c r="AF47" s="19"/>
      <c r="AG47" s="19"/>
    </row>
    <row r="48" spans="2:33" ht="14.25" customHeight="1" x14ac:dyDescent="0.3">
      <c r="B48" s="25">
        <f>IFERROR(VLOOKUP(Table12[[#This Row],[NAME]],Aggregate!$AR:$BC,11,FALSE()),"")</f>
        <v>1</v>
      </c>
      <c r="C48" s="26" t="str">
        <f>Aggregate!AR3</f>
        <v>Brock Bowers</v>
      </c>
      <c r="D48" s="26" t="str">
        <f>VLOOKUP(Table12[[#This Row],[NAME]],Aggregate!AR:BD,4,FALSE())</f>
        <v>LV/13</v>
      </c>
      <c r="E48" s="25">
        <f>IFERROR(VLOOKUP(Table12[[#This Row],[NAME]],Aggregate!$AR:$BC,8,FALSE()),"")</f>
        <v>173.64042666666668</v>
      </c>
      <c r="F48" s="25">
        <f>IF(Scoring!$K$6="Auction",IFERROR(VLOOKUP($C48,Aggregate!$AR:$BC,10,FALSE()),""),IFERROR(VLOOKUP($C48,Aggregate!$AR:$BC,9,FALSE()),""))</f>
        <v>65.725580470588241</v>
      </c>
      <c r="G48" s="27">
        <f>SUMIFS(J49:$J$84,I49:$I$84,"&lt;&gt;x",I49:$I$84,"&lt;&gt;o",J49:$J$84,"&gt;0")/Aggregate!$AZ$1</f>
        <v>0.77898017457203328</v>
      </c>
      <c r="H48" s="25" t="str">
        <f>VLOOKUP(Table12[[#This Row],[NAME]],ECR!C:E,3,FALSE)</f>
        <v>TE1</v>
      </c>
      <c r="I48" s="28"/>
      <c r="J48" s="29">
        <f>VLOOKUP(C48,Aggregate!AR:AZ,9,FALSE())</f>
        <v>65.725580470588241</v>
      </c>
      <c r="K48" s="30"/>
      <c r="L48" s="25">
        <f>IFERROR(VLOOKUP(Table10[[#This Row],[NAME]],Aggregate!$P:$AA,11,FALSE()),"")</f>
        <v>8</v>
      </c>
      <c r="M48" s="26" t="str">
        <f>Aggregate!P48</f>
        <v>Tyjae Spears</v>
      </c>
      <c r="N48" s="26" t="str">
        <f>VLOOKUP(Table10[[#This Row],[NAME]],Aggregate!P:AA,4,FALSE())</f>
        <v>TEN/9</v>
      </c>
      <c r="O48" s="25">
        <f>IFERROR(VLOOKUP(Table10[[#This Row],[NAME]],Aggregate!$P:$AA,8,FALSE()),"")</f>
        <v>90.219987254901966</v>
      </c>
      <c r="P48" s="25">
        <f>IF(Scoring!$K$6="Auction",IFERROR(VLOOKUP(Table10[[#This Row],[NAME]],Aggregate!$P:$AA,10,FALSE()),""),IFERROR(VLOOKUP(Table10[[#This Row],[NAME]],Aggregate!$P:$AA,9,FALSE()),""))</f>
        <v>-23.934490686274501</v>
      </c>
      <c r="Q48" s="27">
        <f>SUMIFS(T49:$T$84,S49:$S$84,"&lt;&gt;x",S49:$S$84,"&lt;&gt;o",T49:$T$84,"&gt;0")/Aggregate!$X$1</f>
        <v>0</v>
      </c>
      <c r="R48" s="25" t="str">
        <f>VLOOKUP(Table10[[#This Row],[NAME]],ECR!C:E,3,FALSE)</f>
        <v>RB46</v>
      </c>
      <c r="S48" s="28"/>
      <c r="T48" s="29">
        <f>VLOOKUP(M48,Aggregate!P:X,9,FALSE())</f>
        <v>-23.934490686274501</v>
      </c>
      <c r="U48" s="31"/>
      <c r="V48" s="25">
        <f>IFERROR(VLOOKUP(Table11[[#This Row],[NAME]],Aggregate!$AD:$AO,11,FALSE()),"")</f>
        <v>5</v>
      </c>
      <c r="W48" s="26" t="str">
        <f>Aggregate!AD48</f>
        <v>Makai Lemon</v>
      </c>
      <c r="X48" s="26" t="str">
        <f>VLOOKUP(Table11[[#This Row],[NAME]],Aggregate!AD:AO,4,FALSE())</f>
        <v>PHI/10</v>
      </c>
      <c r="Y48" s="25">
        <f>IFERROR(VLOOKUP(Table11[[#This Row],[NAME]],Aggregate!$AD:$AO,8,FALSE()),"")</f>
        <v>112.25666487962275</v>
      </c>
      <c r="Z48" s="25">
        <f>IF(Scoring!$K$6="Auction",IFERROR(VLOOKUP(Table11[[#This Row],[NAME]],Aggregate!$AD:$AO,10,FALSE()),""),IFERROR(VLOOKUP(Table11[[#This Row],[NAME]],Aggregate!$AD:$AO,9,FALSE()),""))</f>
        <v>-2.4472331099528333</v>
      </c>
      <c r="AA48" s="27">
        <f>SUMIFS(AD49:$AD$84,AC49:$AC$84,"&lt;&gt;x",AC49:$AC$84,"&lt;&gt;o",AD49:$AD$84,"&gt;0")/Aggregate!$AL$1</f>
        <v>0</v>
      </c>
      <c r="AB48" s="25" t="str">
        <f>VLOOKUP(Table11[[#This Row],[NAME]],ECR!C:E,3,FALSE)</f>
        <v>WR46</v>
      </c>
      <c r="AC48" s="28"/>
      <c r="AD48" s="29">
        <f>VLOOKUP(W48,Aggregate!AD:AL,9,FALSE())</f>
        <v>-2.4472331099528333</v>
      </c>
      <c r="AF48" s="19"/>
      <c r="AG48" s="19"/>
    </row>
    <row r="49" spans="2:33" ht="14.25" customHeight="1" x14ac:dyDescent="0.3">
      <c r="B49" s="25">
        <f>IFERROR(VLOOKUP(Table12[[#This Row],[NAME]],Aggregate!$AR:$BC,11,FALSE()),"")</f>
        <v>1</v>
      </c>
      <c r="C49" s="26" t="str">
        <f>Aggregate!AR4</f>
        <v>Trey McBride</v>
      </c>
      <c r="D49" s="26" t="str">
        <f>VLOOKUP(Table12[[#This Row],[NAME]],Aggregate!AR:BD,4,FALSE())</f>
        <v>ARI/14</v>
      </c>
      <c r="E49" s="25">
        <f>IFERROR(VLOOKUP($C49,Aggregate!$AR:$BC,8,FALSE()),"")</f>
        <v>164.81304564705886</v>
      </c>
      <c r="F49" s="25">
        <f>IF(Scoring!$K$6="Auction",IFERROR(VLOOKUP($C49,Aggregate!$AR:$BC,10,FALSE()),""),IFERROR(VLOOKUP($C49,Aggregate!$AR:$BC,9,FALSE()),""))</f>
        <v>56.898199450980414</v>
      </c>
      <c r="G49" s="27">
        <f>SUMIFS(J50:$J$84,I50:$I$84,"&lt;&gt;x",I50:$I$84,"&lt;&gt;o",J50:$J$84,"&gt;0")/Aggregate!$AZ$1</f>
        <v>0.58764477639401591</v>
      </c>
      <c r="H49" s="25" t="str">
        <f>VLOOKUP(Table12[[#This Row],[NAME]],ECR!C:E,3,FALSE)</f>
        <v>TE2</v>
      </c>
      <c r="I49" s="28"/>
      <c r="J49" s="29">
        <f>VLOOKUP(C49,Aggregate!AR:AZ,9,FALSE())</f>
        <v>56.898199450980414</v>
      </c>
      <c r="K49" s="30"/>
      <c r="L49" s="25">
        <f>IFERROR(VLOOKUP(Table10[[#This Row],[NAME]],Aggregate!$P:$AA,11,FALSE()),"")</f>
        <v>8</v>
      </c>
      <c r="M49" s="26" t="str">
        <f>Aggregate!P59</f>
        <v>Josh Jacobs</v>
      </c>
      <c r="N49" s="26" t="str">
        <f>VLOOKUP(Table10[[#This Row],[NAME]],Aggregate!P:AA,4,FALSE())</f>
        <v>GB/11</v>
      </c>
      <c r="O49" s="25">
        <f>IFERROR(VLOOKUP(Table10[[#This Row],[NAME]],Aggregate!$P:$AA,8,FALSE()),"")</f>
        <v>86.511176470588239</v>
      </c>
      <c r="P49" s="25">
        <f>IF(Scoring!$K$6="Auction",IFERROR(VLOOKUP(Table10[[#This Row],[NAME]],Aggregate!$P:$AA,10,FALSE()),""),IFERROR(VLOOKUP(Table10[[#This Row],[NAME]],Aggregate!$P:$AA,9,FALSE()),""))</f>
        <v>-27.643301470588227</v>
      </c>
      <c r="Q49" s="27">
        <f>SUMIFS(T50:$T$84,S50:$S$84,"&lt;&gt;x",S50:$S$84,"&lt;&gt;o",T50:$T$84,"&gt;0")/Aggregate!$X$1</f>
        <v>0</v>
      </c>
      <c r="R49" s="25" t="str">
        <f>VLOOKUP(Table10[[#This Row],[NAME]],ECR!C:E,3,FALSE)</f>
        <v>RB57</v>
      </c>
      <c r="S49" s="28"/>
      <c r="T49" s="29">
        <f>VLOOKUP(M49,Aggregate!P:X,9,FALSE())</f>
        <v>-27.643301470588227</v>
      </c>
      <c r="U49" s="31"/>
      <c r="V49" s="25">
        <f>IFERROR(VLOOKUP(Table11[[#This Row],[NAME]],Aggregate!$AD:$AO,11,FALSE()),"")</f>
        <v>5</v>
      </c>
      <c r="W49" s="26" t="str">
        <f>Aggregate!AD47</f>
        <v>Jordan Addison</v>
      </c>
      <c r="X49" s="26" t="str">
        <f>VLOOKUP(Table11[[#This Row],[NAME]],Aggregate!AD:AO,4,FALSE())</f>
        <v>MIN/6</v>
      </c>
      <c r="Y49" s="25">
        <f>IFERROR(VLOOKUP(Table11[[#This Row],[NAME]],Aggregate!$AD:$AO,8,FALSE()),"")</f>
        <v>110.2949447145694</v>
      </c>
      <c r="Z49" s="25">
        <f>IF(Scoring!$K$6="Auction",IFERROR(VLOOKUP(Table11[[#This Row],[NAME]],Aggregate!$AD:$AO,10,FALSE()),""),IFERROR(VLOOKUP(Table11[[#This Row],[NAME]],Aggregate!$AD:$AO,9,FALSE()),""))</f>
        <v>-4.4089532750061835</v>
      </c>
      <c r="AA49" s="27">
        <f>SUMIFS(AD50:$AD$84,AC50:$AC$84,"&lt;&gt;x",AC50:$AC$84,"&lt;&gt;o",AD50:$AD$84,"&gt;0")/Aggregate!$AL$1</f>
        <v>0</v>
      </c>
      <c r="AB49" s="25" t="str">
        <f>VLOOKUP(Table11[[#This Row],[NAME]],ECR!C:E,3,FALSE)</f>
        <v>WR45</v>
      </c>
      <c r="AC49" s="28"/>
      <c r="AD49" s="29">
        <f>VLOOKUP(W49,Aggregate!AD:AL,9,FALSE())</f>
        <v>-4.4089532750061835</v>
      </c>
      <c r="AF49" s="19"/>
      <c r="AG49" s="19"/>
    </row>
    <row r="50" spans="2:33" ht="14.25" customHeight="1" x14ac:dyDescent="0.3">
      <c r="B50" s="25">
        <f>IFERROR(VLOOKUP(Table12[[#This Row],[NAME]],Aggregate!$AR:$BC,11,FALSE()),"")</f>
        <v>2</v>
      </c>
      <c r="C50" s="26" t="str">
        <f>Aggregate!AR5</f>
        <v>Colston Loveland</v>
      </c>
      <c r="D50" s="26" t="str">
        <f>VLOOKUP(Table12[[#This Row],[NAME]],Aggregate!AR:BD,4,FALSE())</f>
        <v>CHI/10</v>
      </c>
      <c r="E50" s="25">
        <f>IFERROR(VLOOKUP($C50,Aggregate!$AR:$BC,8,FALSE()),"")</f>
        <v>142.14390029411766</v>
      </c>
      <c r="F50" s="25">
        <f>IF(Scoring!$K$6="Auction",IFERROR(VLOOKUP($C50,Aggregate!$AR:$BC,10,FALSE()),""),IFERROR(VLOOKUP($C50,Aggregate!$AR:$BC,9,FALSE()),""))</f>
        <v>34.229054098039214</v>
      </c>
      <c r="G50" s="27">
        <f>SUMIFS(J51:$J$84,I51:$I$84,"&lt;&gt;x",I51:$I$84,"&lt;&gt;o",J51:$J$84,"&gt;0")/Aggregate!$AZ$1</f>
        <v>0.47254043639205157</v>
      </c>
      <c r="H50" s="25" t="str">
        <f>VLOOKUP(Table12[[#This Row],[NAME]],ECR!C:E,3,FALSE)</f>
        <v>TE3</v>
      </c>
      <c r="I50" s="28"/>
      <c r="J50" s="29">
        <f>VLOOKUP(C50,Aggregate!AR:AZ,9,FALSE())</f>
        <v>34.229054098039214</v>
      </c>
      <c r="K50" s="30"/>
      <c r="L50" s="25">
        <f>IFERROR(VLOOKUP(Table10[[#This Row],[NAME]],Aggregate!$P:$AA,11,FALSE()),"")</f>
        <v>8</v>
      </c>
      <c r="M50" s="26" t="str">
        <f>Aggregate!P44</f>
        <v>Chris Rodriguez Jr.</v>
      </c>
      <c r="N50" s="26" t="str">
        <f>VLOOKUP(Table10[[#This Row],[NAME]],Aggregate!P:AA,4,FALSE())</f>
        <v>JAC/7</v>
      </c>
      <c r="O50" s="25">
        <f>IFERROR(VLOOKUP(Table10[[#This Row],[NAME]],Aggregate!$P:$AA,8,FALSE()),"")</f>
        <v>85.472775794901963</v>
      </c>
      <c r="P50" s="25">
        <f>IF(Scoring!$K$6="Auction",IFERROR(VLOOKUP(Table10[[#This Row],[NAME]],Aggregate!$P:$AA,10,FALSE()),""),IFERROR(VLOOKUP(Table10[[#This Row],[NAME]],Aggregate!$P:$AA,9,FALSE()),""))</f>
        <v>-28.681702146274503</v>
      </c>
      <c r="Q50" s="27">
        <f>SUMIFS(T51:$T$84,S51:$S$84,"&lt;&gt;x",S51:$S$84,"&lt;&gt;o",T51:$T$84,"&gt;0")/Aggregate!$X$1</f>
        <v>0</v>
      </c>
      <c r="R50" s="25" t="str">
        <f>VLOOKUP(Table10[[#This Row],[NAME]],ECR!C:E,3,FALSE)</f>
        <v>RB42</v>
      </c>
      <c r="S50" s="28"/>
      <c r="T50" s="29">
        <f>VLOOKUP(M50,Aggregate!P:X,9,FALSE())</f>
        <v>-28.681702146274503</v>
      </c>
      <c r="U50" s="31"/>
      <c r="V50" s="25">
        <f>IFERROR(VLOOKUP(Table11[[#This Row],[NAME]],Aggregate!$AD:$AO,11,FALSE()),"")</f>
        <v>5</v>
      </c>
      <c r="W50" s="26" t="str">
        <f>Aggregate!AD49</f>
        <v>Jakobi Meyers</v>
      </c>
      <c r="X50" s="26" t="str">
        <f>VLOOKUP(Table11[[#This Row],[NAME]],Aggregate!AD:AO,4,FALSE())</f>
        <v>JAC/7</v>
      </c>
      <c r="Y50" s="25">
        <f>IFERROR(VLOOKUP(Table11[[#This Row],[NAME]],Aggregate!$AD:$AO,8,FALSE()),"")</f>
        <v>110.0813924050633</v>
      </c>
      <c r="Z50" s="25">
        <f>IF(Scoring!$K$6="Auction",IFERROR(VLOOKUP(Table11[[#This Row],[NAME]],Aggregate!$AD:$AO,10,FALSE()),""),IFERROR(VLOOKUP(Table11[[#This Row],[NAME]],Aggregate!$AD:$AO,9,FALSE()),""))</f>
        <v>-4.6225055845122824</v>
      </c>
      <c r="AA50" s="27">
        <f>SUMIFS(AD51:$AD$84,AC51:$AC$84,"&lt;&gt;x",AC51:$AC$84,"&lt;&gt;o",AD51:$AD$84,"&gt;0")/Aggregate!$AL$1</f>
        <v>0</v>
      </c>
      <c r="AB50" s="25" t="str">
        <f>VLOOKUP(Table11[[#This Row],[NAME]],ECR!C:E,3,FALSE)</f>
        <v>WR47</v>
      </c>
      <c r="AC50" s="28"/>
      <c r="AD50" s="29">
        <f>VLOOKUP(W50,Aggregate!AD:AL,9,FALSE())</f>
        <v>-4.6225055845122824</v>
      </c>
      <c r="AF50" s="19"/>
      <c r="AG50" s="19"/>
    </row>
    <row r="51" spans="2:33" ht="14.25" customHeight="1" x14ac:dyDescent="0.3">
      <c r="B51" s="25">
        <f>IFERROR(VLOOKUP(Table12[[#This Row],[NAME]],Aggregate!$AR:$BC,11,FALSE()),"")</f>
        <v>2</v>
      </c>
      <c r="C51" s="26" t="str">
        <f>Aggregate!AR6</f>
        <v>Tyler Warren</v>
      </c>
      <c r="D51" s="26" t="str">
        <f>VLOOKUP(Table12[[#This Row],[NAME]],Aggregate!AR:BD,4,FALSE())</f>
        <v>IND/13</v>
      </c>
      <c r="E51" s="25">
        <f>IFERROR(VLOOKUP($C51,Aggregate!$AR:$BC,8,FALSE()),"")</f>
        <v>131.38706768627449</v>
      </c>
      <c r="F51" s="25">
        <f>IF(Scoring!$K$6="Auction",IFERROR(VLOOKUP($C51,Aggregate!$AR:$BC,10,FALSE()),""),IFERROR(VLOOKUP($C51,Aggregate!$AR:$BC,9,FALSE()),""))</f>
        <v>23.472221490196048</v>
      </c>
      <c r="G51" s="27">
        <f>SUMIFS(J52:$J$84,I52:$I$84,"&lt;&gt;x",I52:$I$84,"&lt;&gt;o",J52:$J$84,"&gt;0")/Aggregate!$AZ$1</f>
        <v>0.3936088201320595</v>
      </c>
      <c r="H51" s="25" t="str">
        <f>VLOOKUP(Table12[[#This Row],[NAME]],ECR!C:E,3,FALSE)</f>
        <v>TE4</v>
      </c>
      <c r="I51" s="28"/>
      <c r="J51" s="29">
        <f>VLOOKUP(C51,Aggregate!AR:AZ,9,FALSE())</f>
        <v>23.472221490196048</v>
      </c>
      <c r="K51" s="30"/>
      <c r="L51" s="25">
        <f>IFERROR(VLOOKUP(Table10[[#This Row],[NAME]],Aggregate!$P:$AA,11,FALSE()),"")</f>
        <v>8</v>
      </c>
      <c r="M51" s="26" t="str">
        <f>Aggregate!P67</f>
        <v>Kaelon Black</v>
      </c>
      <c r="N51" s="26" t="str">
        <f>VLOOKUP(Table10[[#This Row],[NAME]],Aggregate!P:AA,4,FALSE())</f>
        <v>SF/8</v>
      </c>
      <c r="O51" s="25">
        <f>IFERROR(VLOOKUP(Table10[[#This Row],[NAME]],Aggregate!$P:$AA,8,FALSE()),"")</f>
        <v>84.793325019607835</v>
      </c>
      <c r="P51" s="25">
        <f>IF(Scoring!$K$6="Auction",IFERROR(VLOOKUP(Table10[[#This Row],[NAME]],Aggregate!$P:$AA,10,FALSE()),""),IFERROR(VLOOKUP(Table10[[#This Row],[NAME]],Aggregate!$P:$AA,9,FALSE()),""))</f>
        <v>-29.361152921568632</v>
      </c>
      <c r="Q51" s="27">
        <f>SUMIFS(T52:$T$84,S52:$S$84,"&lt;&gt;x",S52:$S$84,"&lt;&gt;o",T52:$T$84,"&gt;0")/Aggregate!$X$1</f>
        <v>0</v>
      </c>
      <c r="R51" s="25" t="str">
        <f>VLOOKUP(Table10[[#This Row],[NAME]],ECR!C:E,3,FALSE)</f>
        <v>RB65</v>
      </c>
      <c r="S51" s="28"/>
      <c r="T51" s="29">
        <f>VLOOKUP(M51,Aggregate!P:X,9,FALSE())</f>
        <v>-29.361152921568632</v>
      </c>
      <c r="U51" s="31"/>
      <c r="V51" s="25">
        <f>IFERROR(VLOOKUP(Table11[[#This Row],[NAME]],Aggregate!$AD:$AO,11,FALSE()),"")</f>
        <v>6</v>
      </c>
      <c r="W51" s="26" t="str">
        <f>Aggregate!AD45</f>
        <v>Wan'Dale Robinson</v>
      </c>
      <c r="X51" s="26" t="str">
        <f>VLOOKUP(Table11[[#This Row],[NAME]],Aggregate!AD:AO,4,FALSE())</f>
        <v>TEN/9</v>
      </c>
      <c r="Y51" s="25">
        <f>IFERROR(VLOOKUP(Table11[[#This Row],[NAME]],Aggregate!$AD:$AO,8,FALSE()),"")</f>
        <v>109.30001489203276</v>
      </c>
      <c r="Z51" s="25">
        <f>IF(Scoring!$K$6="Auction",IFERROR(VLOOKUP(Table11[[#This Row],[NAME]],Aggregate!$AD:$AO,10,FALSE()),""),IFERROR(VLOOKUP(Table11[[#This Row],[NAME]],Aggregate!$AD:$AO,9,FALSE()),""))</f>
        <v>-5.4038830975428169</v>
      </c>
      <c r="AA51" s="27">
        <f>SUMIFS(AD52:$AD$84,AC52:$AC$84,"&lt;&gt;x",AC52:$AC$84,"&lt;&gt;o",AD52:$AD$84,"&gt;0")/Aggregate!$AL$1</f>
        <v>0</v>
      </c>
      <c r="AB51" s="25" t="str">
        <f>VLOOKUP(Table11[[#This Row],[NAME]],ECR!C:E,3,FALSE)</f>
        <v>WR43</v>
      </c>
      <c r="AC51" s="28"/>
      <c r="AD51" s="29">
        <f>VLOOKUP(W51,Aggregate!AD:AL,9,FALSE())</f>
        <v>-5.4038830975428169</v>
      </c>
      <c r="AF51" s="19"/>
      <c r="AG51" s="19"/>
    </row>
    <row r="52" spans="2:33" ht="14.25" customHeight="1" x14ac:dyDescent="0.3">
      <c r="B52" s="25">
        <f>IFERROR(VLOOKUP(Table12[[#This Row],[NAME]],Aggregate!$AR:$BC,11,FALSE()),"")</f>
        <v>3</v>
      </c>
      <c r="C52" s="26" t="str">
        <f>Aggregate!AR8</f>
        <v>Harold Fannin Jr.</v>
      </c>
      <c r="D52" s="26" t="str">
        <f>VLOOKUP(Table12[[#This Row],[NAME]],Aggregate!AR:BD,4,FALSE())</f>
        <v>CLE/11</v>
      </c>
      <c r="E52" s="25">
        <f>IFERROR(VLOOKUP($C52,Aggregate!$AR:$BC,8,FALSE()),"")</f>
        <v>129.55197423529413</v>
      </c>
      <c r="F52" s="25">
        <f>IF(Scoring!$K$6="Auction",IFERROR(VLOOKUP($C52,Aggregate!$AR:$BC,10,FALSE()),""),IFERROR(VLOOKUP($C52,Aggregate!$AR:$BC,9,FALSE()),""))</f>
        <v>21.637128039215682</v>
      </c>
      <c r="G52" s="27">
        <f>SUMIFS(J53:$J$84,I53:$I$84,"&lt;&gt;x",I53:$I$84,"&lt;&gt;o",J53:$J$84,"&gt;0")/Aggregate!$AZ$1</f>
        <v>0.32084819591619529</v>
      </c>
      <c r="H52" s="25" t="str">
        <f>VLOOKUP(Table12[[#This Row],[NAME]],ECR!C:E,3,FALSE)</f>
        <v>TE6</v>
      </c>
      <c r="I52" s="28"/>
      <c r="J52" s="29">
        <f>VLOOKUP(C52,Aggregate!AR:AZ,9,FALSE())</f>
        <v>21.637128039215682</v>
      </c>
      <c r="K52" s="30"/>
      <c r="L52" s="25">
        <f>IFERROR(VLOOKUP(Table10[[#This Row],[NAME]],Aggregate!$P:$AA,11,FALSE()),"")</f>
        <v>8</v>
      </c>
      <c r="M52" s="26" t="str">
        <f>Aggregate!P47</f>
        <v>Jonah Coleman</v>
      </c>
      <c r="N52" s="26" t="str">
        <f>VLOOKUP(Table10[[#This Row],[NAME]],Aggregate!P:AA,4,FALSE())</f>
        <v>DEN/10</v>
      </c>
      <c r="O52" s="25">
        <f>IFERROR(VLOOKUP(Table10[[#This Row],[NAME]],Aggregate!$P:$AA,8,FALSE()),"")</f>
        <v>81.635547470588236</v>
      </c>
      <c r="P52" s="25">
        <f>IF(Scoring!$K$6="Auction",IFERROR(VLOOKUP(Table10[[#This Row],[NAME]],Aggregate!$P:$AA,10,FALSE()),""),IFERROR(VLOOKUP(Table10[[#This Row],[NAME]],Aggregate!$P:$AA,9,FALSE()),""))</f>
        <v>-32.518930470588231</v>
      </c>
      <c r="Q52" s="27">
        <f>SUMIFS(T53:$T$84,S53:$S$84,"&lt;&gt;x",S53:$S$84,"&lt;&gt;o",T53:$T$84,"&gt;0")/Aggregate!$X$1</f>
        <v>0</v>
      </c>
      <c r="R52" s="25" t="str">
        <f>VLOOKUP(Table10[[#This Row],[NAME]],ECR!C:E,3,FALSE)</f>
        <v>RB45</v>
      </c>
      <c r="S52" s="28"/>
      <c r="T52" s="29">
        <f>VLOOKUP(M52,Aggregate!P:X,9,FALSE())</f>
        <v>-32.518930470588231</v>
      </c>
      <c r="U52" s="31"/>
      <c r="V52" s="25">
        <f>IFERROR(VLOOKUP(Table11[[#This Row],[NAME]],Aggregate!$AD:$AO,11,FALSE()),"")</f>
        <v>6</v>
      </c>
      <c r="W52" s="26" t="str">
        <f>Aggregate!AD60</f>
        <v>Denzel Boston</v>
      </c>
      <c r="X52" s="26" t="str">
        <f>VLOOKUP(Table11[[#This Row],[NAME]],Aggregate!AD:AO,4,FALSE())</f>
        <v>CLE/11</v>
      </c>
      <c r="Y52" s="25">
        <f>IFERROR(VLOOKUP(Table11[[#This Row],[NAME]],Aggregate!$AD:$AO,8,FALSE()),"")</f>
        <v>107.64684700918343</v>
      </c>
      <c r="Z52" s="25">
        <f>IF(Scoring!$K$6="Auction",IFERROR(VLOOKUP(Table11[[#This Row],[NAME]],Aggregate!$AD:$AO,10,FALSE()),""),IFERROR(VLOOKUP(Table11[[#This Row],[NAME]],Aggregate!$AD:$AO,9,FALSE()),""))</f>
        <v>-7.0570509803921482</v>
      </c>
      <c r="AA52" s="27">
        <f>SUMIFS(AD53:$AD$84,AC53:$AC$84,"&lt;&gt;x",AC53:$AC$84,"&lt;&gt;o",AD53:$AD$84,"&gt;0")/Aggregate!$AL$1</f>
        <v>0</v>
      </c>
      <c r="AB52" s="25" t="str">
        <f>VLOOKUP(Table11[[#This Row],[NAME]],ECR!C:E,3,FALSE)</f>
        <v>WR58</v>
      </c>
      <c r="AC52" s="28"/>
      <c r="AD52" s="29">
        <f>VLOOKUP(W52,Aggregate!AD:AL,9,FALSE())</f>
        <v>-7.0570509803921482</v>
      </c>
      <c r="AF52" s="19"/>
      <c r="AG52" s="19"/>
    </row>
    <row r="53" spans="2:33" ht="14.25" customHeight="1" x14ac:dyDescent="0.3">
      <c r="B53" s="25">
        <f>IFERROR(VLOOKUP(Table12[[#This Row],[NAME]],Aggregate!$AR:$BC,11,FALSE()),"")</f>
        <v>3</v>
      </c>
      <c r="C53" s="26" t="str">
        <f>Aggregate!AR9</f>
        <v>Sam LaPorta</v>
      </c>
      <c r="D53" s="26" t="str">
        <f>VLOOKUP(Table12[[#This Row],[NAME]],Aggregate!AR:BD,4,FALSE())</f>
        <v>DET/6</v>
      </c>
      <c r="E53" s="25">
        <f>IFERROR(VLOOKUP($C53,Aggregate!$AR:$BC,8,FALSE()),"")</f>
        <v>124.12877308823529</v>
      </c>
      <c r="F53" s="25">
        <f>IF(Scoring!$K$6="Auction",IFERROR(VLOOKUP($C53,Aggregate!$AR:$BC,10,FALSE()),""),IFERROR(VLOOKUP($C53,Aggregate!$AR:$BC,9,FALSE()),""))</f>
        <v>16.213926892156849</v>
      </c>
      <c r="G53" s="27">
        <f>SUMIFS(J54:$J$84,I54:$I$84,"&lt;&gt;x",I54:$I$84,"&lt;&gt;o",J54:$J$84,"&gt;0")/Aggregate!$AZ$1</f>
        <v>0.26632453457234517</v>
      </c>
      <c r="H53" s="25" t="str">
        <f>VLOOKUP(Table12[[#This Row],[NAME]],ECR!C:E,3,FALSE)</f>
        <v>TE7</v>
      </c>
      <c r="I53" s="28"/>
      <c r="J53" s="29">
        <f>VLOOKUP(C53,Aggregate!AR:AZ,9,FALSE())</f>
        <v>16.213926892156849</v>
      </c>
      <c r="K53" s="30"/>
      <c r="L53" s="25">
        <f>IFERROR(VLOOKUP(Table10[[#This Row],[NAME]],Aggregate!$P:$AA,11,FALSE()),"")</f>
        <v>8</v>
      </c>
      <c r="M53" s="26" t="str">
        <f>Aggregate!P51</f>
        <v>Zach Charbonnet</v>
      </c>
      <c r="N53" s="26" t="str">
        <f>VLOOKUP(Table10[[#This Row],[NAME]],Aggregate!P:AA,4,FALSE())</f>
        <v>SEA/11</v>
      </c>
      <c r="O53" s="25">
        <f>IFERROR(VLOOKUP(Table10[[#This Row],[NAME]],Aggregate!$P:$AA,8,FALSE()),"")</f>
        <v>79.821301960784311</v>
      </c>
      <c r="P53" s="25">
        <f>IF(Scoring!$K$6="Auction",IFERROR(VLOOKUP(Table10[[#This Row],[NAME]],Aggregate!$P:$AA,10,FALSE()),""),IFERROR(VLOOKUP(Table10[[#This Row],[NAME]],Aggregate!$P:$AA,9,FALSE()),""))</f>
        <v>-34.333175980392156</v>
      </c>
      <c r="Q53" s="27">
        <f>SUMIFS(T54:$T$84,S54:$S$84,"&lt;&gt;x",S54:$S$84,"&lt;&gt;o",T54:$T$84,"&gt;0")/Aggregate!$X$1</f>
        <v>0</v>
      </c>
      <c r="R53" s="25" t="str">
        <f>VLOOKUP(Table10[[#This Row],[NAME]],ECR!C:E,3,FALSE)</f>
        <v>RB49</v>
      </c>
      <c r="S53" s="28"/>
      <c r="T53" s="29">
        <f>VLOOKUP(M53,Aggregate!P:X,9,FALSE())</f>
        <v>-34.333175980392156</v>
      </c>
      <c r="U53" s="31"/>
      <c r="V53" s="25">
        <f>IFERROR(VLOOKUP(Table11[[#This Row],[NAME]],Aggregate!$AD:$AO,11,FALSE()),"")</f>
        <v>6</v>
      </c>
      <c r="W53" s="26" t="str">
        <f>Aggregate!AD44</f>
        <v>Stefon Diggs</v>
      </c>
      <c r="X53" s="26" t="str">
        <f>VLOOKUP(Table11[[#This Row],[NAME]],Aggregate!AD:AO,4,FALSE())</f>
        <v>WAS/7</v>
      </c>
      <c r="Y53" s="25">
        <f>IFERROR(VLOOKUP(Table11[[#This Row],[NAME]],Aggregate!$AD:$AO,8,FALSE()),"")</f>
        <v>107.16146458178207</v>
      </c>
      <c r="Z53" s="25">
        <f>IF(Scoring!$K$6="Auction",IFERROR(VLOOKUP(Table11[[#This Row],[NAME]],Aggregate!$AD:$AO,10,FALSE()),""),IFERROR(VLOOKUP(Table11[[#This Row],[NAME]],Aggregate!$AD:$AO,9,FALSE()),""))</f>
        <v>-7.54243340779351</v>
      </c>
      <c r="AA53" s="27">
        <f>SUMIFS(AD54:$AD$84,AC54:$AC$84,"&lt;&gt;x",AC54:$AC$84,"&lt;&gt;o",AD54:$AD$84,"&gt;0")/Aggregate!$AL$1</f>
        <v>0</v>
      </c>
      <c r="AB53" s="25" t="str">
        <f>VLOOKUP(Table11[[#This Row],[NAME]],ECR!C:E,3,FALSE)</f>
        <v>WR42</v>
      </c>
      <c r="AC53" s="28"/>
      <c r="AD53" s="29">
        <f>VLOOKUP(W53,Aggregate!AD:AL,9,FALSE())</f>
        <v>-7.54243340779351</v>
      </c>
      <c r="AF53" s="19"/>
      <c r="AG53" s="19"/>
    </row>
    <row r="54" spans="2:33" ht="14.25" customHeight="1" x14ac:dyDescent="0.3">
      <c r="B54" s="25">
        <f>IFERROR(VLOOKUP(Table12[[#This Row],[NAME]],Aggregate!$AR:$BC,11,FALSE()),"")</f>
        <v>3</v>
      </c>
      <c r="C54" s="26" t="str">
        <f>Aggregate!AR10</f>
        <v>Kyle Pitts Sr.</v>
      </c>
      <c r="D54" s="26" t="str">
        <f>VLOOKUP(Table12[[#This Row],[NAME]],Aggregate!AR:BD,4,FALSE())</f>
        <v>ATL/11</v>
      </c>
      <c r="E54" s="25">
        <f>IFERROR(VLOOKUP($C54,Aggregate!$AR:$BC,8,FALSE()),"")</f>
        <v>124.00906000000002</v>
      </c>
      <c r="F54" s="25">
        <f>IF(Scoring!$K$6="Auction",IFERROR(VLOOKUP($C54,Aggregate!$AR:$BC,10,FALSE()),""),IFERROR(VLOOKUP($C54,Aggregate!$AR:$BC,9,FALSE()),""))</f>
        <v>16.094213803921576</v>
      </c>
      <c r="G54" s="27">
        <f>SUMIFS(J55:$J$84,I55:$I$84,"&lt;&gt;x",I55:$I$84,"&lt;&gt;o",J55:$J$84,"&gt;0")/Aggregate!$AZ$1</f>
        <v>0.21220344047360357</v>
      </c>
      <c r="H54" s="25" t="str">
        <f>VLOOKUP(Table12[[#This Row],[NAME]],ECR!C:E,3,FALSE)</f>
        <v>TE8</v>
      </c>
      <c r="I54" s="28"/>
      <c r="J54" s="29">
        <f>VLOOKUP(C54,Aggregate!AR:AZ,9,FALSE())</f>
        <v>16.094213803921576</v>
      </c>
      <c r="K54" s="30"/>
      <c r="L54" s="25">
        <f>IFERROR(VLOOKUP(Table10[[#This Row],[NAME]],Aggregate!$P:$AA,11,FALSE()),"")</f>
        <v>8</v>
      </c>
      <c r="M54" s="26" t="str">
        <f>Aggregate!P45</f>
        <v>Tyler Allgeier</v>
      </c>
      <c r="N54" s="26" t="str">
        <f>VLOOKUP(Table10[[#This Row],[NAME]],Aggregate!P:AA,4,FALSE())</f>
        <v>ARI/14</v>
      </c>
      <c r="O54" s="25">
        <f>IFERROR(VLOOKUP(Table10[[#This Row],[NAME]],Aggregate!$P:$AA,8,FALSE()),"")</f>
        <v>77.026955176470565</v>
      </c>
      <c r="P54" s="25">
        <f>IF(Scoring!$K$6="Auction",IFERROR(VLOOKUP(Table10[[#This Row],[NAME]],Aggregate!$P:$AA,10,FALSE()),""),IFERROR(VLOOKUP(Table10[[#This Row],[NAME]],Aggregate!$P:$AA,9,FALSE()),""))</f>
        <v>-37.127522764705901</v>
      </c>
      <c r="Q54" s="27">
        <f>SUMIFS(T55:$T$84,S55:$S$84,"&lt;&gt;x",S55:$S$84,"&lt;&gt;o",T55:$T$84,"&gt;0")/Aggregate!$X$1</f>
        <v>0</v>
      </c>
      <c r="R54" s="25" t="str">
        <f>VLOOKUP(Table10[[#This Row],[NAME]],ECR!C:E,3,FALSE)</f>
        <v>RB43</v>
      </c>
      <c r="S54" s="28"/>
      <c r="T54" s="29">
        <f>VLOOKUP(M54,Aggregate!P:X,9,FALSE())</f>
        <v>-37.127522764705901</v>
      </c>
      <c r="U54" s="31"/>
      <c r="V54" s="25">
        <f>IFERROR(VLOOKUP(Table11[[#This Row],[NAME]],Aggregate!$AD:$AO,11,FALSE()),"")</f>
        <v>6</v>
      </c>
      <c r="W54" s="26" t="str">
        <f>Aggregate!AD54</f>
        <v>Xavier Worthy</v>
      </c>
      <c r="X54" s="26" t="str">
        <f>VLOOKUP(Table11[[#This Row],[NAME]],Aggregate!AD:AO,4,FALSE())</f>
        <v>KC/5</v>
      </c>
      <c r="Y54" s="25">
        <f>IFERROR(VLOOKUP(Table11[[#This Row],[NAME]],Aggregate!$AD:$AO,8,FALSE()),"")</f>
        <v>107.10545296599652</v>
      </c>
      <c r="Z54" s="25">
        <f>IF(Scoring!$K$6="Auction",IFERROR(VLOOKUP(Table11[[#This Row],[NAME]],Aggregate!$AD:$AO,10,FALSE()),""),IFERROR(VLOOKUP(Table11[[#This Row],[NAME]],Aggregate!$AD:$AO,9,FALSE()),""))</f>
        <v>-7.5984450235790604</v>
      </c>
      <c r="AA54" s="27">
        <f>SUMIFS(AD55:$AD$84,AC55:$AC$84,"&lt;&gt;x",AC55:$AC$84,"&lt;&gt;o",AD55:$AD$84,"&gt;0")/Aggregate!$AL$1</f>
        <v>0</v>
      </c>
      <c r="AB54" s="25" t="str">
        <f>VLOOKUP(Table11[[#This Row],[NAME]],ECR!C:E,3,FALSE)</f>
        <v>WR52</v>
      </c>
      <c r="AC54" s="28"/>
      <c r="AD54" s="29">
        <f>VLOOKUP(W54,Aggregate!AD:AL,9,FALSE())</f>
        <v>-7.5984450235790604</v>
      </c>
      <c r="AF54" s="19"/>
      <c r="AG54" s="19"/>
    </row>
    <row r="55" spans="2:33" ht="14.25" customHeight="1" x14ac:dyDescent="0.3">
      <c r="B55" s="25">
        <f>IFERROR(VLOOKUP(Table12[[#This Row],[NAME]],Aggregate!$AR:$BC,11,FALSE()),"")</f>
        <v>3</v>
      </c>
      <c r="C55" s="26" t="str">
        <f>Aggregate!AR7</f>
        <v>Tucker Kraft</v>
      </c>
      <c r="D55" s="26" t="str">
        <f>VLOOKUP(Table12[[#This Row],[NAME]],Aggregate!AR:BD,4,FALSE())</f>
        <v>GB/11</v>
      </c>
      <c r="E55" s="25">
        <f>IFERROR(VLOOKUP($C55,Aggregate!$AR:$BC,8,FALSE()),"")</f>
        <v>124.0043118039216</v>
      </c>
      <c r="F55" s="25">
        <f>IF(Scoring!$K$6="Auction",IFERROR(VLOOKUP($C55,Aggregate!$AR:$BC,10,FALSE()),""),IFERROR(VLOOKUP($C55,Aggregate!$AR:$BC,9,FALSE()),""))</f>
        <v>16.089465607843152</v>
      </c>
      <c r="G55" s="27">
        <f>SUMIFS(J56:$J$84,I56:$I$84,"&lt;&gt;x",I56:$I$84,"&lt;&gt;o",J56:$J$84,"&gt;0")/Aggregate!$AZ$1</f>
        <v>0.15809831345283734</v>
      </c>
      <c r="H55" s="25" t="str">
        <f>VLOOKUP(Table12[[#This Row],[NAME]],ECR!C:E,3,FALSE)</f>
        <v>TE5</v>
      </c>
      <c r="I55" s="28"/>
      <c r="J55" s="29">
        <f>VLOOKUP(C55,Aggregate!AR:AZ,9,FALSE())</f>
        <v>16.089465607843152</v>
      </c>
      <c r="K55" s="30"/>
      <c r="L55" s="25">
        <f>IFERROR(VLOOKUP(Table10[[#This Row],[NAME]],Aggregate!$P:$AA,11,FALSE()),"")</f>
        <v>8</v>
      </c>
      <c r="M55" s="26" t="str">
        <f>Aggregate!P53</f>
        <v>Dylan Sampson</v>
      </c>
      <c r="N55" s="26" t="str">
        <f>VLOOKUP(Table10[[#This Row],[NAME]],Aggregate!P:AA,4,FALSE())</f>
        <v>CLE/11</v>
      </c>
      <c r="O55" s="25">
        <f>IFERROR(VLOOKUP(Table10[[#This Row],[NAME]],Aggregate!$P:$AA,8,FALSE()),"")</f>
        <v>71.147932352941169</v>
      </c>
      <c r="P55" s="25">
        <f>IF(Scoring!$K$6="Auction",IFERROR(VLOOKUP(Table10[[#This Row],[NAME]],Aggregate!$P:$AA,10,FALSE()),""),IFERROR(VLOOKUP(Table10[[#This Row],[NAME]],Aggregate!$P:$AA,9,FALSE()),""))</f>
        <v>-43.006545588235298</v>
      </c>
      <c r="Q55" s="27">
        <f>SUMIFS(T56:$T$84,S56:$S$84,"&lt;&gt;x",S56:$S$84,"&lt;&gt;o",T56:$T$84,"&gt;0")/Aggregate!$X$1</f>
        <v>0</v>
      </c>
      <c r="R55" s="25" t="str">
        <f>VLOOKUP(Table10[[#This Row],[NAME]],ECR!C:E,3,FALSE)</f>
        <v>RB51</v>
      </c>
      <c r="S55" s="28"/>
      <c r="T55" s="29">
        <f>VLOOKUP(M55,Aggregate!P:X,9,FALSE())</f>
        <v>-43.006545588235298</v>
      </c>
      <c r="U55" s="31"/>
      <c r="V55" s="25">
        <f>IFERROR(VLOOKUP(Table11[[#This Row],[NAME]],Aggregate!$AD:$AO,11,FALSE()),"")</f>
        <v>6</v>
      </c>
      <c r="W55" s="26" t="str">
        <f>Aggregate!AD52</f>
        <v>Matthew Golden</v>
      </c>
      <c r="X55" s="26" t="str">
        <f>VLOOKUP(Table11[[#This Row],[NAME]],Aggregate!AD:AO,4,FALSE())</f>
        <v>GB/11</v>
      </c>
      <c r="Y55" s="25">
        <f>IFERROR(VLOOKUP(Table11[[#This Row],[NAME]],Aggregate!$AD:$AO,8,FALSE()),"")</f>
        <v>106.90559568131049</v>
      </c>
      <c r="Z55" s="25">
        <f>IF(Scoring!$K$6="Auction",IFERROR(VLOOKUP(Table11[[#This Row],[NAME]],Aggregate!$AD:$AO,10,FALSE()),""),IFERROR(VLOOKUP(Table11[[#This Row],[NAME]],Aggregate!$AD:$AO,9,FALSE()),""))</f>
        <v>-7.7983023082650931</v>
      </c>
      <c r="AA55" s="27">
        <f>SUMIFS(AD56:$AD$84,AC56:$AC$84,"&lt;&gt;x",AC56:$AC$84,"&lt;&gt;o",AD56:$AD$84,"&gt;0")/Aggregate!$AL$1</f>
        <v>0</v>
      </c>
      <c r="AB55" s="25" t="str">
        <f>VLOOKUP(Table11[[#This Row],[NAME]],ECR!C:E,3,FALSE)</f>
        <v>WR50</v>
      </c>
      <c r="AC55" s="28"/>
      <c r="AD55" s="29">
        <f>VLOOKUP(W55,Aggregate!AD:AL,9,FALSE())</f>
        <v>-7.7983023082650931</v>
      </c>
      <c r="AF55" s="19"/>
      <c r="AG55" s="19"/>
    </row>
    <row r="56" spans="2:33" ht="14.25" customHeight="1" x14ac:dyDescent="0.3">
      <c r="B56" s="25">
        <f>IFERROR(VLOOKUP(Table12[[#This Row],[NAME]],Aggregate!$AR:$BC,11,FALSE()),"")</f>
        <v>3</v>
      </c>
      <c r="C56" s="26" t="str">
        <f>Aggregate!AR11</f>
        <v>George Kittle</v>
      </c>
      <c r="D56" s="26" t="str">
        <f>VLOOKUP(Table12[[#This Row],[NAME]],Aggregate!AR:BD,4,FALSE())</f>
        <v>SF/8</v>
      </c>
      <c r="E56" s="25">
        <f>IFERROR(VLOOKUP($C56,Aggregate!$AR:$BC,8,FALSE()),"")</f>
        <v>123.71520850980393</v>
      </c>
      <c r="F56" s="25">
        <f>IF(Scoring!$K$6="Auction",IFERROR(VLOOKUP($C56,Aggregate!$AR:$BC,10,FALSE()),""),IFERROR(VLOOKUP($C56,Aggregate!$AR:$BC,9,FALSE()),""))</f>
        <v>15.800362313725486</v>
      </c>
      <c r="G56" s="27">
        <f>SUMIFS(J57:$J$84,I57:$I$84,"&lt;&gt;x",I57:$I$84,"&lt;&gt;o",J57:$J$84,"&gt;0")/Aggregate!$AZ$1</f>
        <v>0.10496537350351327</v>
      </c>
      <c r="H56" s="25" t="str">
        <f>VLOOKUP(Table12[[#This Row],[NAME]],ECR!C:E,3,FALSE)</f>
        <v>TE9</v>
      </c>
      <c r="I56" s="28"/>
      <c r="J56" s="29">
        <f>VLOOKUP(C56,Aggregate!AR:AZ,9,FALSE())</f>
        <v>15.800362313725486</v>
      </c>
      <c r="K56" s="30"/>
      <c r="L56" s="25">
        <f>IFERROR(VLOOKUP(Table10[[#This Row],[NAME]],Aggregate!$P:$AA,11,FALSE()),"")</f>
        <v>8</v>
      </c>
      <c r="M56" s="26" t="str">
        <f>Aggregate!P55</f>
        <v>Alvin Kamara</v>
      </c>
      <c r="N56" s="26" t="str">
        <f>VLOOKUP(Table10[[#This Row],[NAME]],Aggregate!P:AA,4,FALSE())</f>
        <v>NO/8</v>
      </c>
      <c r="O56" s="25">
        <f>IFERROR(VLOOKUP(Table10[[#This Row],[NAME]],Aggregate!$P:$AA,8,FALSE()),"")</f>
        <v>71.039657254901954</v>
      </c>
      <c r="P56" s="25">
        <f>IF(Scoring!$K$6="Auction",IFERROR(VLOOKUP(Table10[[#This Row],[NAME]],Aggregate!$P:$AA,10,FALSE()),""),IFERROR(VLOOKUP(Table10[[#This Row],[NAME]],Aggregate!$P:$AA,9,FALSE()),""))</f>
        <v>-43.114820686274513</v>
      </c>
      <c r="Q56" s="27">
        <f>SUMIFS(T57:$T$84,S57:$S$84,"&lt;&gt;x",S57:$S$84,"&lt;&gt;o",T57:$T$84,"&gt;0")/Aggregate!$X$1</f>
        <v>0</v>
      </c>
      <c r="R56" s="25" t="str">
        <f>VLOOKUP(Table10[[#This Row],[NAME]],ECR!C:E,3,FALSE)</f>
        <v>RB53</v>
      </c>
      <c r="S56" s="28"/>
      <c r="T56" s="29">
        <f>VLOOKUP(M56,Aggregate!P:X,9,FALSE())</f>
        <v>-43.114820686274513</v>
      </c>
      <c r="U56" s="31"/>
      <c r="V56" s="25">
        <f>IFERROR(VLOOKUP(Table11[[#This Row],[NAME]],Aggregate!$AD:$AO,11,FALSE()),"")</f>
        <v>6</v>
      </c>
      <c r="W56" s="26" t="str">
        <f>Aggregate!AD53</f>
        <v>Romeo Doubs</v>
      </c>
      <c r="X56" s="26" t="str">
        <f>VLOOKUP(Table11[[#This Row],[NAME]],Aggregate!AD:AO,4,FALSE())</f>
        <v>NE/11</v>
      </c>
      <c r="Y56" s="25">
        <f>IFERROR(VLOOKUP(Table11[[#This Row],[NAME]],Aggregate!$AD:$AO,8,FALSE()),"")</f>
        <v>104.99062764954084</v>
      </c>
      <c r="Z56" s="25">
        <f>IF(Scoring!$K$6="Auction",IFERROR(VLOOKUP(Table11[[#This Row],[NAME]],Aggregate!$AD:$AO,10,FALSE()),""),IFERROR(VLOOKUP(Table11[[#This Row],[NAME]],Aggregate!$AD:$AO,9,FALSE()),""))</f>
        <v>-9.7132703400347395</v>
      </c>
      <c r="AA56" s="27">
        <f>SUMIFS(AD57:$AD$84,AC57:$AC$84,"&lt;&gt;x",AC57:$AC$84,"&lt;&gt;o",AD57:$AD$84,"&gt;0")/Aggregate!$AL$1</f>
        <v>0</v>
      </c>
      <c r="AB56" s="25" t="str">
        <f>VLOOKUP(Table11[[#This Row],[NAME]],ECR!C:E,3,FALSE)</f>
        <v>WR51</v>
      </c>
      <c r="AC56" s="28"/>
      <c r="AD56" s="29">
        <f>VLOOKUP(W56,Aggregate!AD:AL,9,FALSE())</f>
        <v>-9.7132703400347395</v>
      </c>
      <c r="AF56" s="19"/>
      <c r="AG56" s="19"/>
    </row>
    <row r="57" spans="2:33" ht="14.25" customHeight="1" x14ac:dyDescent="0.3">
      <c r="B57" s="25">
        <f>IFERROR(VLOOKUP(Table12[[#This Row],[NAME]],Aggregate!$AR:$BC,11,FALSE()),"")</f>
        <v>3</v>
      </c>
      <c r="C57" s="26" t="str">
        <f>Aggregate!AR12</f>
        <v>Travis Kelce</v>
      </c>
      <c r="D57" s="26" t="str">
        <f>VLOOKUP(Table12[[#This Row],[NAME]],Aggregate!AR:BD,4,FALSE())</f>
        <v>KC/5</v>
      </c>
      <c r="E57" s="25">
        <f>IFERROR(VLOOKUP($C57,Aggregate!$AR:$BC,8,FALSE()),"")</f>
        <v>120.13361960784316</v>
      </c>
      <c r="F57" s="25">
        <f>IF(Scoring!$K$6="Auction",IFERROR(VLOOKUP($C57,Aggregate!$AR:$BC,10,FALSE()),""),IFERROR(VLOOKUP($C57,Aggregate!$AR:$BC,9,FALSE()),""))</f>
        <v>12.218773411764715</v>
      </c>
      <c r="G57" s="27">
        <f>SUMIFS(J58:$J$84,I58:$I$84,"&lt;&gt;x",I58:$I$84,"&lt;&gt;o",J58:$J$84,"&gt;0")/Aggregate!$AZ$1</f>
        <v>6.3876483195110204E-2</v>
      </c>
      <c r="H57" s="25" t="str">
        <f>VLOOKUP(Table12[[#This Row],[NAME]],ECR!C:E,3,FALSE)</f>
        <v>TE10</v>
      </c>
      <c r="I57" s="28"/>
      <c r="J57" s="29">
        <f>VLOOKUP(C57,Aggregate!AR:AZ,9,FALSE())</f>
        <v>12.218773411764715</v>
      </c>
      <c r="K57" s="30"/>
      <c r="L57" s="25">
        <f>IFERROR(VLOOKUP(Table10[[#This Row],[NAME]],Aggregate!$P:$AA,11,FALSE()),"")</f>
        <v>8</v>
      </c>
      <c r="M57" s="26" t="str">
        <f>Aggregate!P57</f>
        <v>Emmett Johnson</v>
      </c>
      <c r="N57" s="26" t="str">
        <f>VLOOKUP(Table10[[#This Row],[NAME]],Aggregate!P:AA,4,FALSE())</f>
        <v>KC/5</v>
      </c>
      <c r="O57" s="25">
        <f>IFERROR(VLOOKUP(Table10[[#This Row],[NAME]],Aggregate!$P:$AA,8,FALSE()),"")</f>
        <v>69.745785098039221</v>
      </c>
      <c r="P57" s="25">
        <f>IF(Scoring!$K$6="Auction",IFERROR(VLOOKUP(Table10[[#This Row],[NAME]],Aggregate!$P:$AA,10,FALSE()),""),IFERROR(VLOOKUP(Table10[[#This Row],[NAME]],Aggregate!$P:$AA,9,FALSE()),""))</f>
        <v>-44.408692843137246</v>
      </c>
      <c r="Q57" s="27">
        <f>SUMIFS(T58:$T$84,S58:$S$84,"&lt;&gt;x",S58:$S$84,"&lt;&gt;o",T58:$T$84,"&gt;0")/Aggregate!$X$1</f>
        <v>0</v>
      </c>
      <c r="R57" s="25" t="str">
        <f>VLOOKUP(Table10[[#This Row],[NAME]],ECR!C:E,3,FALSE)</f>
        <v>RB55</v>
      </c>
      <c r="S57" s="28"/>
      <c r="T57" s="29">
        <f>VLOOKUP(M57,Aggregate!P:X,9,FALSE())</f>
        <v>-44.408692843137246</v>
      </c>
      <c r="U57" s="31"/>
      <c r="V57" s="25">
        <f>IFERROR(VLOOKUP(Table11[[#This Row],[NAME]],Aggregate!$AD:$AO,11,FALSE()),"")</f>
        <v>6</v>
      </c>
      <c r="W57" s="26" t="str">
        <f>Aggregate!AD43</f>
        <v>Josh Downs</v>
      </c>
      <c r="X57" s="26" t="str">
        <f>VLOOKUP(Table11[[#This Row],[NAME]],Aggregate!AD:AO,4,FALSE())</f>
        <v>IND/13</v>
      </c>
      <c r="Y57" s="25">
        <f>IFERROR(VLOOKUP(Table11[[#This Row],[NAME]],Aggregate!$AD:$AO,8,FALSE()),"")</f>
        <v>104.32937081161579</v>
      </c>
      <c r="Z57" s="25">
        <f>IF(Scoring!$K$6="Auction",IFERROR(VLOOKUP(Table11[[#This Row],[NAME]],Aggregate!$AD:$AO,10,FALSE()),""),IFERROR(VLOOKUP(Table11[[#This Row],[NAME]],Aggregate!$AD:$AO,9,FALSE()),""))</f>
        <v>-10.374527177959791</v>
      </c>
      <c r="AA57" s="27">
        <f>SUMIFS(AD58:$AD$84,AC58:$AC$84,"&lt;&gt;x",AC58:$AC$84,"&lt;&gt;o",AD58:$AD$84,"&gt;0")/Aggregate!$AL$1</f>
        <v>0</v>
      </c>
      <c r="AB57" s="25" t="str">
        <f>VLOOKUP(Table11[[#This Row],[NAME]],ECR!C:E,3,FALSE)</f>
        <v>WR41</v>
      </c>
      <c r="AC57" s="28"/>
      <c r="AD57" s="29">
        <f>VLOOKUP(W57,Aggregate!AD:AL,9,FALSE())</f>
        <v>-10.374527177959791</v>
      </c>
      <c r="AF57" s="19"/>
      <c r="AG57" s="19"/>
    </row>
    <row r="58" spans="2:33" ht="14.25" customHeight="1" x14ac:dyDescent="0.3">
      <c r="B58" s="25">
        <f>IFERROR(VLOOKUP(Table12[[#This Row],[NAME]],Aggregate!$AR:$BC,11,FALSE()),"")</f>
        <v>4</v>
      </c>
      <c r="C58" s="26" t="str">
        <f>Aggregate!AR15</f>
        <v>Dallas Goedert</v>
      </c>
      <c r="D58" s="26" t="str">
        <f>VLOOKUP(Table12[[#This Row],[NAME]],Aggregate!AR:BD,4,FALSE())</f>
        <v>PHI/10</v>
      </c>
      <c r="E58" s="25">
        <f>IFERROR(VLOOKUP($C58,Aggregate!$AR:$BC,8,FALSE()),"")</f>
        <v>117.93726080392157</v>
      </c>
      <c r="F58" s="25">
        <f>IF(Scoring!$K$6="Auction",IFERROR(VLOOKUP($C58,Aggregate!$AR:$BC,10,FALSE()),""),IFERROR(VLOOKUP($C58,Aggregate!$AR:$BC,9,FALSE()),""))</f>
        <v>10.022414607843132</v>
      </c>
      <c r="G58" s="27">
        <f>SUMIFS(J59:$J$84,I59:$I$84,"&lt;&gt;x",I59:$I$84,"&lt;&gt;o",J59:$J$84,"&gt;0")/Aggregate!$AZ$1</f>
        <v>3.0173436205917632E-2</v>
      </c>
      <c r="H58" s="25" t="str">
        <f>VLOOKUP(Table12[[#This Row],[NAME]],ECR!C:E,3,FALSE)</f>
        <v>TE13</v>
      </c>
      <c r="I58" s="28"/>
      <c r="J58" s="29">
        <f>VLOOKUP(C58,Aggregate!AR:AZ,9,FALSE())</f>
        <v>10.022414607843132</v>
      </c>
      <c r="K58" s="30"/>
      <c r="L58" s="25">
        <f>IFERROR(VLOOKUP(Table10[[#This Row],[NAME]],Aggregate!$P:$AA,11,FALSE()),"")</f>
        <v>8</v>
      </c>
      <c r="M58" s="26" t="str">
        <f>Aggregate!P54</f>
        <v>Braelon Allen</v>
      </c>
      <c r="N58" s="26" t="str">
        <f>VLOOKUP(Table10[[#This Row],[NAME]],Aggregate!P:AA,4,FALSE())</f>
        <v>NYJ/13</v>
      </c>
      <c r="O58" s="25">
        <f>IFERROR(VLOOKUP(Table10[[#This Row],[NAME]],Aggregate!$P:$AA,8,FALSE()),"")</f>
        <v>69.299022627450981</v>
      </c>
      <c r="P58" s="25">
        <f>IF(Scoring!$K$6="Auction",IFERROR(VLOOKUP(Table10[[#This Row],[NAME]],Aggregate!$P:$AA,10,FALSE()),""),IFERROR(VLOOKUP(Table10[[#This Row],[NAME]],Aggregate!$P:$AA,9,FALSE()),""))</f>
        <v>-44.855455313725486</v>
      </c>
      <c r="Q58" s="27">
        <f>SUMIFS(T59:$T$84,S59:$S$84,"&lt;&gt;x",S59:$S$84,"&lt;&gt;o",T59:$T$84,"&gt;0")/Aggregate!$X$1</f>
        <v>0</v>
      </c>
      <c r="R58" s="25" t="str">
        <f>VLOOKUP(Table10[[#This Row],[NAME]],ECR!C:E,3,FALSE)</f>
        <v>RB52</v>
      </c>
      <c r="S58" s="28"/>
      <c r="T58" s="29">
        <f>VLOOKUP(M58,Aggregate!P:X,9,FALSE())</f>
        <v>-44.855455313725486</v>
      </c>
      <c r="U58" s="31"/>
      <c r="V58" s="25">
        <f>IFERROR(VLOOKUP(Table11[[#This Row],[NAME]],Aggregate!$AD:$AO,11,FALSE()),"")</f>
        <v>6</v>
      </c>
      <c r="W58" s="26" t="str">
        <f>Aggregate!AD57</f>
        <v>Deebo Samuel Sr.</v>
      </c>
      <c r="X58" s="26" t="str">
        <f>VLOOKUP(Table11[[#This Row],[NAME]],Aggregate!AD:AO,4,FALSE())</f>
        <v>SF/8</v>
      </c>
      <c r="Y58" s="25">
        <f>IFERROR(VLOOKUP(Table11[[#This Row],[NAME]],Aggregate!$AD:$AO,8,FALSE()),"")</f>
        <v>103.45386696450733</v>
      </c>
      <c r="Z58" s="25">
        <f>IF(Scoring!$K$6="Auction",IFERROR(VLOOKUP(Table11[[#This Row],[NAME]],Aggregate!$AD:$AO,10,FALSE()),""),IFERROR(VLOOKUP(Table11[[#This Row],[NAME]],Aggregate!$AD:$AO,9,FALSE()),""))</f>
        <v>-11.250031025068253</v>
      </c>
      <c r="AA58" s="27">
        <f>SUMIFS(AD59:$AD$84,AC59:$AC$84,"&lt;&gt;x",AC59:$AC$84,"&lt;&gt;o",AD59:$AD$84,"&gt;0")/Aggregate!$AL$1</f>
        <v>0</v>
      </c>
      <c r="AB58" s="25" t="str">
        <f>VLOOKUP(Table11[[#This Row],[NAME]],ECR!C:E,3,FALSE)</f>
        <v>WR55</v>
      </c>
      <c r="AC58" s="28"/>
      <c r="AD58" s="29">
        <f>VLOOKUP(W58,Aggregate!AD:AL,9,FALSE())</f>
        <v>-11.250031025068253</v>
      </c>
      <c r="AF58" s="19"/>
      <c r="AG58" s="19"/>
    </row>
    <row r="59" spans="2:33" ht="14.25" customHeight="1" x14ac:dyDescent="0.3">
      <c r="B59" s="25">
        <f>IFERROR(VLOOKUP(Table12[[#This Row],[NAME]],Aggregate!$AR:$BC,11,FALSE()),"")</f>
        <v>4</v>
      </c>
      <c r="C59" s="26" t="str">
        <f>Aggregate!AR13</f>
        <v>Dalton Kincaid</v>
      </c>
      <c r="D59" s="26" t="str">
        <f>VLOOKUP(Table12[[#This Row],[NAME]],Aggregate!AR:BD,4,FALSE())</f>
        <v>BUF/7</v>
      </c>
      <c r="E59" s="25">
        <f>IFERROR(VLOOKUP($C59,Aggregate!$AR:$BC,8,FALSE()),"")</f>
        <v>112.57359744117649</v>
      </c>
      <c r="F59" s="25">
        <f>IF(Scoring!$K$6="Auction",IFERROR(VLOOKUP($C59,Aggregate!$AR:$BC,10,FALSE()),""),IFERROR(VLOOKUP($C59,Aggregate!$AR:$BC,9,FALSE()),""))</f>
        <v>4.6587512450980455</v>
      </c>
      <c r="G59" s="27">
        <f>SUMIFS(J60:$J$84,I60:$I$84,"&lt;&gt;x",I60:$I$84,"&lt;&gt;o",J60:$J$84,"&gt;0")/Aggregate!$AZ$1</f>
        <v>1.4507140381194319E-2</v>
      </c>
      <c r="H59" s="25" t="str">
        <f>VLOOKUP(Table12[[#This Row],[NAME]],ECR!C:E,3,FALSE)</f>
        <v>TE11</v>
      </c>
      <c r="I59" s="28"/>
      <c r="J59" s="29">
        <f>VLOOKUP(C59,Aggregate!AR:AZ,9,FALSE())</f>
        <v>4.6587512450980455</v>
      </c>
      <c r="K59" s="30"/>
      <c r="L59" s="25">
        <f>IFERROR(VLOOKUP(Table10[[#This Row],[NAME]],Aggregate!$P:$AA,11,FALSE()),"")</f>
        <v>9</v>
      </c>
      <c r="M59" s="26" t="str">
        <f>Aggregate!P71</f>
        <v>Justice Hill</v>
      </c>
      <c r="N59" s="26" t="str">
        <f>VLOOKUP(Table10[[#This Row],[NAME]],Aggregate!P:AA,4,FALSE())</f>
        <v>BAL/13</v>
      </c>
      <c r="O59" s="25">
        <f>IFERROR(VLOOKUP(Table10[[#This Row],[NAME]],Aggregate!$P:$AA,8,FALSE()),"")</f>
        <v>67.843431372549006</v>
      </c>
      <c r="P59" s="25">
        <f>IF(Scoring!$K$6="Auction",IFERROR(VLOOKUP(Table10[[#This Row],[NAME]],Aggregate!$P:$AA,10,FALSE()),""),IFERROR(VLOOKUP(Table10[[#This Row],[NAME]],Aggregate!$P:$AA,9,FALSE()),""))</f>
        <v>-46.311046568627461</v>
      </c>
      <c r="Q59" s="27">
        <f>SUMIFS(T60:$T$84,S60:$S$84,"&lt;&gt;x",S60:$S$84,"&lt;&gt;o",T60:$T$84,"&gt;0")/Aggregate!$X$1</f>
        <v>0</v>
      </c>
      <c r="R59" s="25" t="str">
        <f>VLOOKUP(Table10[[#This Row],[NAME]],ECR!C:E,3,FALSE)</f>
        <v>RB69</v>
      </c>
      <c r="S59" s="28"/>
      <c r="T59" s="29">
        <f>VLOOKUP(M59,Aggregate!P:X,9,FALSE())</f>
        <v>-46.311046568627461</v>
      </c>
      <c r="U59" s="31"/>
      <c r="V59" s="25">
        <f>IFERROR(VLOOKUP(Table11[[#This Row],[NAME]],Aggregate!$AD:$AO,11,FALSE()),"")</f>
        <v>6</v>
      </c>
      <c r="W59" s="26" t="str">
        <f>Aggregate!AD59</f>
        <v>Rashid Shaheed</v>
      </c>
      <c r="X59" s="26" t="str">
        <f>VLOOKUP(Table11[[#This Row],[NAME]],Aggregate!AD:AO,4,FALSE())</f>
        <v>SEA/11</v>
      </c>
      <c r="Y59" s="25">
        <f>IFERROR(VLOOKUP(Table11[[#This Row],[NAME]],Aggregate!$AD:$AO,8,FALSE()),"")</f>
        <v>101.26059444030778</v>
      </c>
      <c r="Z59" s="25">
        <f>IF(Scoring!$K$6="Auction",IFERROR(VLOOKUP(Table11[[#This Row],[NAME]],Aggregate!$AD:$AO,10,FALSE()),""),IFERROR(VLOOKUP(Table11[[#This Row],[NAME]],Aggregate!$AD:$AO,9,FALSE()),""))</f>
        <v>-13.443303549267796</v>
      </c>
      <c r="AA59" s="27">
        <f>SUMIFS(AD60:$AD$84,AC60:$AC$84,"&lt;&gt;x",AC60:$AC$84,"&lt;&gt;o",AD60:$AD$84,"&gt;0")/Aggregate!$AL$1</f>
        <v>0</v>
      </c>
      <c r="AB59" s="25" t="str">
        <f>VLOOKUP(Table11[[#This Row],[NAME]],ECR!C:E,3,FALSE)</f>
        <v>WR57</v>
      </c>
      <c r="AC59" s="28"/>
      <c r="AD59" s="29">
        <f>VLOOKUP(W59,Aggregate!AD:AL,9,FALSE())</f>
        <v>-13.443303549267796</v>
      </c>
      <c r="AF59" s="19"/>
      <c r="AG59" s="19"/>
    </row>
    <row r="60" spans="2:33" ht="14.25" customHeight="1" x14ac:dyDescent="0.3">
      <c r="B60" s="25">
        <f>IFERROR(VLOOKUP(Table12[[#This Row],[NAME]],Aggregate!$AR:$BC,11,FALSE()),"")</f>
        <v>4</v>
      </c>
      <c r="C60" s="26" t="str">
        <f>Aggregate!AR14</f>
        <v>Isaiah Likely</v>
      </c>
      <c r="D60" s="26" t="str">
        <f>VLOOKUP(Table12[[#This Row],[NAME]],Aggregate!AR:BD,4,FALSE())</f>
        <v>NYG/8</v>
      </c>
      <c r="E60" s="25">
        <f>IFERROR(VLOOKUP($C60,Aggregate!$AR:$BC,8,FALSE()),"")</f>
        <v>112.22889458823529</v>
      </c>
      <c r="F60" s="25">
        <f>IF(Scoring!$K$6="Auction",IFERROR(VLOOKUP($C60,Aggregate!$AR:$BC,10,FALSE()),""),IFERROR(VLOOKUP($C60,Aggregate!$AR:$BC,9,FALSE()),""))</f>
        <v>4.3140483921568489</v>
      </c>
      <c r="G60" s="27">
        <f>SUMIFS(J61:$J$84,I61:$I$84,"&lt;&gt;x",I61:$I$84,"&lt;&gt;o",J61:$J$84,"&gt;0")/Aggregate!$AZ$1</f>
        <v>0</v>
      </c>
      <c r="H60" s="25" t="str">
        <f>VLOOKUP(Table12[[#This Row],[NAME]],ECR!C:E,3,FALSE)</f>
        <v>TE12</v>
      </c>
      <c r="I60" s="28"/>
      <c r="J60" s="29">
        <f>VLOOKUP(C60,Aggregate!AR:AZ,9,FALSE())</f>
        <v>4.3140483921568489</v>
      </c>
      <c r="K60" s="30"/>
      <c r="L60" s="25">
        <f>IFERROR(VLOOKUP(Table10[[#This Row],[NAME]],Aggregate!$P:$AA,11,FALSE()),"")</f>
        <v>9</v>
      </c>
      <c r="M60" s="26" t="str">
        <f>Aggregate!P52</f>
        <v>Tank Bigsby</v>
      </c>
      <c r="N60" s="26" t="str">
        <f>VLOOKUP(Table10[[#This Row],[NAME]],Aggregate!P:AA,4,FALSE())</f>
        <v>PHI/10</v>
      </c>
      <c r="O60" s="25">
        <f>IFERROR(VLOOKUP(Table10[[#This Row],[NAME]],Aggregate!$P:$AA,8,FALSE()),"")</f>
        <v>66.037175490196077</v>
      </c>
      <c r="P60" s="25">
        <f>IF(Scoring!$K$6="Auction",IFERROR(VLOOKUP(Table10[[#This Row],[NAME]],Aggregate!$P:$AA,10,FALSE()),""),IFERROR(VLOOKUP(Table10[[#This Row],[NAME]],Aggregate!$P:$AA,9,FALSE()),""))</f>
        <v>-48.117302450980389</v>
      </c>
      <c r="Q60" s="27">
        <f>SUMIFS(T61:$T$84,S61:$S$84,"&lt;&gt;x",S61:$S$84,"&lt;&gt;o",T61:$T$84,"&gt;0")/Aggregate!$X$1</f>
        <v>0</v>
      </c>
      <c r="R60" s="25" t="str">
        <f>VLOOKUP(Table10[[#This Row],[NAME]],ECR!C:E,3,FALSE)</f>
        <v>RB50</v>
      </c>
      <c r="S60" s="28"/>
      <c r="T60" s="29">
        <f>VLOOKUP(M60,Aggregate!P:X,9,FALSE())</f>
        <v>-48.117302450980389</v>
      </c>
      <c r="U60" s="31"/>
      <c r="V60" s="25">
        <f>IFERROR(VLOOKUP(Table11[[#This Row],[NAME]],Aggregate!$AD:$AO,11,FALSE()),"")</f>
        <v>6</v>
      </c>
      <c r="W60" s="26" t="str">
        <f>Aggregate!AD56</f>
        <v>Khalil Shakir</v>
      </c>
      <c r="X60" s="26" t="str">
        <f>VLOOKUP(Table11[[#This Row],[NAME]],Aggregate!AD:AO,4,FALSE())</f>
        <v>BUF/7</v>
      </c>
      <c r="Y60" s="25">
        <f>IFERROR(VLOOKUP(Table11[[#This Row],[NAME]],Aggregate!$AD:$AO,8,FALSE()),"")</f>
        <v>101.16517870439316</v>
      </c>
      <c r="Z60" s="25">
        <f>IF(Scoring!$K$6="Auction",IFERROR(VLOOKUP(Table11[[#This Row],[NAME]],Aggregate!$AD:$AO,10,FALSE()),""),IFERROR(VLOOKUP(Table11[[#This Row],[NAME]],Aggregate!$AD:$AO,9,FALSE()),""))</f>
        <v>-13.538719285182424</v>
      </c>
      <c r="AA60" s="27">
        <f>SUMIFS(AD61:$AD$84,AC61:$AC$84,"&lt;&gt;x",AC61:$AC$84,"&lt;&gt;o",AD61:$AD$84,"&gt;0")/Aggregate!$AL$1</f>
        <v>0</v>
      </c>
      <c r="AB60" s="25" t="str">
        <f>VLOOKUP(Table11[[#This Row],[NAME]],ECR!C:E,3,FALSE)</f>
        <v>WR54</v>
      </c>
      <c r="AC60" s="28"/>
      <c r="AD60" s="29">
        <f>VLOOKUP(W60,Aggregate!AD:AL,9,FALSE())</f>
        <v>-13.538719285182424</v>
      </c>
      <c r="AF60" s="19"/>
      <c r="AG60" s="19"/>
    </row>
    <row r="61" spans="2:33" ht="14.25" customHeight="1" x14ac:dyDescent="0.3">
      <c r="B61" s="25">
        <f>IFERROR(VLOOKUP(Table12[[#This Row],[NAME]],Aggregate!$AR:$BC,11,FALSE()),"")</f>
        <v>4</v>
      </c>
      <c r="C61" s="26" t="str">
        <f>Aggregate!AR18</f>
        <v>Mark Andrews</v>
      </c>
      <c r="D61" s="26" t="str">
        <f>VLOOKUP(Table12[[#This Row],[NAME]],Aggregate!AR:BD,4,FALSE())</f>
        <v>BAL/13</v>
      </c>
      <c r="E61" s="25">
        <f>IFERROR(VLOOKUP($C61,Aggregate!$AR:$BC,8,FALSE()),"")</f>
        <v>107.91484619607844</v>
      </c>
      <c r="F61" s="25">
        <f>IF(Scoring!$K$6="Auction",IFERROR(VLOOKUP($C61,Aggregate!$AR:$BC,10,FALSE()),""),IFERROR(VLOOKUP($C61,Aggregate!$AR:$BC,9,FALSE()),""))</f>
        <v>0</v>
      </c>
      <c r="G61" s="27">
        <f>SUMIFS(J62:$J$84,I62:$I$84,"&lt;&gt;x",I62:$I$84,"&lt;&gt;o",J62:$J$84,"&gt;0")/Aggregate!$AZ$1</f>
        <v>0</v>
      </c>
      <c r="H61" s="25" t="str">
        <f>VLOOKUP(Table12[[#This Row],[NAME]],ECR!C:E,3,FALSE)</f>
        <v>TE16</v>
      </c>
      <c r="I61" s="28"/>
      <c r="J61" s="29">
        <f>VLOOKUP(C61,Aggregate!AR:AZ,9,FALSE())</f>
        <v>0</v>
      </c>
      <c r="K61" s="30"/>
      <c r="L61" s="25">
        <f>IFERROR(VLOOKUP(Table10[[#This Row],[NAME]],Aggregate!$P:$AA,11,FALSE()),"")</f>
        <v>9</v>
      </c>
      <c r="M61" s="26" t="str">
        <f>Aggregate!P50</f>
        <v>Keaton Mitchell</v>
      </c>
      <c r="N61" s="26" t="str">
        <f>VLOOKUP(Table10[[#This Row],[NAME]],Aggregate!P:AA,4,FALSE())</f>
        <v>LAC/7</v>
      </c>
      <c r="O61" s="25">
        <f>IFERROR(VLOOKUP(Table10[[#This Row],[NAME]],Aggregate!$P:$AA,8,FALSE()),"")</f>
        <v>65.565691833333332</v>
      </c>
      <c r="P61" s="25">
        <f>IF(Scoring!$K$6="Auction",IFERROR(VLOOKUP(Table10[[#This Row],[NAME]],Aggregate!$P:$AA,10,FALSE()),""),IFERROR(VLOOKUP(Table10[[#This Row],[NAME]],Aggregate!$P:$AA,9,FALSE()),""))</f>
        <v>-48.588786107843134</v>
      </c>
      <c r="Q61" s="27">
        <f>SUMIFS(T62:$T$84,S62:$S$84,"&lt;&gt;x",S62:$S$84,"&lt;&gt;o",T62:$T$84,"&gt;0")/Aggregate!$X$1</f>
        <v>0</v>
      </c>
      <c r="R61" s="25" t="str">
        <f>VLOOKUP(Table10[[#This Row],[NAME]],ECR!C:E,3,FALSE)</f>
        <v>RB48</v>
      </c>
      <c r="S61" s="28"/>
      <c r="T61" s="29">
        <f>VLOOKUP(M61,Aggregate!P:X,9,FALSE())</f>
        <v>-48.588786107843134</v>
      </c>
      <c r="U61" s="31"/>
      <c r="V61" s="25">
        <f>IFERROR(VLOOKUP(Table11[[#This Row],[NAME]],Aggregate!$AD:$AO,11,FALSE()),"")</f>
        <v>6</v>
      </c>
      <c r="W61" s="26" t="str">
        <f>Aggregate!AD55</f>
        <v>Jalen Coker</v>
      </c>
      <c r="X61" s="26" t="str">
        <f>VLOOKUP(Table11[[#This Row],[NAME]],Aggregate!AD:AO,4,FALSE())</f>
        <v>CAR/5</v>
      </c>
      <c r="Y61" s="25">
        <f>IFERROR(VLOOKUP(Table11[[#This Row],[NAME]],Aggregate!$AD:$AO,8,FALSE()),"")</f>
        <v>100.36574956564904</v>
      </c>
      <c r="Z61" s="25">
        <f>IF(Scoring!$K$6="Auction",IFERROR(VLOOKUP(Table11[[#This Row],[NAME]],Aggregate!$AD:$AO,10,FALSE()),""),IFERROR(VLOOKUP(Table11[[#This Row],[NAME]],Aggregate!$AD:$AO,9,FALSE()),""))</f>
        <v>-14.33814842392654</v>
      </c>
      <c r="AA61" s="27">
        <f>SUMIFS(AD62:$AD$84,AC62:$AC$84,"&lt;&gt;x",AC62:$AC$84,"&lt;&gt;o",AD62:$AD$84,"&gt;0")/Aggregate!$AL$1</f>
        <v>0</v>
      </c>
      <c r="AB61" s="25" t="str">
        <f>VLOOKUP(Table11[[#This Row],[NAME]],ECR!C:E,3,FALSE)</f>
        <v>WR53</v>
      </c>
      <c r="AC61" s="28"/>
      <c r="AD61" s="29">
        <f>VLOOKUP(W61,Aggregate!AD:AL,9,FALSE())</f>
        <v>-14.33814842392654</v>
      </c>
      <c r="AF61" s="19"/>
      <c r="AG61" s="19"/>
    </row>
    <row r="62" spans="2:33" ht="14.25" customHeight="1" x14ac:dyDescent="0.3">
      <c r="B62" s="25">
        <f>IFERROR(VLOOKUP(Table12[[#This Row],[NAME]],Aggregate!$AR:$BC,11,FALSE()),"")</f>
        <v>4</v>
      </c>
      <c r="C62" s="26" t="str">
        <f>Aggregate!AR16</f>
        <v>Jake Ferguson</v>
      </c>
      <c r="D62" s="26" t="str">
        <f>VLOOKUP(Table12[[#This Row],[NAME]],Aggregate!AR:BD,4,FALSE())</f>
        <v>DAL/14</v>
      </c>
      <c r="E62" s="25">
        <f>IFERROR(VLOOKUP($C62,Aggregate!$AR:$BC,8,FALSE()),"")</f>
        <v>107.6132739019608</v>
      </c>
      <c r="F62" s="25">
        <f>IF(Scoring!$K$6="Auction",IFERROR(VLOOKUP($C62,Aggregate!$AR:$BC,10,FALSE()),""),IFERROR(VLOOKUP($C62,Aggregate!$AR:$BC,9,FALSE()),""))</f>
        <v>-0.30157229411764774</v>
      </c>
      <c r="G62" s="27">
        <f>SUMIFS(J63:$J$84,I63:$I$84,"&lt;&gt;x",I63:$I$84,"&lt;&gt;o",J63:$J$84,"&gt;0")/Aggregate!$AZ$1</f>
        <v>0</v>
      </c>
      <c r="H62" s="25" t="str">
        <f>VLOOKUP(Table12[[#This Row],[NAME]],ECR!C:E,3,FALSE)</f>
        <v>TE14</v>
      </c>
      <c r="I62" s="28"/>
      <c r="J62" s="29">
        <f>VLOOKUP(C62,Aggregate!AR:AZ,9,FALSE())</f>
        <v>-0.30157229411764774</v>
      </c>
      <c r="K62" s="30"/>
      <c r="L62" s="25">
        <f>IFERROR(VLOOKUP(Table10[[#This Row],[NAME]],Aggregate!$P:$AA,11,FALSE()),"")</f>
        <v>9</v>
      </c>
      <c r="M62" s="26" t="str">
        <f>Aggregate!P58</f>
        <v>Brian Robinson Jr.</v>
      </c>
      <c r="N62" s="26" t="str">
        <f>VLOOKUP(Table10[[#This Row],[NAME]],Aggregate!P:AA,4,FALSE())</f>
        <v>ATL/11</v>
      </c>
      <c r="O62" s="25">
        <f>IFERROR(VLOOKUP(Table10[[#This Row],[NAME]],Aggregate!$P:$AA,8,FALSE()),"")</f>
        <v>64.201993725490198</v>
      </c>
      <c r="P62" s="25">
        <f>IF(Scoring!$K$6="Auction",IFERROR(VLOOKUP(Table10[[#This Row],[NAME]],Aggregate!$P:$AA,10,FALSE()),""),IFERROR(VLOOKUP(Table10[[#This Row],[NAME]],Aggregate!$P:$AA,9,FALSE()),""))</f>
        <v>-49.952484215686269</v>
      </c>
      <c r="Q62" s="27">
        <f>SUMIFS(T63:$T$84,S63:$S$84,"&lt;&gt;x",S63:$S$84,"&lt;&gt;o",T63:$T$84,"&gt;0")/Aggregate!$X$1</f>
        <v>0</v>
      </c>
      <c r="R62" s="25" t="str">
        <f>VLOOKUP(Table10[[#This Row],[NAME]],ECR!C:E,3,FALSE)</f>
        <v>RB56</v>
      </c>
      <c r="S62" s="28"/>
      <c r="T62" s="29">
        <f>VLOOKUP(M62,Aggregate!P:X,9,FALSE())</f>
        <v>-49.952484215686269</v>
      </c>
      <c r="U62" s="31"/>
      <c r="V62" s="25">
        <f>IFERROR(VLOOKUP(Table11[[#This Row],[NAME]],Aggregate!$AD:$AO,11,FALSE()),"")</f>
        <v>6</v>
      </c>
      <c r="W62" s="26" t="str">
        <f>Aggregate!AD80</f>
        <v>Ja'Kobi Lane</v>
      </c>
      <c r="X62" s="26" t="str">
        <f>VLOOKUP(Table11[[#This Row],[NAME]],Aggregate!AD:AO,4,FALSE())</f>
        <v>BAL/13</v>
      </c>
      <c r="Y62" s="25">
        <f>IFERROR(VLOOKUP(Table11[[#This Row],[NAME]],Aggregate!$AD:$AO,8,FALSE()),"")</f>
        <v>96.615756415984109</v>
      </c>
      <c r="Z62" s="25">
        <f>IF(Scoring!$K$6="Auction",IFERROR(VLOOKUP(Table11[[#This Row],[NAME]],Aggregate!$AD:$AO,10,FALSE()),""),IFERROR(VLOOKUP(Table11[[#This Row],[NAME]],Aggregate!$AD:$AO,9,FALSE()),""))</f>
        <v>-18.088141573591471</v>
      </c>
      <c r="AA62" s="27">
        <f>SUMIFS(AD63:$AD$84,AC63:$AC$84,"&lt;&gt;x",AC63:$AC$84,"&lt;&gt;o",AD63:$AD$84,"&gt;0")/Aggregate!$AL$1</f>
        <v>0</v>
      </c>
      <c r="AB62" s="25" t="str">
        <f>VLOOKUP(Table11[[#This Row],[NAME]],ECR!C:E,3,FALSE)</f>
        <v>WR78</v>
      </c>
      <c r="AC62" s="28"/>
      <c r="AD62" s="29">
        <f>VLOOKUP(W62,Aggregate!AD:AL,9,FALSE())</f>
        <v>-18.088141573591471</v>
      </c>
      <c r="AF62" s="19"/>
      <c r="AG62" s="19"/>
    </row>
    <row r="63" spans="2:33" ht="14.25" customHeight="1" x14ac:dyDescent="0.3">
      <c r="B63" s="25">
        <f>IFERROR(VLOOKUP(Table12[[#This Row],[NAME]],Aggregate!$AR:$BC,11,FALSE()),"")</f>
        <v>5</v>
      </c>
      <c r="C63" s="26" t="str">
        <f>Aggregate!AR17</f>
        <v>Juwan Johnson</v>
      </c>
      <c r="D63" s="26" t="str">
        <f>VLOOKUP(Table12[[#This Row],[NAME]],Aggregate!AR:BD,4,FALSE())</f>
        <v>NO/8</v>
      </c>
      <c r="E63" s="25">
        <f>IFERROR(VLOOKUP($C63,Aggregate!$AR:$BC,8,FALSE()),"")</f>
        <v>103.50715945098038</v>
      </c>
      <c r="F63" s="25">
        <f>IF(Scoring!$K$6="Auction",IFERROR(VLOOKUP($C63,Aggregate!$AR:$BC,10,FALSE()),""),IFERROR(VLOOKUP($C63,Aggregate!$AR:$BC,9,FALSE()),""))</f>
        <v>-4.4076867450980615</v>
      </c>
      <c r="G63" s="27">
        <f>SUMIFS(J64:$J$84,I64:$I$84,"&lt;&gt;x",I64:$I$84,"&lt;&gt;o",J64:$J$84,"&gt;0")/Aggregate!$AZ$1</f>
        <v>0</v>
      </c>
      <c r="H63" s="25" t="str">
        <f>VLOOKUP(Table12[[#This Row],[NAME]],ECR!C:E,3,FALSE)</f>
        <v>TE15</v>
      </c>
      <c r="I63" s="28"/>
      <c r="J63" s="29">
        <f>VLOOKUP(C63,Aggregate!AR:AZ,9,FALSE())</f>
        <v>-4.4076867450980615</v>
      </c>
      <c r="K63" s="30"/>
      <c r="L63" s="25">
        <f>IFERROR(VLOOKUP(Table10[[#This Row],[NAME]],Aggregate!$P:$AA,11,FALSE()),"")</f>
        <v>9</v>
      </c>
      <c r="M63" s="26" t="str">
        <f>Aggregate!P66</f>
        <v>Kaytron Allen</v>
      </c>
      <c r="N63" s="26" t="str">
        <f>VLOOKUP(Table10[[#This Row],[NAME]],Aggregate!P:AA,4,FALSE())</f>
        <v>WAS/7</v>
      </c>
      <c r="O63" s="25">
        <f>IFERROR(VLOOKUP(Table10[[#This Row],[NAME]],Aggregate!$P:$AA,8,FALSE()),"")</f>
        <v>61.026343529411768</v>
      </c>
      <c r="P63" s="25">
        <f>IF(Scoring!$K$6="Auction",IFERROR(VLOOKUP(Table10[[#This Row],[NAME]],Aggregate!$P:$AA,10,FALSE()),""),IFERROR(VLOOKUP(Table10[[#This Row],[NAME]],Aggregate!$P:$AA,9,FALSE()),""))</f>
        <v>-53.128134411764698</v>
      </c>
      <c r="Q63" s="27">
        <f>SUMIFS(T64:$T$84,S64:$S$84,"&lt;&gt;x",S64:$S$84,"&lt;&gt;o",T64:$T$84,"&gt;0")/Aggregate!$X$1</f>
        <v>0</v>
      </c>
      <c r="R63" s="25" t="str">
        <f>VLOOKUP(Table10[[#This Row],[NAME]],ECR!C:E,3,FALSE)</f>
        <v>RB64</v>
      </c>
      <c r="S63" s="28"/>
      <c r="T63" s="29">
        <f>VLOOKUP(M63,Aggregate!P:X,9,FALSE())</f>
        <v>-53.128134411764698</v>
      </c>
      <c r="U63" s="31"/>
      <c r="V63" s="25">
        <f>IFERROR(VLOOKUP(Table11[[#This Row],[NAME]],Aggregate!$AD:$AO,11,FALSE()),"")</f>
        <v>6</v>
      </c>
      <c r="W63" s="26" t="str">
        <f>Aggregate!AD58</f>
        <v>Jordyn Tyson</v>
      </c>
      <c r="X63" s="26" t="str">
        <f>VLOOKUP(Table11[[#This Row],[NAME]],Aggregate!AD:AO,4,FALSE())</f>
        <v>NO/8</v>
      </c>
      <c r="Y63" s="25">
        <f>IFERROR(VLOOKUP(Table11[[#This Row],[NAME]],Aggregate!$AD:$AO,8,FALSE()),"")</f>
        <v>96.146929908165816</v>
      </c>
      <c r="Z63" s="25">
        <f>IF(Scoring!$K$6="Auction",IFERROR(VLOOKUP(Table11[[#This Row],[NAME]],Aggregate!$AD:$AO,10,FALSE()),""),IFERROR(VLOOKUP(Table11[[#This Row],[NAME]],Aggregate!$AD:$AO,9,FALSE()),""))</f>
        <v>-18.556968081409764</v>
      </c>
      <c r="AA63" s="27">
        <f>SUMIFS(AD64:$AD$84,AC64:$AC$84,"&lt;&gt;x",AC64:$AC$84,"&lt;&gt;o",AD64:$AD$84,"&gt;0")/Aggregate!$AL$1</f>
        <v>0</v>
      </c>
      <c r="AB63" s="25" t="str">
        <f>VLOOKUP(Table11[[#This Row],[NAME]],ECR!C:E,3,FALSE)</f>
        <v>WR56</v>
      </c>
      <c r="AC63" s="28"/>
      <c r="AD63" s="29">
        <f>VLOOKUP(W63,Aggregate!AD:AL,9,FALSE())</f>
        <v>-18.556968081409764</v>
      </c>
      <c r="AF63" s="19"/>
      <c r="AG63" s="19"/>
    </row>
    <row r="64" spans="2:33" ht="14.25" customHeight="1" x14ac:dyDescent="0.3">
      <c r="B64" s="25">
        <f>IFERROR(VLOOKUP(Table12[[#This Row],[NAME]],Aggregate!$AR:$BC,11,FALSE()),"")</f>
        <v>5</v>
      </c>
      <c r="C64" s="26" t="str">
        <f>Aggregate!AR19</f>
        <v>Hunter Henry</v>
      </c>
      <c r="D64" s="26" t="str">
        <f>VLOOKUP(Table12[[#This Row],[NAME]],Aggregate!AR:BD,4,FALSE())</f>
        <v>NE/11</v>
      </c>
      <c r="E64" s="25">
        <f>IFERROR(VLOOKUP($C64,Aggregate!$AR:$BC,8,FALSE()),"")</f>
        <v>100.92535770588235</v>
      </c>
      <c r="F64" s="25">
        <f>IF(Scoring!$K$6="Auction",IFERROR(VLOOKUP($C64,Aggregate!$AR:$BC,10,FALSE()),""),IFERROR(VLOOKUP($C64,Aggregate!$AR:$BC,9,FALSE()),""))</f>
        <v>-6.989488490196095</v>
      </c>
      <c r="G64" s="27">
        <f>SUMIFS(J65:$J$84,I65:$I$84,"&lt;&gt;x",I65:$I$84,"&lt;&gt;o",J65:$J$84,"&gt;0")/Aggregate!$AZ$1</f>
        <v>0</v>
      </c>
      <c r="H64" s="25" t="str">
        <f>VLOOKUP(Table12[[#This Row],[NAME]],ECR!C:E,3,FALSE)</f>
        <v>TE17</v>
      </c>
      <c r="I64" s="28"/>
      <c r="J64" s="29">
        <f>VLOOKUP(C64,Aggregate!AR:AZ,9,FALSE())</f>
        <v>-6.989488490196095</v>
      </c>
      <c r="K64" s="30"/>
      <c r="L64" s="25">
        <f>IFERROR(VLOOKUP(Table10[[#This Row],[NAME]],Aggregate!$P:$AA,11,FALSE()),"")</f>
        <v>9</v>
      </c>
      <c r="M64" s="26" t="str">
        <f>Aggregate!P65</f>
        <v>Nicholas Singleton</v>
      </c>
      <c r="N64" s="26" t="str">
        <f>VLOOKUP(Table10[[#This Row],[NAME]],Aggregate!P:AA,4,FALSE())</f>
        <v>TEN/9</v>
      </c>
      <c r="O64" s="25">
        <f>IFERROR(VLOOKUP(Table10[[#This Row],[NAME]],Aggregate!$P:$AA,8,FALSE()),"")</f>
        <v>60.610114117647051</v>
      </c>
      <c r="P64" s="25">
        <f>IF(Scoring!$K$6="Auction",IFERROR(VLOOKUP(Table10[[#This Row],[NAME]],Aggregate!$P:$AA,10,FALSE()),""),IFERROR(VLOOKUP(Table10[[#This Row],[NAME]],Aggregate!$P:$AA,9,FALSE()),""))</f>
        <v>-53.544363823529416</v>
      </c>
      <c r="Q64" s="27">
        <f>SUMIFS(T65:$T$84,S65:$S$84,"&lt;&gt;x",S65:$S$84,"&lt;&gt;o",T65:$T$84,"&gt;0")/Aggregate!$X$1</f>
        <v>0</v>
      </c>
      <c r="R64" s="25" t="str">
        <f>VLOOKUP(Table10[[#This Row],[NAME]],ECR!C:E,3,FALSE)</f>
        <v>RB63</v>
      </c>
      <c r="S64" s="28"/>
      <c r="T64" s="29">
        <f>VLOOKUP(M64,Aggregate!P:X,9,FALSE())</f>
        <v>-53.544363823529416</v>
      </c>
      <c r="U64" s="31"/>
      <c r="V64" s="25">
        <f>IFERROR(VLOOKUP(Table11[[#This Row],[NAME]],Aggregate!$AD:$AO,11,FALSE()),"")</f>
        <v>6</v>
      </c>
      <c r="W64" s="26" t="str">
        <f>Aggregate!AD66</f>
        <v>Jerry Jeudy</v>
      </c>
      <c r="X64" s="26" t="str">
        <f>VLOOKUP(Table11[[#This Row],[NAME]],Aggregate!AD:AO,4,FALSE())</f>
        <v>CLE/11</v>
      </c>
      <c r="Y64" s="25">
        <f>IFERROR(VLOOKUP(Table11[[#This Row],[NAME]],Aggregate!$AD:$AO,8,FALSE()),"")</f>
        <v>95.689398560436828</v>
      </c>
      <c r="Z64" s="25">
        <f>IF(Scoring!$K$6="Auction",IFERROR(VLOOKUP(Table11[[#This Row],[NAME]],Aggregate!$AD:$AO,10,FALSE()),""),IFERROR(VLOOKUP(Table11[[#This Row],[NAME]],Aggregate!$AD:$AO,9,FALSE()),""))</f>
        <v>-19.014499429138752</v>
      </c>
      <c r="AA64" s="27">
        <f>SUMIFS(AD65:$AD$84,AC65:$AC$84,"&lt;&gt;x",AC65:$AC$84,"&lt;&gt;o",AD65:$AD$84,"&gt;0")/Aggregate!$AL$1</f>
        <v>0</v>
      </c>
      <c r="AB64" s="25" t="str">
        <f>VLOOKUP(Table11[[#This Row],[NAME]],ECR!C:E,3,FALSE)</f>
        <v>WR64</v>
      </c>
      <c r="AC64" s="28"/>
      <c r="AD64" s="29">
        <f>VLOOKUP(W64,Aggregate!AD:AL,9,FALSE())</f>
        <v>-19.014499429138752</v>
      </c>
      <c r="AF64" s="19"/>
      <c r="AG64" s="19"/>
    </row>
    <row r="65" spans="2:33" ht="14.25" customHeight="1" x14ac:dyDescent="0.3">
      <c r="B65" s="25">
        <f>IFERROR(VLOOKUP(Table12[[#This Row],[NAME]],Aggregate!$AR:$BC,11,FALSE()),"")</f>
        <v>5</v>
      </c>
      <c r="C65" s="26" t="str">
        <f>Aggregate!AR20</f>
        <v>Brenton Strange</v>
      </c>
      <c r="D65" s="26" t="str">
        <f>VLOOKUP(Table12[[#This Row],[NAME]],Aggregate!AR:BD,4,FALSE())</f>
        <v>JAC/7</v>
      </c>
      <c r="E65" s="25">
        <f>IFERROR(VLOOKUP($C65,Aggregate!$AR:$BC,8,FALSE()),"")</f>
        <v>97.827400000000011</v>
      </c>
      <c r="F65" s="25">
        <f>IF(Scoring!$K$6="Auction",IFERROR(VLOOKUP($C65,Aggregate!$AR:$BC,10,FALSE()),""),IFERROR(VLOOKUP($C65,Aggregate!$AR:$BC,9,FALSE()),""))</f>
        <v>-10.087446196078432</v>
      </c>
      <c r="G65" s="27">
        <f>SUMIFS(J66:$J$84,I66:$I$84,"&lt;&gt;x",I66:$I$84,"&lt;&gt;o",J66:$J$84,"&gt;0")/Aggregate!$AZ$1</f>
        <v>0</v>
      </c>
      <c r="H65" s="25" t="str">
        <f>VLOOKUP(Table12[[#This Row],[NAME]],ECR!C:E,3,FALSE)</f>
        <v>TE18</v>
      </c>
      <c r="I65" s="28"/>
      <c r="J65" s="29">
        <f>VLOOKUP(C65,Aggregate!AR:AZ,9,FALSE())</f>
        <v>-10.087446196078432</v>
      </c>
      <c r="K65" s="30"/>
      <c r="L65" s="25">
        <f>IFERROR(VLOOKUP(Table10[[#This Row],[NAME]],Aggregate!$P:$AA,11,FALSE()),"")</f>
        <v>9</v>
      </c>
      <c r="M65" s="26" t="str">
        <f>Aggregate!P62</f>
        <v>Isiah Pacheco</v>
      </c>
      <c r="N65" s="26" t="str">
        <f>VLOOKUP(Table10[[#This Row],[NAME]],Aggregate!P:AA,4,FALSE())</f>
        <v>DET/6</v>
      </c>
      <c r="O65" s="25">
        <f>IFERROR(VLOOKUP(Table10[[#This Row],[NAME]],Aggregate!$P:$AA,8,FALSE()),"")</f>
        <v>59.664901960784313</v>
      </c>
      <c r="P65" s="25">
        <f>IF(Scoring!$K$6="Auction",IFERROR(VLOOKUP(Table10[[#This Row],[NAME]],Aggregate!$P:$AA,10,FALSE()),""),IFERROR(VLOOKUP(Table10[[#This Row],[NAME]],Aggregate!$P:$AA,9,FALSE()),""))</f>
        <v>-54.489575980392154</v>
      </c>
      <c r="Q65" s="27">
        <f>SUMIFS(T66:$T$84,S66:$S$84,"&lt;&gt;x",S66:$S$84,"&lt;&gt;o",T66:$T$84,"&gt;0")/Aggregate!$X$1</f>
        <v>0</v>
      </c>
      <c r="R65" s="25" t="str">
        <f>VLOOKUP(Table10[[#This Row],[NAME]],ECR!C:E,3,FALSE)</f>
        <v>RB60</v>
      </c>
      <c r="S65" s="28"/>
      <c r="T65" s="29">
        <f>VLOOKUP(M65,Aggregate!P:X,9,FALSE())</f>
        <v>-54.489575980392154</v>
      </c>
      <c r="U65" s="31"/>
      <c r="V65" s="25">
        <f>IFERROR(VLOOKUP(Table11[[#This Row],[NAME]],Aggregate!$AD:$AO,11,FALSE()),"")</f>
        <v>6</v>
      </c>
      <c r="W65" s="26" t="str">
        <f>Aggregate!AD61</f>
        <v>Tre Tucker</v>
      </c>
      <c r="X65" s="26" t="str">
        <f>VLOOKUP(Table11[[#This Row],[NAME]],Aggregate!AD:AO,4,FALSE())</f>
        <v>LV/13</v>
      </c>
      <c r="Y65" s="25">
        <f>IFERROR(VLOOKUP(Table11[[#This Row],[NAME]],Aggregate!$AD:$AO,8,FALSE()),"")</f>
        <v>92.994239265326385</v>
      </c>
      <c r="Z65" s="25">
        <f>IF(Scoring!$K$6="Auction",IFERROR(VLOOKUP(Table11[[#This Row],[NAME]],Aggregate!$AD:$AO,10,FALSE()),""),IFERROR(VLOOKUP(Table11[[#This Row],[NAME]],Aggregate!$AD:$AO,9,FALSE()),""))</f>
        <v>-21.709658724249195</v>
      </c>
      <c r="AA65" s="27">
        <f>SUMIFS(AD66:$AD$84,AC66:$AC$84,"&lt;&gt;x",AC66:$AC$84,"&lt;&gt;o",AD66:$AD$84,"&gt;0")/Aggregate!$AL$1</f>
        <v>0</v>
      </c>
      <c r="AB65" s="25" t="str">
        <f>VLOOKUP(Table11[[#This Row],[NAME]],ECR!C:E,3,FALSE)</f>
        <v>WR59</v>
      </c>
      <c r="AC65" s="28"/>
      <c r="AD65" s="29">
        <f>VLOOKUP(W65,Aggregate!AD:AL,9,FALSE())</f>
        <v>-21.709658724249195</v>
      </c>
      <c r="AF65" s="19"/>
      <c r="AG65" s="19"/>
    </row>
    <row r="66" spans="2:33" ht="14.25" customHeight="1" x14ac:dyDescent="0.3">
      <c r="B66" s="25">
        <f>IFERROR(VLOOKUP(Table12[[#This Row],[NAME]],Aggregate!$AR:$BC,11,FALSE()),"")</f>
        <v>6</v>
      </c>
      <c r="C66" s="26" t="str">
        <f>Aggregate!AR22</f>
        <v>Dalton Schultz</v>
      </c>
      <c r="D66" s="26" t="str">
        <f>VLOOKUP(Table12[[#This Row],[NAME]],Aggregate!AR:BD,4,FALSE())</f>
        <v>HOU/8</v>
      </c>
      <c r="E66" s="25">
        <f>IFERROR(VLOOKUP($C66,Aggregate!$AR:$BC,8,FALSE()),"")</f>
        <v>87.797928823529404</v>
      </c>
      <c r="F66" s="25">
        <f>IF(Scoring!$K$6="Auction",IFERROR(VLOOKUP($C66,Aggregate!$AR:$BC,10,FALSE()),""),IFERROR(VLOOKUP($C66,Aggregate!$AR:$BC,9,FALSE()),""))</f>
        <v>-20.11691737254904</v>
      </c>
      <c r="G66" s="27">
        <f>SUMIFS(J67:$J$84,I67:$I$84,"&lt;&gt;x",I67:$I$84,"&lt;&gt;o",J67:$J$84,"&gt;0")/Aggregate!$AZ$1</f>
        <v>0</v>
      </c>
      <c r="H66" s="25" t="str">
        <f>VLOOKUP(Table12[[#This Row],[NAME]],ECR!C:E,3,FALSE)</f>
        <v>TE20</v>
      </c>
      <c r="I66" s="28"/>
      <c r="J66" s="29">
        <f>VLOOKUP(C66,Aggregate!AR:AZ,9,FALSE())</f>
        <v>-20.11691737254904</v>
      </c>
      <c r="K66" s="30"/>
      <c r="L66" s="25">
        <f>IFERROR(VLOOKUP(Table10[[#This Row],[NAME]],Aggregate!$P:$AA,11,FALSE()),"")</f>
        <v>9</v>
      </c>
      <c r="M66" s="26" t="str">
        <f>Aggregate!P74</f>
        <v>Samaje Perine</v>
      </c>
      <c r="N66" s="26" t="str">
        <f>VLOOKUP(Table10[[#This Row],[NAME]],Aggregate!P:AA,4,FALSE())</f>
        <v>CIN/6</v>
      </c>
      <c r="O66" s="25">
        <f>IFERROR(VLOOKUP(Table10[[#This Row],[NAME]],Aggregate!$P:$AA,8,FALSE()),"")</f>
        <v>58.053921568627459</v>
      </c>
      <c r="P66" s="25">
        <f>IF(Scoring!$K$6="Auction",IFERROR(VLOOKUP(Table10[[#This Row],[NAME]],Aggregate!$P:$AA,10,FALSE()),""),IFERROR(VLOOKUP(Table10[[#This Row],[NAME]],Aggregate!$P:$AA,9,FALSE()),""))</f>
        <v>-56.100556372549008</v>
      </c>
      <c r="Q66" s="27">
        <f>SUMIFS(T67:$T$84,S67:$S$84,"&lt;&gt;x",S67:$S$84,"&lt;&gt;o",T67:$T$84,"&gt;0")/Aggregate!$X$1</f>
        <v>0</v>
      </c>
      <c r="R66" s="25" t="str">
        <f>VLOOKUP(Table10[[#This Row],[NAME]],ECR!C:E,3,FALSE)</f>
        <v>RB72</v>
      </c>
      <c r="S66" s="28"/>
      <c r="T66" s="29">
        <f>VLOOKUP(M66,Aggregate!P:X,9,FALSE())</f>
        <v>-56.100556372549008</v>
      </c>
      <c r="U66" s="31"/>
      <c r="V66" s="25">
        <f>IFERROR(VLOOKUP(Table11[[#This Row],[NAME]],Aggregate!$AD:$AO,11,FALSE()),"")</f>
        <v>6</v>
      </c>
      <c r="W66" s="26" t="str">
        <f>Aggregate!AD75</f>
        <v>Calvin Ridley</v>
      </c>
      <c r="X66" s="26" t="str">
        <f>VLOOKUP(Table11[[#This Row],[NAME]],Aggregate!AD:AO,4,FALSE())</f>
        <v>TEN/9</v>
      </c>
      <c r="Y66" s="25">
        <f>IFERROR(VLOOKUP(Table11[[#This Row],[NAME]],Aggregate!$AD:$AO,8,FALSE()),"")</f>
        <v>92.054265326383742</v>
      </c>
      <c r="Z66" s="25">
        <f>IF(Scoring!$K$6="Auction",IFERROR(VLOOKUP(Table11[[#This Row],[NAME]],Aggregate!$AD:$AO,10,FALSE()),""),IFERROR(VLOOKUP(Table11[[#This Row],[NAME]],Aggregate!$AD:$AO,9,FALSE()),""))</f>
        <v>-22.649632663191838</v>
      </c>
      <c r="AA66" s="27">
        <f>SUMIFS(AD67:$AD$84,AC67:$AC$84,"&lt;&gt;x",AC67:$AC$84,"&lt;&gt;o",AD67:$AD$84,"&gt;0")/Aggregate!$AL$1</f>
        <v>0</v>
      </c>
      <c r="AB66" s="25" t="str">
        <f>VLOOKUP(Table11[[#This Row],[NAME]],ECR!C:E,3,FALSE)</f>
        <v>WR73</v>
      </c>
      <c r="AC66" s="28"/>
      <c r="AD66" s="29">
        <f>VLOOKUP(W66,Aggregate!AD:AL,9,FALSE())</f>
        <v>-22.649632663191838</v>
      </c>
      <c r="AF66" s="19"/>
      <c r="AG66" s="19"/>
    </row>
    <row r="67" spans="2:33" ht="14.25" customHeight="1" x14ac:dyDescent="0.3">
      <c r="B67" s="25">
        <f>IFERROR(VLOOKUP(Table12[[#This Row],[NAME]],Aggregate!$AR:$BC,11,FALSE()),"")</f>
        <v>6</v>
      </c>
      <c r="C67" s="26" t="str">
        <f>Aggregate!AR25</f>
        <v>T.J. Hockenson</v>
      </c>
      <c r="D67" s="26" t="str">
        <f>VLOOKUP(Table12[[#This Row],[NAME]],Aggregate!AR:BD,4,FALSE())</f>
        <v>MIN/6</v>
      </c>
      <c r="E67" s="25">
        <f>IFERROR(VLOOKUP($C67,Aggregate!$AR:$BC,8,FALSE()),"")</f>
        <v>83.147745098039209</v>
      </c>
      <c r="F67" s="25">
        <f>IF(Scoring!$K$6="Auction",IFERROR(VLOOKUP($C67,Aggregate!$AR:$BC,10,FALSE()),""),IFERROR(VLOOKUP($C67,Aggregate!$AR:$BC,9,FALSE()),""))</f>
        <v>-24.767101098039234</v>
      </c>
      <c r="G67" s="27">
        <f>SUMIFS(J67:$J$85,I67:$I$85,"&lt;&gt;x",I67:$I$85,"&lt;&gt;o",J67:$J$85,"&gt;0")/Aggregate!$AZ$1</f>
        <v>0</v>
      </c>
      <c r="H67" s="25" t="str">
        <f>VLOOKUP(Table12[[#This Row],[NAME]],ECR!C:E,3,FALSE)</f>
        <v>TE23</v>
      </c>
      <c r="I67" s="28"/>
      <c r="J67" s="29">
        <f>VLOOKUP(C67,Aggregate!AR:AZ,9,FALSE())</f>
        <v>-24.767101098039234</v>
      </c>
      <c r="K67" s="30"/>
      <c r="L67" s="25">
        <f>IFERROR(VLOOKUP(Table10[[#This Row],[NAME]],Aggregate!$P:$AA,11,FALSE()),"")</f>
        <v>9</v>
      </c>
      <c r="M67" s="26" t="str">
        <f>Aggregate!P63</f>
        <v>Malik Davis</v>
      </c>
      <c r="N67" s="26" t="str">
        <f>VLOOKUP(Table10[[#This Row],[NAME]],Aggregate!P:AA,4,FALSE())</f>
        <v>DAL/14</v>
      </c>
      <c r="O67" s="25">
        <f>IFERROR(VLOOKUP(Table10[[#This Row],[NAME]],Aggregate!$P:$AA,8,FALSE()),"")</f>
        <v>57.164770588235307</v>
      </c>
      <c r="P67" s="25">
        <f>IF(Scoring!$K$6="Auction",IFERROR(VLOOKUP(Table10[[#This Row],[NAME]],Aggregate!$P:$AA,10,FALSE()),""),IFERROR(VLOOKUP(Table10[[#This Row],[NAME]],Aggregate!$P:$AA,9,FALSE()),""))</f>
        <v>-56.98970735294116</v>
      </c>
      <c r="Q67" s="27">
        <f>SUMIFS(T68:$T$84,S68:$S$84,"&lt;&gt;x",S68:$S$84,"&lt;&gt;o",T68:$T$84,"&gt;0")/Aggregate!$X$1</f>
        <v>0</v>
      </c>
      <c r="R67" s="25" t="str">
        <f>VLOOKUP(Table10[[#This Row],[NAME]],ECR!C:E,3,FALSE)</f>
        <v>RB61</v>
      </c>
      <c r="S67" s="28"/>
      <c r="T67" s="29">
        <f>VLOOKUP(M67,Aggregate!P:X,9,FALSE())</f>
        <v>-56.98970735294116</v>
      </c>
      <c r="U67" s="31"/>
      <c r="V67" s="25">
        <f>IFERROR(VLOOKUP(Table11[[#This Row],[NAME]],Aggregate!$AD:$AO,11,FALSE()),"")</f>
        <v>6</v>
      </c>
      <c r="W67" s="26" t="str">
        <f>Aggregate!AD63</f>
        <v>Kayshon Boutte</v>
      </c>
      <c r="X67" s="26" t="str">
        <f>VLOOKUP(Table11[[#This Row],[NAME]],Aggregate!AD:AO,4,FALSE())</f>
        <v>HOU/8</v>
      </c>
      <c r="Y67" s="25">
        <f>IFERROR(VLOOKUP(Table11[[#This Row],[NAME]],Aggregate!$AD:$AO,8,FALSE()),"")</f>
        <v>90.049297046413514</v>
      </c>
      <c r="Z67" s="25">
        <f>IF(Scoring!$K$6="Auction",IFERROR(VLOOKUP(Table11[[#This Row],[NAME]],Aggregate!$AD:$AO,10,FALSE()),""),IFERROR(VLOOKUP(Table11[[#This Row],[NAME]],Aggregate!$AD:$AO,9,FALSE()),""))</f>
        <v>-24.654600943162066</v>
      </c>
      <c r="AA67" s="27">
        <f>SUMIFS(AD68:$AD$84,AC68:$AC$84,"&lt;&gt;x",AC68:$AC$84,"&lt;&gt;o",AD68:$AD$84,"&gt;0")/Aggregate!$AL$1</f>
        <v>0</v>
      </c>
      <c r="AB67" s="25" t="str">
        <f>VLOOKUP(Table11[[#This Row],[NAME]],ECR!C:E,3,FALSE)</f>
        <v>WR61</v>
      </c>
      <c r="AC67" s="28"/>
      <c r="AD67" s="29">
        <f>VLOOKUP(W67,Aggregate!AD:AL,9,FALSE())</f>
        <v>-24.654600943162066</v>
      </c>
      <c r="AF67" s="19"/>
      <c r="AG67" s="19"/>
    </row>
    <row r="68" spans="2:33" ht="14.25" customHeight="1" x14ac:dyDescent="0.3">
      <c r="B68" s="25">
        <f>IFERROR(VLOOKUP(Table12[[#This Row],[NAME]],Aggregate!$AR:$BC,11,FALSE()),"")</f>
        <v>6</v>
      </c>
      <c r="C68" s="26" t="str">
        <f>Aggregate!AR21</f>
        <v>Chig Okonkwo</v>
      </c>
      <c r="D68" s="26" t="str">
        <f>VLOOKUP(Table12[[#This Row],[NAME]],Aggregate!AR:BD,4,FALSE())</f>
        <v>WAS/7</v>
      </c>
      <c r="E68" s="25">
        <f>IFERROR(VLOOKUP($C68,Aggregate!$AR:$BC,8,FALSE()),"")</f>
        <v>82.327596500000013</v>
      </c>
      <c r="F68" s="25">
        <f>IF(Scoring!$K$6="Auction",IFERROR(VLOOKUP($C68,Aggregate!$AR:$BC,10,FALSE()),""),IFERROR(VLOOKUP($C68,Aggregate!$AR:$BC,9,FALSE()),""))</f>
        <v>-25.58724969607843</v>
      </c>
      <c r="G68" s="27">
        <f>SUMIFS(J69:$J$84,I69:$I$84,"&lt;&gt;x",I69:$I$84,"&lt;&gt;o",J69:$J$84,"&gt;0")/Aggregate!$AZ$1</f>
        <v>0</v>
      </c>
      <c r="H68" s="25" t="str">
        <f>VLOOKUP(Table12[[#This Row],[NAME]],ECR!C:E,3,FALSE)</f>
        <v>TE19</v>
      </c>
      <c r="I68" s="28"/>
      <c r="J68" s="29">
        <f>VLOOKUP(C68,Aggregate!AR:AZ,9,FALSE())</f>
        <v>-25.58724969607843</v>
      </c>
      <c r="K68" s="30"/>
      <c r="L68" s="25">
        <f>IFERROR(VLOOKUP(Table10[[#This Row],[NAME]],Aggregate!$P:$AA,11,FALSE()),"")</f>
        <v>9</v>
      </c>
      <c r="M68" s="26" t="str">
        <f>Aggregate!P56</f>
        <v>Tyrone Tracy Jr.</v>
      </c>
      <c r="N68" s="26" t="str">
        <f>VLOOKUP(Table10[[#This Row],[NAME]],Aggregate!P:AA,4,FALSE())</f>
        <v>NYG/8</v>
      </c>
      <c r="O68" s="25">
        <f>IFERROR(VLOOKUP(Table10[[#This Row],[NAME]],Aggregate!$P:$AA,8,FALSE()),"")</f>
        <v>55.695288235294129</v>
      </c>
      <c r="P68" s="25">
        <f>IF(Scoring!$K$6="Auction",IFERROR(VLOOKUP(Table10[[#This Row],[NAME]],Aggregate!$P:$AA,10,FALSE()),""),IFERROR(VLOOKUP(Table10[[#This Row],[NAME]],Aggregate!$P:$AA,9,FALSE()),""))</f>
        <v>-58.459189705882338</v>
      </c>
      <c r="Q68" s="27">
        <f>SUMIFS(T69:$T$84,S69:$S$84,"&lt;&gt;x",S69:$S$84,"&lt;&gt;o",T69:$T$84,"&gt;0")/Aggregate!$X$1</f>
        <v>0</v>
      </c>
      <c r="R68" s="25" t="str">
        <f>VLOOKUP(Table10[[#This Row],[NAME]],ECR!C:E,3,FALSE)</f>
        <v>RB54</v>
      </c>
      <c r="S68" s="28"/>
      <c r="T68" s="29">
        <f>VLOOKUP(M68,Aggregate!P:X,9,FALSE())</f>
        <v>-58.459189705882338</v>
      </c>
      <c r="U68" s="31"/>
      <c r="V68" s="25">
        <f>IFERROR(VLOOKUP(Table11[[#This Row],[NAME]],Aggregate!$AD:$AO,11,FALSE()),"")</f>
        <v>6</v>
      </c>
      <c r="W68" s="26" t="str">
        <f>Aggregate!AD71</f>
        <v>Omar Cooper Jr.</v>
      </c>
      <c r="X68" s="26" t="str">
        <f>VLOOKUP(Table11[[#This Row],[NAME]],Aggregate!AD:AO,4,FALSE())</f>
        <v>NYJ/13</v>
      </c>
      <c r="Y68" s="25">
        <f>IFERROR(VLOOKUP(Table11[[#This Row],[NAME]],Aggregate!$AD:$AO,8,FALSE()),"")</f>
        <v>89.952282452221382</v>
      </c>
      <c r="Z68" s="25">
        <f>IF(Scoring!$K$6="Auction",IFERROR(VLOOKUP(Table11[[#This Row],[NAME]],Aggregate!$AD:$AO,10,FALSE()),""),IFERROR(VLOOKUP(Table11[[#This Row],[NAME]],Aggregate!$AD:$AO,9,FALSE()),""))</f>
        <v>-24.751615537354198</v>
      </c>
      <c r="AA68" s="27">
        <f>SUMIFS(AD69:$AD$84,AC69:$AC$84,"&lt;&gt;x",AC69:$AC$84,"&lt;&gt;o",AD69:$AD$84,"&gt;0")/Aggregate!$AL$1</f>
        <v>0</v>
      </c>
      <c r="AB68" s="25" t="str">
        <f>VLOOKUP(Table11[[#This Row],[NAME]],ECR!C:E,3,FALSE)</f>
        <v>WR69</v>
      </c>
      <c r="AC68" s="28"/>
      <c r="AD68" s="29">
        <f>VLOOKUP(W68,Aggregate!AD:AL,9,FALSE())</f>
        <v>-24.751615537354198</v>
      </c>
      <c r="AF68" s="19"/>
      <c r="AG68" s="19"/>
    </row>
    <row r="69" spans="2:33" ht="14.25" customHeight="1" x14ac:dyDescent="0.3">
      <c r="B69" s="25">
        <f>IFERROR(VLOOKUP(Table12[[#This Row],[NAME]],Aggregate!$AR:$BC,11,FALSE()),"")</f>
        <v>6</v>
      </c>
      <c r="C69" s="26" t="str">
        <f>Aggregate!AR26</f>
        <v>Kenyon Sadiq</v>
      </c>
      <c r="D69" s="26" t="str">
        <f>VLOOKUP(Table12[[#This Row],[NAME]],Aggregate!AR:BD,4,FALSE())</f>
        <v>NYJ/13</v>
      </c>
      <c r="E69" s="25">
        <f>IFERROR(VLOOKUP($C69,Aggregate!$AR:$BC,8,FALSE()),"")</f>
        <v>81.233663568627449</v>
      </c>
      <c r="F69" s="25">
        <f>IF(Scoring!$K$6="Auction",IFERROR(VLOOKUP($C69,Aggregate!$AR:$BC,10,FALSE()),""),IFERROR(VLOOKUP($C69,Aggregate!$AR:$BC,9,FALSE()),""))</f>
        <v>-26.681182627450994</v>
      </c>
      <c r="G69" s="27">
        <f>SUMIFS(J70:$J$84,I70:$I$84,"&lt;&gt;x",I70:$I$84,"&lt;&gt;o",J70:$J$84,"&gt;0")/Aggregate!$AZ$1</f>
        <v>0</v>
      </c>
      <c r="H69" s="25" t="str">
        <f>VLOOKUP(Table12[[#This Row],[NAME]],ECR!C:E,3,FALSE)</f>
        <v>TE24</v>
      </c>
      <c r="I69" s="28"/>
      <c r="J69" s="29">
        <f>VLOOKUP(C69,Aggregate!AR:AZ,9,FALSE())</f>
        <v>-26.681182627450994</v>
      </c>
      <c r="K69" s="30"/>
      <c r="L69" s="25">
        <f>IFERROR(VLOOKUP(Table10[[#This Row],[NAME]],Aggregate!$P:$AA,11,FALSE()),"")</f>
        <v>9</v>
      </c>
      <c r="M69" s="26" t="str">
        <f>Aggregate!P75</f>
        <v>Demond Claiborne</v>
      </c>
      <c r="N69" s="26" t="str">
        <f>VLOOKUP(Table10[[#This Row],[NAME]],Aggregate!P:AA,4,FALSE())</f>
        <v>MIN/6</v>
      </c>
      <c r="O69" s="25">
        <f>IFERROR(VLOOKUP(Table10[[#This Row],[NAME]],Aggregate!$P:$AA,8,FALSE()),"")</f>
        <v>53.837730980392159</v>
      </c>
      <c r="P69" s="25">
        <f>IF(Scoring!$K$6="Auction",IFERROR(VLOOKUP(Table10[[#This Row],[NAME]],Aggregate!$P:$AA,10,FALSE()),""),IFERROR(VLOOKUP(Table10[[#This Row],[NAME]],Aggregate!$P:$AA,9,FALSE()),""))</f>
        <v>-60.316746960784307</v>
      </c>
      <c r="Q69" s="27">
        <f>SUMIFS(T70:$T$84,S70:$S$84,"&lt;&gt;x",S70:$S$84,"&lt;&gt;o",T70:$T$84,"&gt;0")/Aggregate!$X$1</f>
        <v>0</v>
      </c>
      <c r="R69" s="25" t="str">
        <f>VLOOKUP(Table10[[#This Row],[NAME]],ECR!C:E,3,FALSE)</f>
        <v>RB73</v>
      </c>
      <c r="S69" s="28"/>
      <c r="T69" s="29">
        <f>VLOOKUP(M69,Aggregate!P:X,9,FALSE())</f>
        <v>-60.316746960784307</v>
      </c>
      <c r="U69" s="31"/>
      <c r="V69" s="25">
        <f>IFERROR(VLOOKUP(Table11[[#This Row],[NAME]],Aggregate!$AD:$AO,11,FALSE()),"")</f>
        <v>7</v>
      </c>
      <c r="W69" s="26" t="str">
        <f>Aggregate!AD79</f>
        <v>Chris Bell</v>
      </c>
      <c r="X69" s="26" t="str">
        <f>VLOOKUP(Table11[[#This Row],[NAME]],Aggregate!AD:AO,4,FALSE())</f>
        <v>MIA/6</v>
      </c>
      <c r="Y69" s="25">
        <f>IFERROR(VLOOKUP(Table11[[#This Row],[NAME]],Aggregate!$AD:$AO,8,FALSE()),"")</f>
        <v>88.484788433854547</v>
      </c>
      <c r="Z69" s="25">
        <f>IF(Scoring!$K$6="Auction",IFERROR(VLOOKUP(Table11[[#This Row],[NAME]],Aggregate!$AD:$AO,10,FALSE()),""),IFERROR(VLOOKUP(Table11[[#This Row],[NAME]],Aggregate!$AD:$AO,9,FALSE()),""))</f>
        <v>-26.219109555721033</v>
      </c>
      <c r="AA69" s="27">
        <f>SUMIFS(AD70:$AD$84,AC70:$AC$84,"&lt;&gt;x",AC70:$AC$84,"&lt;&gt;o",AD70:$AD$84,"&gt;0")/Aggregate!$AL$1</f>
        <v>0</v>
      </c>
      <c r="AB69" s="25" t="str">
        <f>VLOOKUP(Table11[[#This Row],[NAME]],ECR!C:E,3,FALSE)</f>
        <v>WR77</v>
      </c>
      <c r="AC69" s="28"/>
      <c r="AD69" s="29">
        <f>VLOOKUP(W69,Aggregate!AD:AL,9,FALSE())</f>
        <v>-26.219109555721033</v>
      </c>
      <c r="AF69" s="19"/>
      <c r="AG69" s="19"/>
    </row>
    <row r="70" spans="2:33" ht="14.25" customHeight="1" x14ac:dyDescent="0.3">
      <c r="B70" s="25">
        <f>IFERROR(VLOOKUP(Table12[[#This Row],[NAME]],Aggregate!$AR:$BC,11,FALSE()),"")</f>
        <v>6</v>
      </c>
      <c r="C70" s="26" t="str">
        <f>Aggregate!AR23</f>
        <v>Terrance Ferguson</v>
      </c>
      <c r="D70" s="26" t="str">
        <f>VLOOKUP(Table12[[#This Row],[NAME]],Aggregate!AR:BD,4,FALSE())</f>
        <v>LAR/11</v>
      </c>
      <c r="E70" s="25">
        <f>IFERROR(VLOOKUP($C70,Aggregate!$AR:$BC,8,FALSE()),"")</f>
        <v>80.392892343137248</v>
      </c>
      <c r="F70" s="25">
        <f>IF(Scoring!$K$6="Auction",IFERROR(VLOOKUP($C70,Aggregate!$AR:$BC,10,FALSE()),""),IFERROR(VLOOKUP($C70,Aggregate!$AR:$BC,9,FALSE()),""))</f>
        <v>-27.521953852941195</v>
      </c>
      <c r="G70" s="27">
        <f>SUMIFS(J71:$J$84,I71:$I$84,"&lt;&gt;x",I71:$I$84,"&lt;&gt;o",J71:$J$84,"&gt;0")/Aggregate!$AZ$1</f>
        <v>0</v>
      </c>
      <c r="H70" s="25" t="str">
        <f>VLOOKUP(Table12[[#This Row],[NAME]],ECR!C:E,3,FALSE)</f>
        <v>TE21</v>
      </c>
      <c r="I70" s="28"/>
      <c r="J70" s="29">
        <f>VLOOKUP(C70,Aggregate!AR:AZ,9,FALSE())</f>
        <v>-27.521953852941195</v>
      </c>
      <c r="K70" s="30"/>
      <c r="L70" s="25">
        <f>IFERROR(VLOOKUP(Table10[[#This Row],[NAME]],Aggregate!$P:$AA,11,FALSE()),"")</f>
        <v>9</v>
      </c>
      <c r="M70" s="26" t="str">
        <f>Aggregate!P69</f>
        <v>Najee Harris</v>
      </c>
      <c r="N70" s="26" t="str">
        <f>VLOOKUP(Table10[[#This Row],[NAME]],Aggregate!P:AA,4,FALSE())</f>
        <v>NYG/8</v>
      </c>
      <c r="O70" s="25">
        <f>IFERROR(VLOOKUP(Table10[[#This Row],[NAME]],Aggregate!$P:$AA,8,FALSE()),"")</f>
        <v>53.444019607843138</v>
      </c>
      <c r="P70" s="25">
        <f>IF(Scoring!$K$6="Auction",IFERROR(VLOOKUP(Table10[[#This Row],[NAME]],Aggregate!$P:$AA,10,FALSE()),""),IFERROR(VLOOKUP(Table10[[#This Row],[NAME]],Aggregate!$P:$AA,9,FALSE()),""))</f>
        <v>-60.710458333333328</v>
      </c>
      <c r="Q70" s="27">
        <f>SUMIFS(T71:$T$84,S71:$S$84,"&lt;&gt;x",S71:$S$84,"&lt;&gt;o",T71:$T$84,"&gt;0")/Aggregate!$X$1</f>
        <v>0</v>
      </c>
      <c r="R70" s="25" t="str">
        <f>VLOOKUP(Table10[[#This Row],[NAME]],ECR!C:E,3,FALSE)</f>
        <v>RB67</v>
      </c>
      <c r="S70" s="28"/>
      <c r="T70" s="29">
        <f>VLOOKUP(M70,Aggregate!P:X,9,FALSE())</f>
        <v>-60.710458333333328</v>
      </c>
      <c r="U70" s="31"/>
      <c r="V70" s="25">
        <f>IFERROR(VLOOKUP(Table11[[#This Row],[NAME]],Aggregate!$AD:$AO,11,FALSE()),"")</f>
        <v>7</v>
      </c>
      <c r="W70" s="26" t="str">
        <f>Aggregate!AD64</f>
        <v>Jalen McMillan</v>
      </c>
      <c r="X70" s="26" t="str">
        <f>VLOOKUP(Table11[[#This Row],[NAME]],Aggregate!AD:AO,4,FALSE())</f>
        <v>TB/10</v>
      </c>
      <c r="Y70" s="25">
        <f>IFERROR(VLOOKUP(Table11[[#This Row],[NAME]],Aggregate!$AD:$AO,8,FALSE()),"")</f>
        <v>88.067899032017877</v>
      </c>
      <c r="Z70" s="25">
        <f>IF(Scoring!$K$6="Auction",IFERROR(VLOOKUP(Table11[[#This Row],[NAME]],Aggregate!$AD:$AO,10,FALSE()),""),IFERROR(VLOOKUP(Table11[[#This Row],[NAME]],Aggregate!$AD:$AO,9,FALSE()),""))</f>
        <v>-26.635998957557703</v>
      </c>
      <c r="AA70" s="27">
        <f>SUMIFS(AD71:$AD$84,AC71:$AC$84,"&lt;&gt;x",AC71:$AC$84,"&lt;&gt;o",AD71:$AD$84,"&gt;0")/Aggregate!$AL$1</f>
        <v>0</v>
      </c>
      <c r="AB70" s="25" t="str">
        <f>VLOOKUP(Table11[[#This Row],[NAME]],ECR!C:E,3,FALSE)</f>
        <v>WR62</v>
      </c>
      <c r="AC70" s="28"/>
      <c r="AD70" s="29">
        <f>VLOOKUP(W70,Aggregate!AD:AL,9,FALSE())</f>
        <v>-26.635998957557703</v>
      </c>
      <c r="AF70" s="19"/>
      <c r="AG70" s="19"/>
    </row>
    <row r="71" spans="2:33" ht="14.25" customHeight="1" x14ac:dyDescent="0.3">
      <c r="B71" s="25">
        <f>IFERROR(VLOOKUP(Table12[[#This Row],[NAME]],Aggregate!$AR:$BC,11,FALSE()),"")</f>
        <v>6</v>
      </c>
      <c r="C71" s="26" t="str">
        <f>Aggregate!AR29</f>
        <v>Pat Freiermuth</v>
      </c>
      <c r="D71" s="26" t="str">
        <f>VLOOKUP(Table12[[#This Row],[NAME]],Aggregate!AR:BD,4,FALSE())</f>
        <v>PIT/9</v>
      </c>
      <c r="E71" s="25">
        <f>IFERROR(VLOOKUP($C71,Aggregate!$AR:$BC,8,FALSE()),"")</f>
        <v>79.748627450980393</v>
      </c>
      <c r="F71" s="25">
        <f>IF(Scoring!$K$6="Auction",IFERROR(VLOOKUP($C71,Aggregate!$AR:$BC,10,FALSE()),""),IFERROR(VLOOKUP($C71,Aggregate!$AR:$BC,9,FALSE()),""))</f>
        <v>-28.16621874509805</v>
      </c>
      <c r="G71" s="27">
        <f>SUMIFS(J72:$J$84,I72:$I$84,"&lt;&gt;x",I72:$I$84,"&lt;&gt;o",J72:$J$84,"&gt;0")/Aggregate!$AZ$1</f>
        <v>0</v>
      </c>
      <c r="H71" s="25" t="str">
        <f>VLOOKUP(Table12[[#This Row],[NAME]],ECR!C:E,3,FALSE)</f>
        <v>TE27</v>
      </c>
      <c r="I71" s="28"/>
      <c r="J71" s="29">
        <f>VLOOKUP(C71,Aggregate!AR:AZ,9,FALSE())</f>
        <v>-28.16621874509805</v>
      </c>
      <c r="K71" s="30"/>
      <c r="L71" s="25">
        <f>IFERROR(VLOOKUP(Table10[[#This Row],[NAME]],Aggregate!$P:$AA,11,FALSE()),"")</f>
        <v>9</v>
      </c>
      <c r="M71" s="26" t="str">
        <f>Aggregate!P81</f>
        <v>Ty Johnson</v>
      </c>
      <c r="N71" s="26" t="str">
        <f>VLOOKUP(Table10[[#This Row],[NAME]],Aggregate!P:AA,4,FALSE())</f>
        <v>BUF/7</v>
      </c>
      <c r="O71" s="25">
        <f>IFERROR(VLOOKUP(Table10[[#This Row],[NAME]],Aggregate!$P:$AA,8,FALSE()),"")</f>
        <v>50.634999999999998</v>
      </c>
      <c r="P71" s="25">
        <f>IF(Scoring!$K$6="Auction",IFERROR(VLOOKUP(Table10[[#This Row],[NAME]],Aggregate!$P:$AA,10,FALSE()),""),IFERROR(VLOOKUP(Table10[[#This Row],[NAME]],Aggregate!$P:$AA,9,FALSE()),""))</f>
        <v>-63.519477941176469</v>
      </c>
      <c r="Q71" s="27">
        <f>SUMIFS(T72:$T$84,S72:$S$84,"&lt;&gt;x",S72:$S$84,"&lt;&gt;o",T72:$T$84,"&gt;0")/Aggregate!$X$1</f>
        <v>0</v>
      </c>
      <c r="R71" s="25" t="str">
        <f>VLOOKUP(Table10[[#This Row],[NAME]],ECR!C:E,3,FALSE)</f>
        <v>RB79</v>
      </c>
      <c r="S71" s="28"/>
      <c r="T71" s="29">
        <f>VLOOKUP(M71,Aggregate!P:X,9,FALSE())</f>
        <v>-63.519477941176469</v>
      </c>
      <c r="U71" s="31"/>
      <c r="V71" s="25">
        <f>IFERROR(VLOOKUP(Table11[[#This Row],[NAME]],Aggregate!$AD:$AO,11,FALSE()),"")</f>
        <v>7</v>
      </c>
      <c r="W71" s="26" t="str">
        <f>Aggregate!AD67</f>
        <v>Jauan Jennings</v>
      </c>
      <c r="X71" s="26" t="str">
        <f>VLOOKUP(Table11[[#This Row],[NAME]],Aggregate!AD:AO,4,FALSE())</f>
        <v>MIN/6</v>
      </c>
      <c r="Y71" s="25">
        <f>IFERROR(VLOOKUP(Table11[[#This Row],[NAME]],Aggregate!$AD:$AO,8,FALSE()),"")</f>
        <v>87.16170742119634</v>
      </c>
      <c r="Z71" s="25">
        <f>IF(Scoring!$K$6="Auction",IFERROR(VLOOKUP(Table11[[#This Row],[NAME]],Aggregate!$AD:$AO,10,FALSE()),""),IFERROR(VLOOKUP(Table11[[#This Row],[NAME]],Aggregate!$AD:$AO,9,FALSE()),""))</f>
        <v>-27.54219056837924</v>
      </c>
      <c r="AA71" s="27">
        <f>SUMIFS(AD72:$AD$84,AC72:$AC$84,"&lt;&gt;x",AC72:$AC$84,"&lt;&gt;o",AD72:$AD$84,"&gt;0")/Aggregate!$AL$1</f>
        <v>0</v>
      </c>
      <c r="AB71" s="25" t="str">
        <f>VLOOKUP(Table11[[#This Row],[NAME]],ECR!C:E,3,FALSE)</f>
        <v>WR65</v>
      </c>
      <c r="AC71" s="28"/>
      <c r="AD71" s="29">
        <f>VLOOKUP(W71,Aggregate!AD:AL,9,FALSE())</f>
        <v>-27.54219056837924</v>
      </c>
      <c r="AF71" s="19"/>
      <c r="AG71" s="19"/>
    </row>
    <row r="72" spans="2:33" ht="14.25" customHeight="1" x14ac:dyDescent="0.3">
      <c r="B72" s="25">
        <f>IFERROR(VLOOKUP(Table12[[#This Row],[NAME]],Aggregate!$AR:$BC,11,FALSE()),"")</f>
        <v>6</v>
      </c>
      <c r="C72" s="26" t="str">
        <f>Aggregate!AR24</f>
        <v>AJ Barner</v>
      </c>
      <c r="D72" s="26" t="str">
        <f>VLOOKUP(Table12[[#This Row],[NAME]],Aggregate!AR:BD,4,FALSE())</f>
        <v>SEA/11</v>
      </c>
      <c r="E72" s="25">
        <f>IFERROR(VLOOKUP($C72,Aggregate!$AR:$BC,8,FALSE()),"")</f>
        <v>78.796568627450981</v>
      </c>
      <c r="F72" s="25">
        <f>IF(Scoring!$K$6="Auction",IFERROR(VLOOKUP($C72,Aggregate!$AR:$BC,10,FALSE()),""),IFERROR(VLOOKUP($C72,Aggregate!$AR:$BC,9,FALSE()),""))</f>
        <v>-29.118277568627462</v>
      </c>
      <c r="G72" s="27">
        <f>SUMIFS(J73:$J$84,I73:$I$84,"&lt;&gt;x",I73:$I$84,"&lt;&gt;o",J73:$J$84,"&gt;0")/Aggregate!$AZ$1</f>
        <v>0</v>
      </c>
      <c r="H72" s="25" t="str">
        <f>VLOOKUP(Table12[[#This Row],[NAME]],ECR!C:E,3,FALSE)</f>
        <v>TE22</v>
      </c>
      <c r="I72" s="28"/>
      <c r="J72" s="29">
        <f>VLOOKUP(C72,Aggregate!AR:AZ,9,FALSE())</f>
        <v>-29.118277568627462</v>
      </c>
      <c r="K72" s="30"/>
      <c r="L72" s="25">
        <f>IFERROR(VLOOKUP(Table10[[#This Row],[NAME]],Aggregate!$P:$AA,11,FALSE()),"")</f>
        <v>9</v>
      </c>
      <c r="M72" s="26" t="str">
        <f>Aggregate!P61</f>
        <v>Kimani Vidal</v>
      </c>
      <c r="N72" s="26" t="str">
        <f>VLOOKUP(Table10[[#This Row],[NAME]],Aggregate!P:AA,4,FALSE())</f>
        <v>LAC/7</v>
      </c>
      <c r="O72" s="25">
        <f>IFERROR(VLOOKUP(Table10[[#This Row],[NAME]],Aggregate!$P:$AA,8,FALSE()),"")</f>
        <v>48.456862745098043</v>
      </c>
      <c r="P72" s="25">
        <f>IF(Scoring!$K$6="Auction",IFERROR(VLOOKUP(Table10[[#This Row],[NAME]],Aggregate!$P:$AA,10,FALSE()),""),IFERROR(VLOOKUP(Table10[[#This Row],[NAME]],Aggregate!$P:$AA,9,FALSE()),""))</f>
        <v>-65.697615196078431</v>
      </c>
      <c r="Q72" s="27">
        <f>SUMIFS(T73:$T$84,S73:$S$84,"&lt;&gt;x",S73:$S$84,"&lt;&gt;o",T73:$T$84,"&gt;0")/Aggregate!$X$1</f>
        <v>0</v>
      </c>
      <c r="R72" s="25" t="str">
        <f>VLOOKUP(Table10[[#This Row],[NAME]],ECR!C:E,3,FALSE)</f>
        <v>RB59</v>
      </c>
      <c r="S72" s="28"/>
      <c r="T72" s="29">
        <f>VLOOKUP(M72,Aggregate!P:X,9,FALSE())</f>
        <v>-65.697615196078431</v>
      </c>
      <c r="U72" s="31"/>
      <c r="V72" s="25">
        <f>IFERROR(VLOOKUP(Table11[[#This Row],[NAME]],Aggregate!$AD:$AO,11,FALSE()),"")</f>
        <v>7</v>
      </c>
      <c r="W72" s="26" t="str">
        <f>Aggregate!AD73</f>
        <v>Keenan Allen</v>
      </c>
      <c r="X72" s="26" t="str">
        <f>VLOOKUP(Table11[[#This Row],[NAME]],Aggregate!AD:AO,4,FALSE())</f>
        <v>IND/13</v>
      </c>
      <c r="Y72" s="25">
        <f>IFERROR(VLOOKUP(Table11[[#This Row],[NAME]],Aggregate!$AD:$AO,8,FALSE()),"")</f>
        <v>86.459550757011655</v>
      </c>
      <c r="Z72" s="25">
        <f>IF(Scoring!$K$6="Auction",IFERROR(VLOOKUP(Table11[[#This Row],[NAME]],Aggregate!$AD:$AO,10,FALSE()),""),IFERROR(VLOOKUP(Table11[[#This Row],[NAME]],Aggregate!$AD:$AO,9,FALSE()),""))</f>
        <v>-28.244347232563925</v>
      </c>
      <c r="AA72" s="27">
        <f>SUMIFS(AD73:$AD$84,AC73:$AC$84,"&lt;&gt;x",AC73:$AC$84,"&lt;&gt;o",AD73:$AD$84,"&gt;0")/Aggregate!$AL$1</f>
        <v>0</v>
      </c>
      <c r="AB72" s="25" t="str">
        <f>VLOOKUP(Table11[[#This Row],[NAME]],ECR!C:E,3,FALSE)</f>
        <v>WR71</v>
      </c>
      <c r="AC72" s="28"/>
      <c r="AD72" s="29">
        <f>VLOOKUP(W72,Aggregate!AD:AL,9,FALSE())</f>
        <v>-28.244347232563925</v>
      </c>
      <c r="AF72" s="19"/>
      <c r="AG72" s="19"/>
    </row>
    <row r="73" spans="2:33" ht="15" customHeight="1" x14ac:dyDescent="0.3">
      <c r="B73" s="25">
        <f>IFERROR(VLOOKUP(Table12[[#This Row],[NAME]],Aggregate!$AR:$BC,11,FALSE()),"")</f>
        <v>7</v>
      </c>
      <c r="C73" s="26" t="str">
        <f>Aggregate!AR30</f>
        <v>Cade Otton</v>
      </c>
      <c r="D73" s="26" t="str">
        <f>VLOOKUP(Table12[[#This Row],[NAME]],Aggregate!AR:BD,4,FALSE())</f>
        <v>TB/10</v>
      </c>
      <c r="E73" s="25">
        <f>IFERROR(VLOOKUP($C73,Aggregate!$AR:$BC,8,FALSE()),"")</f>
        <v>76.359705882352941</v>
      </c>
      <c r="F73" s="25">
        <f>IF(Scoring!$K$6="Auction",IFERROR(VLOOKUP($C73,Aggregate!$AR:$BC,10,FALSE()),""),IFERROR(VLOOKUP($C73,Aggregate!$AR:$BC,9,FALSE()),""))</f>
        <v>-31.555140313725502</v>
      </c>
      <c r="G73" s="27">
        <f>SUMIFS(J74:$J$84,I74:$I$84,"&lt;&gt;x",I74:$I$84,"&lt;&gt;o",J74:$J$84,"&gt;0")/Aggregate!$AZ$1</f>
        <v>0</v>
      </c>
      <c r="H73" s="25" t="str">
        <f>VLOOKUP(Table12[[#This Row],[NAME]],ECR!C:E,3,FALSE)</f>
        <v>TE28</v>
      </c>
      <c r="I73" s="28"/>
      <c r="J73" s="29">
        <f>VLOOKUP(C73,Aggregate!AR:AZ,9,FALSE())</f>
        <v>-31.555140313725502</v>
      </c>
      <c r="K73" s="30"/>
      <c r="L73" s="25">
        <f>IFERROR(VLOOKUP(Table10[[#This Row],[NAME]],Aggregate!$P:$AA,11,FALSE()),"")</f>
        <v>9</v>
      </c>
      <c r="M73" s="26" t="str">
        <f>Aggregate!P76</f>
        <v>Chris Brooks</v>
      </c>
      <c r="N73" s="26" t="str">
        <f>VLOOKUP(Table10[[#This Row],[NAME]],Aggregate!P:AA,4,FALSE())</f>
        <v>GB/11</v>
      </c>
      <c r="O73" s="25">
        <f>IFERROR(VLOOKUP(Table10[[#This Row],[NAME]],Aggregate!$P:$AA,8,FALSE()),"")</f>
        <v>48.191764705882349</v>
      </c>
      <c r="P73" s="25">
        <f>IF(Scoring!$K$6="Auction",IFERROR(VLOOKUP(Table10[[#This Row],[NAME]],Aggregate!$P:$AA,10,FALSE()),""),IFERROR(VLOOKUP(Table10[[#This Row],[NAME]],Aggregate!$P:$AA,9,FALSE()),""))</f>
        <v>-65.962713235294117</v>
      </c>
      <c r="Q73" s="27">
        <f>SUMIFS(T74:$T$84,S74:$S$84,"&lt;&gt;x",S74:$S$84,"&lt;&gt;o",T74:$T$84,"&gt;0")/Aggregate!$X$1</f>
        <v>0</v>
      </c>
      <c r="R73" s="25" t="str">
        <f>VLOOKUP(Table10[[#This Row],[NAME]],ECR!C:E,3,FALSE)</f>
        <v>RB74</v>
      </c>
      <c r="S73" s="28"/>
      <c r="T73" s="29">
        <f>VLOOKUP(M73,Aggregate!P:X,9,FALSE())</f>
        <v>-65.962713235294117</v>
      </c>
      <c r="U73" s="31"/>
      <c r="V73" s="25">
        <f>IFERROR(VLOOKUP(Table11[[#This Row],[NAME]],Aggregate!$AD:$AO,11,FALSE()),"")</f>
        <v>7</v>
      </c>
      <c r="W73" s="26" t="str">
        <f>Aggregate!AD78</f>
        <v>Rashod Bateman</v>
      </c>
      <c r="X73" s="26" t="str">
        <f>VLOOKUP(Table11[[#This Row],[NAME]],Aggregate!AD:AO,4,FALSE())</f>
        <v>BAL/13</v>
      </c>
      <c r="Y73" s="25">
        <f>IFERROR(VLOOKUP(Table11[[#This Row],[NAME]],Aggregate!$AD:$AO,8,FALSE()),"")</f>
        <v>85.989537999503611</v>
      </c>
      <c r="Z73" s="25">
        <f>IF(Scoring!$K$6="Auction",IFERROR(VLOOKUP(Table11[[#This Row],[NAME]],Aggregate!$AD:$AO,10,FALSE()),""),IFERROR(VLOOKUP(Table11[[#This Row],[NAME]],Aggregate!$AD:$AO,9,FALSE()),""))</f>
        <v>-28.714359990071969</v>
      </c>
      <c r="AA73" s="27">
        <f>SUMIFS(AD74:$AD$84,AC74:$AC$84,"&lt;&gt;x",AC74:$AC$84,"&lt;&gt;o",AD74:$AD$84,"&gt;0")/Aggregate!$AL$1</f>
        <v>0</v>
      </c>
      <c r="AB73" s="25" t="str">
        <f>VLOOKUP(Table11[[#This Row],[NAME]],ECR!C:E,3,FALSE)</f>
        <v>WR76</v>
      </c>
      <c r="AC73" s="28"/>
      <c r="AD73" s="29">
        <f>VLOOKUP(W73,Aggregate!AD:AL,9,FALSE())</f>
        <v>-28.714359990071969</v>
      </c>
      <c r="AF73" s="19"/>
      <c r="AG73" s="19"/>
    </row>
    <row r="74" spans="2:33" ht="14.25" customHeight="1" x14ac:dyDescent="0.3">
      <c r="B74" s="25">
        <f>IFERROR(VLOOKUP(Table12[[#This Row],[NAME]],Aggregate!$AR:$BC,11,FALSE()),"")</f>
        <v>7</v>
      </c>
      <c r="C74" s="26" t="str">
        <f>Aggregate!AR34</f>
        <v>Greg Dulcich</v>
      </c>
      <c r="D74" s="26" t="str">
        <f>VLOOKUP(Table12[[#This Row],[NAME]],Aggregate!AR:BD,4,FALSE())</f>
        <v>MIA/6</v>
      </c>
      <c r="E74" s="25">
        <f>IFERROR(VLOOKUP($C74,Aggregate!$AR:$BC,8,FALSE()),"")</f>
        <v>75.851176470588243</v>
      </c>
      <c r="F74" s="25">
        <f>IF(Scoring!$K$6="Auction",IFERROR(VLOOKUP($C74,Aggregate!$AR:$BC,10,FALSE()),""),IFERROR(VLOOKUP($C74,Aggregate!$AR:$BC,9,FALSE()),""))</f>
        <v>-32.0636697254902</v>
      </c>
      <c r="G74" s="27">
        <f>SUMIFS(J75:$J$84,I75:$I$84,"&lt;&gt;x",I75:$I$84,"&lt;&gt;o",J75:$J$84,"&gt;0")/Aggregate!$AZ$1</f>
        <v>0</v>
      </c>
      <c r="H74" s="25" t="str">
        <f>VLOOKUP(Table12[[#This Row],[NAME]],ECR!C:E,3,FALSE)</f>
        <v>TE32</v>
      </c>
      <c r="I74" s="28"/>
      <c r="J74" s="29">
        <f>VLOOKUP(C74,Aggregate!AR:AZ,9,FALSE())</f>
        <v>-32.0636697254902</v>
      </c>
      <c r="L74" s="25">
        <f>IFERROR(VLOOKUP(Table10[[#This Row],[NAME]],Aggregate!$P:$AA,11,FALSE()),"")</f>
        <v>9</v>
      </c>
      <c r="M74" s="26" t="str">
        <f>Aggregate!P79</f>
        <v>Jordan James</v>
      </c>
      <c r="N74" s="26" t="str">
        <f>VLOOKUP(Table10[[#This Row],[NAME]],Aggregate!P:AA,4,FALSE())</f>
        <v>SF/8</v>
      </c>
      <c r="O74" s="25">
        <f>IFERROR(VLOOKUP(Table10[[#This Row],[NAME]],Aggregate!$P:$AA,8,FALSE()),"")</f>
        <v>44.978725490196076</v>
      </c>
      <c r="P74" s="25">
        <f>IF(Scoring!$K$6="Auction",IFERROR(VLOOKUP(Table10[[#This Row],[NAME]],Aggregate!$P:$AA,10,FALSE()),""),IFERROR(VLOOKUP(Table10[[#This Row],[NAME]],Aggregate!$P:$AA,9,FALSE()),""))</f>
        <v>-69.175752450980383</v>
      </c>
      <c r="Q74" s="27">
        <f>SUMIFS(T75:$T$84,S75:$S$84,"&lt;&gt;x",S75:$S$84,"&lt;&gt;o",T75:$T$84,"&gt;0")/Aggregate!$X$1</f>
        <v>0</v>
      </c>
      <c r="R74" s="25" t="str">
        <f>VLOOKUP(Table10[[#This Row],[NAME]],ECR!C:E,3,FALSE)</f>
        <v>RB77</v>
      </c>
      <c r="S74" s="28"/>
      <c r="T74" s="29">
        <f>VLOOKUP(M74,Aggregate!P:X,9,FALSE())</f>
        <v>-69.175752450980383</v>
      </c>
      <c r="V74" s="25">
        <f>IFERROR(VLOOKUP(Table11[[#This Row],[NAME]],Aggregate!$AD:$AO,11,FALSE()),"")</f>
        <v>7</v>
      </c>
      <c r="W74" s="26" t="str">
        <f>Aggregate!AD72</f>
        <v>Jalen Nailor</v>
      </c>
      <c r="X74" s="26" t="str">
        <f>VLOOKUP(Table11[[#This Row],[NAME]],Aggregate!AD:AO,4,FALSE())</f>
        <v>LV/13</v>
      </c>
      <c r="Y74" s="25">
        <f>IFERROR(VLOOKUP(Table11[[#This Row],[NAME]],Aggregate!$AD:$AO,8,FALSE()),"")</f>
        <v>83.341777115909665</v>
      </c>
      <c r="Z74" s="25">
        <f>IF(Scoring!$K$6="Auction",IFERROR(VLOOKUP(Table11[[#This Row],[NAME]],Aggregate!$AD:$AO,10,FALSE()),""),IFERROR(VLOOKUP(Table11[[#This Row],[NAME]],Aggregate!$AD:$AO,9,FALSE()),""))</f>
        <v>-31.362120873665916</v>
      </c>
      <c r="AA74" s="27">
        <f>SUMIFS(AD75:$AD$84,AC75:$AC$84,"&lt;&gt;x",AC75:$AC$84,"&lt;&gt;o",AD75:$AD$84,"&gt;0")/Aggregate!$AL$1</f>
        <v>0</v>
      </c>
      <c r="AB74" s="25" t="str">
        <f>VLOOKUP(Table11[[#This Row],[NAME]],ECR!C:E,3,FALSE)</f>
        <v>WR70</v>
      </c>
      <c r="AC74" s="28"/>
      <c r="AD74" s="29">
        <f>VLOOKUP(W74,Aggregate!AD:AL,9,FALSE())</f>
        <v>-31.362120873665916</v>
      </c>
      <c r="AF74" s="19"/>
      <c r="AG74" s="19"/>
    </row>
    <row r="75" spans="2:33" ht="14.25" customHeight="1" x14ac:dyDescent="0.3">
      <c r="B75" s="25">
        <f>IFERROR(VLOOKUP(Table12[[#This Row],[NAME]],Aggregate!$AR:$BC,11,FALSE()),"")</f>
        <v>7</v>
      </c>
      <c r="C75" s="26" t="str">
        <f>Aggregate!AR27</f>
        <v>Gunnar Helm</v>
      </c>
      <c r="D75" s="26" t="str">
        <f>VLOOKUP(Table12[[#This Row],[NAME]],Aggregate!AR:BD,4,FALSE())</f>
        <v>TEN/9</v>
      </c>
      <c r="E75" s="25">
        <f>IFERROR(VLOOKUP($C75,Aggregate!$AR:$BC,8,FALSE()),"")</f>
        <v>70.740203803921574</v>
      </c>
      <c r="F75" s="25">
        <f>IF(Scoring!$K$6="Auction",IFERROR(VLOOKUP($C75,Aggregate!$AR:$BC,10,FALSE()),""),IFERROR(VLOOKUP($C75,Aggregate!$AR:$BC,9,FALSE()),""))</f>
        <v>-37.174642392156869</v>
      </c>
      <c r="G75" s="27">
        <f>SUMIFS(J76:$J$84,I76:$I$84,"&lt;&gt;x",I76:$I$84,"&lt;&gt;o",J76:$J$84,"&gt;0")/Aggregate!$AZ$1</f>
        <v>0</v>
      </c>
      <c r="H75" s="25" t="str">
        <f>VLOOKUP(Table12[[#This Row],[NAME]],ECR!C:E,3,FALSE)</f>
        <v>TE25</v>
      </c>
      <c r="I75" s="28"/>
      <c r="J75" s="29">
        <f>VLOOKUP(C75,Aggregate!AR:AZ,9,FALSE())</f>
        <v>-37.174642392156869</v>
      </c>
      <c r="K75" s="30"/>
      <c r="L75" s="25">
        <f>IFERROR(VLOOKUP(Table10[[#This Row],[NAME]],Aggregate!$P:$AA,11,FALSE()),"")</f>
        <v>10</v>
      </c>
      <c r="M75" s="26" t="str">
        <f>Aggregate!P70</f>
        <v>Jaylen Wright</v>
      </c>
      <c r="N75" s="26" t="str">
        <f>VLOOKUP(Table10[[#This Row],[NAME]],Aggregate!P:AA,4,FALSE())</f>
        <v>MIA/6</v>
      </c>
      <c r="O75" s="25">
        <f>IFERROR(VLOOKUP(Table10[[#This Row],[NAME]],Aggregate!$P:$AA,8,FALSE()),"")</f>
        <v>42.622156862745101</v>
      </c>
      <c r="P75" s="25">
        <f>IF(Scoring!$K$6="Auction",IFERROR(VLOOKUP(Table10[[#This Row],[NAME]],Aggregate!$P:$AA,10,FALSE()),""),IFERROR(VLOOKUP(Table10[[#This Row],[NAME]],Aggregate!$P:$AA,9,FALSE()),""))</f>
        <v>-71.532321078431366</v>
      </c>
      <c r="Q75" s="27">
        <f>SUMIFS(T76:$T$84,S76:$S$84,"&lt;&gt;x",S76:$S$84,"&lt;&gt;o",T76:$T$84,"&gt;0")/Aggregate!$X$1</f>
        <v>0</v>
      </c>
      <c r="R75" s="25" t="str">
        <f>VLOOKUP(Table10[[#This Row],[NAME]],ECR!C:E,3,FALSE)</f>
        <v>RB68</v>
      </c>
      <c r="S75" s="28"/>
      <c r="T75" s="29">
        <f>VLOOKUP(M75,Aggregate!P:X,9,FALSE())</f>
        <v>-71.532321078431366</v>
      </c>
      <c r="U75" s="31"/>
      <c r="V75" s="25">
        <f>IFERROR(VLOOKUP(Table11[[#This Row],[NAME]],Aggregate!$AD:$AO,11,FALSE()),"")</f>
        <v>7</v>
      </c>
      <c r="W75" s="26" t="str">
        <f>Aggregate!AD62</f>
        <v>Adonai Mitchell</v>
      </c>
      <c r="X75" s="26" t="str">
        <f>VLOOKUP(Table11[[#This Row],[NAME]],Aggregate!AD:AO,4,FALSE())</f>
        <v>NYJ/13</v>
      </c>
      <c r="Y75" s="25">
        <f>IFERROR(VLOOKUP(Table11[[#This Row],[NAME]],Aggregate!$AD:$AO,8,FALSE()),"")</f>
        <v>80.935753288657239</v>
      </c>
      <c r="Z75" s="25">
        <f>IF(Scoring!$K$6="Auction",IFERROR(VLOOKUP(Table11[[#This Row],[NAME]],Aggregate!$AD:$AO,10,FALSE()),""),IFERROR(VLOOKUP(Table11[[#This Row],[NAME]],Aggregate!$AD:$AO,9,FALSE()),""))</f>
        <v>-33.768144700918342</v>
      </c>
      <c r="AA75" s="27">
        <f>SUMIFS(AD76:$AD$84,AC76:$AC$84,"&lt;&gt;x",AC76:$AC$84,"&lt;&gt;o",AD76:$AD$84,"&gt;0")/Aggregate!$AL$1</f>
        <v>0</v>
      </c>
      <c r="AB75" s="25" t="str">
        <f>VLOOKUP(Table11[[#This Row],[NAME]],ECR!C:E,3,FALSE)</f>
        <v>WR60</v>
      </c>
      <c r="AC75" s="28"/>
      <c r="AD75" s="29">
        <f>VLOOKUP(W75,Aggregate!AD:AL,9,FALSE())</f>
        <v>-33.768144700918342</v>
      </c>
      <c r="AF75" s="19"/>
      <c r="AG75" s="19"/>
    </row>
    <row r="76" spans="2:33" ht="14.25" customHeight="1" x14ac:dyDescent="0.3">
      <c r="B76" s="25">
        <f>IFERROR(VLOOKUP(Table12[[#This Row],[NAME]],Aggregate!$AR:$BC,11,FALSE()),"")</f>
        <v>7</v>
      </c>
      <c r="C76" s="26" t="str">
        <f>Aggregate!AR31</f>
        <v>Evan Engram</v>
      </c>
      <c r="D76" s="26" t="str">
        <f>VLOOKUP(Table12[[#This Row],[NAME]],Aggregate!AR:BD,4,FALSE())</f>
        <v>DEN/10</v>
      </c>
      <c r="E76" s="25">
        <f>IFERROR(VLOOKUP($C76,Aggregate!$AR:$BC,8,FALSE()),"")</f>
        <v>68.659117647058821</v>
      </c>
      <c r="F76" s="25">
        <f>IF(Scoring!$K$6="Auction",IFERROR(VLOOKUP($C76,Aggregate!$AR:$BC,10,FALSE()),""),IFERROR(VLOOKUP($C76,Aggregate!$AR:$BC,9,FALSE()),""))</f>
        <v>-39.255728549019622</v>
      </c>
      <c r="G76" s="27">
        <f>SUMIFS(J76:$J$84,I76:$I$84,"&lt;&gt;x",I76:$I$84,"&lt;&gt;o",J76:$J$84,"&gt;0")/Aggregate!$AZ$1</f>
        <v>0</v>
      </c>
      <c r="H76" s="25" t="str">
        <f>VLOOKUP(Table12[[#This Row],[NAME]],ECR!C:E,3,FALSE)</f>
        <v>TE29</v>
      </c>
      <c r="I76" s="28"/>
      <c r="J76" s="29">
        <f>VLOOKUP(C76,Aggregate!AR:AZ,9,FALSE())</f>
        <v>-39.255728549019622</v>
      </c>
      <c r="K76" s="30"/>
      <c r="L76" s="25">
        <f>IFERROR(VLOOKUP(Table10[[#This Row],[NAME]],Aggregate!$P:$AA,11,FALSE()),"")</f>
        <v>10</v>
      </c>
      <c r="M76" s="26" t="str">
        <f>Aggregate!P73</f>
        <v>Emanuel Wilson</v>
      </c>
      <c r="N76" s="26" t="str">
        <f>VLOOKUP(Table10[[#This Row],[NAME]],Aggregate!P:AA,4,FALSE())</f>
        <v>SEA/11</v>
      </c>
      <c r="O76" s="25">
        <f>IFERROR(VLOOKUP(Table10[[#This Row],[NAME]],Aggregate!$P:$AA,8,FALSE()),"")</f>
        <v>40.26303921568627</v>
      </c>
      <c r="P76" s="25">
        <f>IF(Scoring!$K$6="Auction",IFERROR(VLOOKUP(Table10[[#This Row],[NAME]],Aggregate!$P:$AA,10,FALSE()),""),IFERROR(VLOOKUP(Table10[[#This Row],[NAME]],Aggregate!$P:$AA,9,FALSE()),""))</f>
        <v>-73.89143872549019</v>
      </c>
      <c r="Q76" s="27">
        <f>SUMIFS(T77:$T$84,S77:$S$84,"&lt;&gt;x",S77:$S$84,"&lt;&gt;o",T77:$T$84,"&gt;0")/Aggregate!$X$1</f>
        <v>0</v>
      </c>
      <c r="R76" s="25" t="str">
        <f>VLOOKUP(Table10[[#This Row],[NAME]],ECR!C:E,3,FALSE)</f>
        <v>RB71</v>
      </c>
      <c r="S76" s="28"/>
      <c r="T76" s="29">
        <f>VLOOKUP(M76,Aggregate!P:X,9,FALSE())</f>
        <v>-73.89143872549019</v>
      </c>
      <c r="U76" s="31"/>
      <c r="V76" s="25">
        <f>IFERROR(VLOOKUP(Table11[[#This Row],[NAME]],Aggregate!$AD:$AO,11,FALSE()),"")</f>
        <v>7</v>
      </c>
      <c r="W76" s="26" t="str">
        <f>Aggregate!AD82</f>
        <v>Malachi Fields</v>
      </c>
      <c r="X76" s="26" t="str">
        <f>VLOOKUP(Table11[[#This Row],[NAME]],Aggregate!AD:AO,4,FALSE())</f>
        <v>NYG/8</v>
      </c>
      <c r="Y76" s="25">
        <f>IFERROR(VLOOKUP(Table11[[#This Row],[NAME]],Aggregate!$AD:$AO,8,FALSE()),"")</f>
        <v>79.767555224621503</v>
      </c>
      <c r="Z76" s="25">
        <f>IF(Scoring!$K$6="Auction",IFERROR(VLOOKUP(Table11[[#This Row],[NAME]],Aggregate!$AD:$AO,10,FALSE()),""),IFERROR(VLOOKUP(Table11[[#This Row],[NAME]],Aggregate!$AD:$AO,9,FALSE()),""))</f>
        <v>-34.936342764954077</v>
      </c>
      <c r="AA76" s="27">
        <f>SUMIFS(AD77:$AD$84,AC77:$AC$84,"&lt;&gt;x",AC77:$AC$84,"&lt;&gt;o",AD77:$AD$84,"&gt;0")/Aggregate!$AL$1</f>
        <v>0</v>
      </c>
      <c r="AB76" s="25" t="str">
        <f>VLOOKUP(Table11[[#This Row],[NAME]],ECR!C:E,3,FALSE)</f>
        <v>WR80</v>
      </c>
      <c r="AC76" s="28"/>
      <c r="AD76" s="29">
        <f>VLOOKUP(W76,Aggregate!AD:AL,9,FALSE())</f>
        <v>-34.936342764954077</v>
      </c>
      <c r="AF76" s="19"/>
      <c r="AG76" s="19"/>
    </row>
    <row r="77" spans="2:33" ht="14.25" customHeight="1" x14ac:dyDescent="0.3">
      <c r="B77" s="25">
        <f>IFERROR(VLOOKUP(Table12[[#This Row],[NAME]],Aggregate!$AR:$BC,11,FALSE()),"")</f>
        <v>7</v>
      </c>
      <c r="C77" s="26" t="str">
        <f>Aggregate!AR32</f>
        <v>David Njoku</v>
      </c>
      <c r="D77" s="26" t="str">
        <f>VLOOKUP(Table12[[#This Row],[NAME]],Aggregate!AR:BD,4,FALSE())</f>
        <v>LAC/7</v>
      </c>
      <c r="E77" s="25">
        <f>IFERROR(VLOOKUP($C77,Aggregate!$AR:$BC,8,FALSE()),"")</f>
        <v>66.712941176470594</v>
      </c>
      <c r="F77" s="25">
        <f>IF(Scoring!$K$6="Auction",IFERROR(VLOOKUP($C77,Aggregate!$AR:$BC,10,FALSE()),""),IFERROR(VLOOKUP($C77,Aggregate!$AR:$BC,9,FALSE()),""))</f>
        <v>-41.20190501960785</v>
      </c>
      <c r="G77" s="27">
        <v>0</v>
      </c>
      <c r="H77" s="25" t="str">
        <f>VLOOKUP(Table12[[#This Row],[NAME]],ECR!C:E,3,FALSE)</f>
        <v>TE30</v>
      </c>
      <c r="I77" s="28"/>
      <c r="J77" s="29">
        <f>VLOOKUP(C77,Aggregate!AR:AZ,9,FALSE())</f>
        <v>-41.20190501960785</v>
      </c>
      <c r="K77" s="30"/>
      <c r="L77" s="25">
        <f>IFERROR(VLOOKUP(Table10[[#This Row],[NAME]],Aggregate!$P:$AA,11,FALSE()),"")</f>
        <v>10</v>
      </c>
      <c r="M77" s="26" t="str">
        <f>Aggregate!P60</f>
        <v>Ray Davis</v>
      </c>
      <c r="N77" s="26" t="str">
        <f>VLOOKUP(Table10[[#This Row],[NAME]],Aggregate!P:AA,4,FALSE())</f>
        <v>BUF/7</v>
      </c>
      <c r="O77" s="25">
        <f>IFERROR(VLOOKUP(Table10[[#This Row],[NAME]],Aggregate!$P:$AA,8,FALSE()),"")</f>
        <v>38.500388784313721</v>
      </c>
      <c r="P77" s="25">
        <f>IF(Scoring!$K$6="Auction",IFERROR(VLOOKUP(Table10[[#This Row],[NAME]],Aggregate!$P:$AA,10,FALSE()),""),IFERROR(VLOOKUP(Table10[[#This Row],[NAME]],Aggregate!$P:$AA,9,FALSE()),""))</f>
        <v>-75.654089156862739</v>
      </c>
      <c r="Q77" s="27">
        <f>SUMIFS(T78:$T$84,S78:$S$84,"&lt;&gt;x",S78:$S$84,"&lt;&gt;o",T78:$T$84,"&gt;0")/Aggregate!$X$1</f>
        <v>0</v>
      </c>
      <c r="R77" s="25" t="str">
        <f>VLOOKUP(Table10[[#This Row],[NAME]],ECR!C:E,3,FALSE)</f>
        <v>RB58</v>
      </c>
      <c r="S77" s="28"/>
      <c r="T77" s="29">
        <f>VLOOKUP(M77,Aggregate!P:X,9,FALSE())</f>
        <v>-75.654089156862739</v>
      </c>
      <c r="U77" s="31"/>
      <c r="V77" s="25">
        <f>IFERROR(VLOOKUP(Table11[[#This Row],[NAME]],Aggregate!$AD:$AO,11,FALSE()),"")</f>
        <v>7</v>
      </c>
      <c r="W77" s="26" t="str">
        <f>Aggregate!AD81</f>
        <v>Zachariah Branch</v>
      </c>
      <c r="X77" s="26" t="str">
        <f>VLOOKUP(Table11[[#This Row],[NAME]],Aggregate!AD:AO,4,FALSE())</f>
        <v>ATL/11</v>
      </c>
      <c r="Y77" s="25">
        <f>IFERROR(VLOOKUP(Table11[[#This Row],[NAME]],Aggregate!$AD:$AO,8,FALSE()),"")</f>
        <v>78.67280148920328</v>
      </c>
      <c r="Z77" s="25">
        <f>IF(Scoring!$K$6="Auction",IFERROR(VLOOKUP(Table11[[#This Row],[NAME]],Aggregate!$AD:$AO,10,FALSE()),""),IFERROR(VLOOKUP(Table11[[#This Row],[NAME]],Aggregate!$AD:$AO,9,FALSE()),""))</f>
        <v>-36.0310965003723</v>
      </c>
      <c r="AA77" s="27">
        <f>SUMIFS(AD78:$AD$84,AC78:$AC$84,"&lt;&gt;x",AC78:$AC$84,"&lt;&gt;o",AD78:$AD$84,"&gt;0")/Aggregate!$AL$1</f>
        <v>0</v>
      </c>
      <c r="AB77" s="25" t="str">
        <f>VLOOKUP(Table11[[#This Row],[NAME]],ECR!C:E,3,FALSE)</f>
        <v>WR79</v>
      </c>
      <c r="AC77" s="28"/>
      <c r="AD77" s="29">
        <f>VLOOKUP(W77,Aggregate!AD:AL,9,FALSE())</f>
        <v>-36.0310965003723</v>
      </c>
      <c r="AF77" s="19"/>
      <c r="AG77" s="19"/>
    </row>
    <row r="78" spans="2:33" ht="14.25" customHeight="1" x14ac:dyDescent="0.3">
      <c r="B78" s="25">
        <f>IFERROR(VLOOKUP(Table12[[#This Row],[NAME]],Aggregate!$AR:$BC,11,FALSE()),"")</f>
        <v>8</v>
      </c>
      <c r="C78" s="26" t="str">
        <f>Aggregate!AR39</f>
        <v>Darren Waller</v>
      </c>
      <c r="D78" s="26" t="str">
        <f>VLOOKUP(Table12[[#This Row],[NAME]],Aggregate!AR:BD,4,FALSE())</f>
        <v>CAR/5</v>
      </c>
      <c r="E78" s="25">
        <f>IFERROR(VLOOKUP($C78,Aggregate!$AR:$BC,8,FALSE()),"")</f>
        <v>64.743823529411756</v>
      </c>
      <c r="F78" s="25">
        <f>IF(Scoring!$K$6="Auction",IFERROR(VLOOKUP($C78,Aggregate!$AR:$BC,10,FALSE()),""),IFERROR(VLOOKUP($C78,Aggregate!$AR:$BC,9,FALSE()),""))</f>
        <v>-43.171022666666687</v>
      </c>
      <c r="G78" s="27">
        <f>SUMIFS(J78:$J$85,I78:$I$85,"&lt;&gt;x",I78:$I$85,"&lt;&gt;o",J78:$J$85,"&gt;0")/Aggregate!$AZ$1</f>
        <v>0</v>
      </c>
      <c r="H78" s="25" t="str">
        <f>VLOOKUP(Table12[[#This Row],[NAME]],ECR!C:E,3,FALSE)</f>
        <v>TE37</v>
      </c>
      <c r="I78" s="28"/>
      <c r="J78" s="29">
        <f>VLOOKUP(C78,Aggregate!AR:AZ,9,FALSE())</f>
        <v>-43.171022666666687</v>
      </c>
      <c r="K78" s="30"/>
      <c r="L78" s="25">
        <f>IFERROR(VLOOKUP(Table10[[#This Row],[NAME]],Aggregate!$P:$AA,11,FALSE()),"")</f>
        <v>10</v>
      </c>
      <c r="M78" s="26" t="str">
        <f>Aggregate!P72</f>
        <v>James Conner</v>
      </c>
      <c r="N78" s="26" t="str">
        <f>VLOOKUP(Table10[[#This Row],[NAME]],Aggregate!P:AA,4,FALSE())</f>
        <v>ARI/14</v>
      </c>
      <c r="O78" s="25">
        <f>IFERROR(VLOOKUP(Table10[[#This Row],[NAME]],Aggregate!$P:$AA,8,FALSE()),"")</f>
        <v>38.166470588235292</v>
      </c>
      <c r="P78" s="25">
        <f>IF(Scoring!$K$6="Auction",IFERROR(VLOOKUP(Table10[[#This Row],[NAME]],Aggregate!$P:$AA,10,FALSE()),""),IFERROR(VLOOKUP(Table10[[#This Row],[NAME]],Aggregate!$P:$AA,9,FALSE()),""))</f>
        <v>-75.988007352941167</v>
      </c>
      <c r="Q78" s="27">
        <f>SUMIFS(T79:$T$84,S79:$S$84,"&lt;&gt;x",S79:$S$84,"&lt;&gt;o",T79:$T$84,"&gt;0")/Aggregate!$X$1</f>
        <v>0</v>
      </c>
      <c r="R78" s="25" t="str">
        <f>VLOOKUP(Table10[[#This Row],[NAME]],ECR!C:E,3,FALSE)</f>
        <v>RB70</v>
      </c>
      <c r="S78" s="28"/>
      <c r="T78" s="29">
        <f>VLOOKUP(M78,Aggregate!P:X,9,FALSE())</f>
        <v>-75.988007352941167</v>
      </c>
      <c r="U78" s="31"/>
      <c r="V78" s="25">
        <f>IFERROR(VLOOKUP(Table11[[#This Row],[NAME]],Aggregate!$AD:$AO,11,FALSE()),"")</f>
        <v>7</v>
      </c>
      <c r="W78" s="26" t="str">
        <f>Aggregate!AD76</f>
        <v>Jaylin Noel</v>
      </c>
      <c r="X78" s="26" t="str">
        <f>VLOOKUP(Table11[[#This Row],[NAME]],Aggregate!AD:AO,4,FALSE())</f>
        <v>HOU/8</v>
      </c>
      <c r="Y78" s="25">
        <f>IFERROR(VLOOKUP(Table11[[#This Row],[NAME]],Aggregate!$AD:$AO,8,FALSE()),"")</f>
        <v>77.746959394390672</v>
      </c>
      <c r="Z78" s="25">
        <f>IF(Scoring!$K$6="Auction",IFERROR(VLOOKUP(Table11[[#This Row],[NAME]],Aggregate!$AD:$AO,10,FALSE()),""),IFERROR(VLOOKUP(Table11[[#This Row],[NAME]],Aggregate!$AD:$AO,9,FALSE()),""))</f>
        <v>-36.956938595184909</v>
      </c>
      <c r="AA78" s="27">
        <f>SUMIFS(AD79:$AD$84,AC79:$AC$84,"&lt;&gt;x",AC79:$AC$84,"&lt;&gt;o",AD79:$AD$84,"&gt;0")/Aggregate!$AL$1</f>
        <v>0</v>
      </c>
      <c r="AB78" s="25" t="str">
        <f>VLOOKUP(Table11[[#This Row],[NAME]],ECR!C:E,3,FALSE)</f>
        <v>WR74</v>
      </c>
      <c r="AC78" s="28"/>
      <c r="AD78" s="29">
        <f>VLOOKUP(W78,Aggregate!AD:AL,9,FALSE())</f>
        <v>-36.956938595184909</v>
      </c>
      <c r="AF78" s="19"/>
      <c r="AG78" s="19"/>
    </row>
    <row r="79" spans="2:33" ht="14.25" customHeight="1" x14ac:dyDescent="0.3">
      <c r="B79" s="25">
        <f>IFERROR(VLOOKUP(Table12[[#This Row],[NAME]],Aggregate!$AR:$BC,11,FALSE()),"")</f>
        <v>8</v>
      </c>
      <c r="C79" s="26" t="str">
        <f>Aggregate!AR28</f>
        <v>Oronde Gadsden II</v>
      </c>
      <c r="D79" s="26" t="str">
        <f>VLOOKUP(Table12[[#This Row],[NAME]],Aggregate!AR:BD,4,FALSE())</f>
        <v>LAC/7</v>
      </c>
      <c r="E79" s="25">
        <f>IFERROR(VLOOKUP($C79,Aggregate!$AR:$BC,8,FALSE()),"")</f>
        <v>62.919999999999995</v>
      </c>
      <c r="F79" s="25">
        <f>IF(Scoring!$K$6="Auction",IFERROR(VLOOKUP($C79,Aggregate!$AR:$BC,10,FALSE()),""),IFERROR(VLOOKUP($C79,Aggregate!$AR:$BC,9,FALSE()),""))</f>
        <v>-44.994846196078448</v>
      </c>
      <c r="G79" s="27">
        <f>SUMIFS(J80:$J$84,I80:$I$84,"&lt;&gt;x",I80:$I$84,"&lt;&gt;o",J80:$J$84,"&gt;0")/Aggregate!$AZ$1</f>
        <v>0</v>
      </c>
      <c r="H79" s="25" t="str">
        <f>VLOOKUP(Table12[[#This Row],[NAME]],ECR!C:E,3,FALSE)</f>
        <v>TE26</v>
      </c>
      <c r="I79" s="28"/>
      <c r="J79" s="29">
        <f>VLOOKUP(C79,Aggregate!AR:AZ,9,FALSE())</f>
        <v>-44.994846196078448</v>
      </c>
      <c r="K79" s="30"/>
      <c r="L79" s="25">
        <f>IFERROR(VLOOKUP(Table10[[#This Row],[NAME]],Aggregate!$P:$AA,11,FALSE()),"")</f>
        <v>10</v>
      </c>
      <c r="M79" s="26" t="str">
        <f>Aggregate!P64</f>
        <v>Sean Tucker</v>
      </c>
      <c r="N79" s="26" t="str">
        <f>VLOOKUP(Table10[[#This Row],[NAME]],Aggregate!P:AA,4,FALSE())</f>
        <v>TB/10</v>
      </c>
      <c r="O79" s="25">
        <f>IFERROR(VLOOKUP(Table10[[#This Row],[NAME]],Aggregate!$P:$AA,8,FALSE()),"")</f>
        <v>36.350773333333336</v>
      </c>
      <c r="P79" s="25">
        <f>IF(Scoring!$K$6="Auction",IFERROR(VLOOKUP(Table10[[#This Row],[NAME]],Aggregate!$P:$AA,10,FALSE()),""),IFERROR(VLOOKUP(Table10[[#This Row],[NAME]],Aggregate!$P:$AA,9,FALSE()),""))</f>
        <v>-77.80370460784313</v>
      </c>
      <c r="Q79" s="27">
        <f>SUMIFS(T80:$T$84,S80:$S$84,"&lt;&gt;x",S80:$S$84,"&lt;&gt;o",T80:$T$84,"&gt;0")/Aggregate!$X$1</f>
        <v>0</v>
      </c>
      <c r="R79" s="25" t="str">
        <f>VLOOKUP(Table10[[#This Row],[NAME]],ECR!C:E,3,FALSE)</f>
        <v>RB62</v>
      </c>
      <c r="S79" s="28"/>
      <c r="T79" s="29">
        <f>VLOOKUP(M79,Aggregate!P:X,9,FALSE())</f>
        <v>-77.80370460784313</v>
      </c>
      <c r="U79" s="31"/>
      <c r="V79" s="25">
        <f>IFERROR(VLOOKUP(Table11[[#This Row],[NAME]],Aggregate!$AD:$AO,11,FALSE()),"")</f>
        <v>7</v>
      </c>
      <c r="W79" s="26" t="str">
        <f>Aggregate!AD65</f>
        <v>Dontayvion Wicks</v>
      </c>
      <c r="X79" s="26" t="str">
        <f>VLOOKUP(Table11[[#This Row],[NAME]],Aggregate!AD:AO,4,FALSE())</f>
        <v>PHI/10</v>
      </c>
      <c r="Y79" s="25">
        <f>IFERROR(VLOOKUP(Table11[[#This Row],[NAME]],Aggregate!$AD:$AO,8,FALSE()),"")</f>
        <v>73.939252618515766</v>
      </c>
      <c r="Z79" s="25">
        <f>IF(Scoring!$K$6="Auction",IFERROR(VLOOKUP(Table11[[#This Row],[NAME]],Aggregate!$AD:$AO,10,FALSE()),""),IFERROR(VLOOKUP(Table11[[#This Row],[NAME]],Aggregate!$AD:$AO,9,FALSE()),""))</f>
        <v>-40.764645371059814</v>
      </c>
      <c r="AA79" s="27">
        <f>SUMIFS(AD80:$AD$84,AC80:$AC$84,"&lt;&gt;x",AC80:$AC$84,"&lt;&gt;o",AD80:$AD$84,"&gt;0")/Aggregate!$AL$1</f>
        <v>0</v>
      </c>
      <c r="AB79" s="25" t="str">
        <f>VLOOKUP(Table11[[#This Row],[NAME]],ECR!C:E,3,FALSE)</f>
        <v>WR63</v>
      </c>
      <c r="AC79" s="28"/>
      <c r="AD79" s="29">
        <f>VLOOKUP(W79,Aggregate!AD:AL,9,FALSE())</f>
        <v>-40.764645371059814</v>
      </c>
      <c r="AF79" s="19"/>
      <c r="AG79" s="19"/>
    </row>
    <row r="80" spans="2:33" ht="14.25" customHeight="1" x14ac:dyDescent="0.3">
      <c r="B80" s="25">
        <f>IFERROR(VLOOKUP(Table12[[#This Row],[NAME]],Aggregate!$AR:$BC,11,FALSE()),"")</f>
        <v>8</v>
      </c>
      <c r="C80" s="26" t="str">
        <f>Aggregate!AR38</f>
        <v>Mike Gesicki</v>
      </c>
      <c r="D80" s="26" t="str">
        <f>VLOOKUP(Table12[[#This Row],[NAME]],Aggregate!AR:BD,4,FALSE())</f>
        <v>CIN/6</v>
      </c>
      <c r="E80" s="25">
        <f>IFERROR(VLOOKUP($C80,Aggregate!$AR:$BC,8,FALSE()),"")</f>
        <v>62.602647058823543</v>
      </c>
      <c r="F80" s="25">
        <f>IF(Scoring!$K$6="Auction",IFERROR(VLOOKUP($C80,Aggregate!$AR:$BC,10,FALSE()),""),IFERROR(VLOOKUP($C80,Aggregate!$AR:$BC,9,FALSE()),""))</f>
        <v>-45.3121991372549</v>
      </c>
      <c r="G80" s="27">
        <f>SUMIFS(J80:$J$85,I80:$I$85,"&lt;&gt;x",I80:$I$85,"&lt;&gt;o",J80:$J$85,"&gt;0")/Aggregate!$AZ$1</f>
        <v>0</v>
      </c>
      <c r="H80" s="25" t="str">
        <f>VLOOKUP(Table12[[#This Row],[NAME]],ECR!C:E,3,FALSE)</f>
        <v>TE36</v>
      </c>
      <c r="I80" s="28"/>
      <c r="J80" s="29">
        <f>VLOOKUP(C80,Aggregate!AR:AZ,9,FALSE())</f>
        <v>-45.3121991372549</v>
      </c>
      <c r="K80" s="30"/>
      <c r="L80" s="25">
        <f>IFERROR(VLOOKUP(Table10[[#This Row],[NAME]],Aggregate!$P:$AA,11,FALSE()),"")</f>
        <v>10</v>
      </c>
      <c r="M80" s="26" t="str">
        <f>Aggregate!P68</f>
        <v>George Holani</v>
      </c>
      <c r="N80" s="26" t="str">
        <f>VLOOKUP(Table10[[#This Row],[NAME]],Aggregate!P:AA,4,FALSE())</f>
        <v>SEA/11</v>
      </c>
      <c r="O80" s="25">
        <f>IFERROR(VLOOKUP(Table10[[#This Row],[NAME]],Aggregate!$P:$AA,8,FALSE()),"")</f>
        <v>34.506078431372551</v>
      </c>
      <c r="P80" s="25">
        <f>IF(Scoring!$K$6="Auction",IFERROR(VLOOKUP(Table10[[#This Row],[NAME]],Aggregate!$P:$AA,10,FALSE()),""),IFERROR(VLOOKUP(Table10[[#This Row],[NAME]],Aggregate!$P:$AA,9,FALSE()),""))</f>
        <v>-79.648399509803909</v>
      </c>
      <c r="Q80" s="27">
        <f>SUMIFS(T81:$T$84,S81:$S$84,"&lt;&gt;x",S81:$S$84,"&lt;&gt;o",T81:$T$84,"&gt;0")/Aggregate!$X$1</f>
        <v>0</v>
      </c>
      <c r="R80" s="25" t="str">
        <f>VLOOKUP(Table10[[#This Row],[NAME]],ECR!C:E,3,FALSE)</f>
        <v>RB66</v>
      </c>
      <c r="S80" s="28"/>
      <c r="T80" s="29">
        <f>VLOOKUP(M80,Aggregate!P:X,9,FALSE())</f>
        <v>-79.648399509803909</v>
      </c>
      <c r="U80" s="31"/>
      <c r="V80" s="25">
        <f>IFERROR(VLOOKUP(Table11[[#This Row],[NAME]],Aggregate!$AD:$AO,11,FALSE()),"")</f>
        <v>7</v>
      </c>
      <c r="W80" s="26" t="str">
        <f>Aggregate!AD74</f>
        <v>Malik Washington</v>
      </c>
      <c r="X80" s="26" t="str">
        <f>VLOOKUP(Table11[[#This Row],[NAME]],Aggregate!AD:AO,4,FALSE())</f>
        <v>MIA/6</v>
      </c>
      <c r="Y80" s="25">
        <f>IFERROR(VLOOKUP(Table11[[#This Row],[NAME]],Aggregate!$AD:$AO,8,FALSE()),"")</f>
        <v>73.860805410771917</v>
      </c>
      <c r="Z80" s="25">
        <f>IF(Scoring!$K$6="Auction",IFERROR(VLOOKUP(Table11[[#This Row],[NAME]],Aggregate!$AD:$AO,10,FALSE()),""),IFERROR(VLOOKUP(Table11[[#This Row],[NAME]],Aggregate!$AD:$AO,9,FALSE()),""))</f>
        <v>-40.843092578803663</v>
      </c>
      <c r="AA80" s="27">
        <f>SUMIFS(AD81:$AD$84,AC81:$AC$84,"&lt;&gt;x",AC81:$AC$84,"&lt;&gt;o",AD81:$AD$84,"&gt;0")/Aggregate!$AL$1</f>
        <v>0</v>
      </c>
      <c r="AB80" s="25" t="str">
        <f>VLOOKUP(Table11[[#This Row],[NAME]],ECR!C:E,3,FALSE)</f>
        <v>WR72</v>
      </c>
      <c r="AC80" s="28"/>
      <c r="AD80" s="29">
        <f>VLOOKUP(W80,Aggregate!AD:AL,9,FALSE())</f>
        <v>-40.843092578803663</v>
      </c>
      <c r="AF80" s="19"/>
      <c r="AG80" s="19"/>
    </row>
    <row r="81" spans="2:33" ht="14.25" customHeight="1" x14ac:dyDescent="0.3">
      <c r="B81" s="25">
        <f>IFERROR(VLOOKUP(Table12[[#This Row],[NAME]],Aggregate!$AR:$BC,11,FALSE()),"")</f>
        <v>8</v>
      </c>
      <c r="C81" s="26" t="str">
        <f>Aggregate!AR33</f>
        <v>Colby Parkinson</v>
      </c>
      <c r="D81" s="26" t="str">
        <f>VLOOKUP(Table12[[#This Row],[NAME]],Aggregate!AR:BD,4,FALSE())</f>
        <v>LAR/11</v>
      </c>
      <c r="E81" s="25">
        <f>IFERROR(VLOOKUP($C81,Aggregate!$AR:$BC,8,FALSE()),"")</f>
        <v>61.173921568627442</v>
      </c>
      <c r="F81" s="25">
        <f>IF(Scoring!$K$6="Auction",IFERROR(VLOOKUP($C81,Aggregate!$AR:$BC,10,FALSE()),""),IFERROR(VLOOKUP($C81,Aggregate!$AR:$BC,9,FALSE()),""))</f>
        <v>-46.740924627451001</v>
      </c>
      <c r="G81" s="27">
        <f>SUMIFS(J82:$J$84,I82:$I$84,"&lt;&gt;x",I82:$I$84,"&lt;&gt;o",J82:$J$84,"&gt;0")/Aggregate!$AZ$1</f>
        <v>0</v>
      </c>
      <c r="H81" s="25" t="str">
        <f>VLOOKUP(Table12[[#This Row],[NAME]],ECR!C:E,3,FALSE)</f>
        <v>TE31</v>
      </c>
      <c r="I81" s="28"/>
      <c r="J81" s="29">
        <f>VLOOKUP(C81,Aggregate!AR:AZ,9,FALSE())</f>
        <v>-46.740924627451001</v>
      </c>
      <c r="K81" s="30"/>
      <c r="L81" s="25">
        <f>IFERROR(VLOOKUP(Table10[[#This Row],[NAME]],Aggregate!$P:$AA,11,FALSE()),"")</f>
        <v>10</v>
      </c>
      <c r="M81" s="26" t="str">
        <f>Aggregate!P80</f>
        <v>Isaiah Davis</v>
      </c>
      <c r="N81" s="26" t="str">
        <f>VLOOKUP(Table10[[#This Row],[NAME]],Aggregate!P:AA,4,FALSE())</f>
        <v>NYJ/13</v>
      </c>
      <c r="O81" s="25">
        <f>IFERROR(VLOOKUP(Table10[[#This Row],[NAME]],Aggregate!$P:$AA,8,FALSE()),"")</f>
        <v>28.545196078431374</v>
      </c>
      <c r="P81" s="25">
        <f>IF(Scoring!$K$6="Auction",IFERROR(VLOOKUP(Table10[[#This Row],[NAME]],Aggregate!$P:$AA,10,FALSE()),""),IFERROR(VLOOKUP(Table10[[#This Row],[NAME]],Aggregate!$P:$AA,9,FALSE()),""))</f>
        <v>-85.609281862745092</v>
      </c>
      <c r="Q81" s="27">
        <f>SUMIFS(T82:$T$84,S82:$S$84,"&lt;&gt;x",S82:$S$84,"&lt;&gt;o",T82:$T$84,"&gt;0")/Aggregate!$X$1</f>
        <v>0</v>
      </c>
      <c r="R81" s="25" t="str">
        <f>VLOOKUP(Table10[[#This Row],[NAME]],ECR!C:E,3,FALSE)</f>
        <v>RB78</v>
      </c>
      <c r="S81" s="28"/>
      <c r="T81" s="29">
        <f>VLOOKUP(M81,Aggregate!P:X,9,FALSE())</f>
        <v>-85.609281862745092</v>
      </c>
      <c r="U81" s="31"/>
      <c r="V81" s="25">
        <f>IFERROR(VLOOKUP(Table11[[#This Row],[NAME]],Aggregate!$AD:$AO,11,FALSE()),"")</f>
        <v>7</v>
      </c>
      <c r="W81" s="26" t="str">
        <f>Aggregate!AD77</f>
        <v>Travis Hunter</v>
      </c>
      <c r="X81" s="26" t="str">
        <f>VLOOKUP(Table11[[#This Row],[NAME]],Aggregate!AD:AO,4,FALSE())</f>
        <v>JAC/7</v>
      </c>
      <c r="Y81" s="25">
        <f>IFERROR(VLOOKUP(Table11[[#This Row],[NAME]],Aggregate!$AD:$AO,8,FALSE()),"")</f>
        <v>70.262084884586741</v>
      </c>
      <c r="Z81" s="25">
        <f>IF(Scoring!$K$6="Auction",IFERROR(VLOOKUP(Table11[[#This Row],[NAME]],Aggregate!$AD:$AO,10,FALSE()),""),IFERROR(VLOOKUP(Table11[[#This Row],[NAME]],Aggregate!$AD:$AO,9,FALSE()),""))</f>
        <v>-44.441813104988839</v>
      </c>
      <c r="AA81" s="27">
        <f>SUMIFS(AD82:$AD$84,AC82:$AC$84,"&lt;&gt;x",AC82:$AC$84,"&lt;&gt;o",AD82:$AD$84,"&gt;0")/Aggregate!$AL$1</f>
        <v>0</v>
      </c>
      <c r="AB81" s="25" t="str">
        <f>VLOOKUP(Table11[[#This Row],[NAME]],ECR!C:E,3,FALSE)</f>
        <v>WR75</v>
      </c>
      <c r="AC81" s="28"/>
      <c r="AD81" s="29">
        <f>VLOOKUP(W81,Aggregate!AD:AL,9,FALSE())</f>
        <v>-44.441813104988839</v>
      </c>
      <c r="AF81" s="19"/>
      <c r="AG81" s="19"/>
    </row>
    <row r="82" spans="2:33" ht="14.25" customHeight="1" x14ac:dyDescent="0.3">
      <c r="B82" s="25">
        <f>IFERROR(VLOOKUP(Table12[[#This Row],[NAME]],Aggregate!$AR:$BC,11,FALSE()),"")</f>
        <v>8</v>
      </c>
      <c r="C82" s="26" t="str">
        <f>Aggregate!AR35</f>
        <v>Mason Taylor</v>
      </c>
      <c r="D82" s="26" t="str">
        <f>VLOOKUP(Table12[[#This Row],[NAME]],Aggregate!AR:BD,4,FALSE())</f>
        <v>NYJ/13</v>
      </c>
      <c r="E82" s="25">
        <f>IFERROR(VLOOKUP($C82,Aggregate!$AR:$BC,8,FALSE()),"")</f>
        <v>57.823235294117637</v>
      </c>
      <c r="F82" s="25">
        <f>IF(Scoring!$K$6="Auction",IFERROR(VLOOKUP($C82,Aggregate!$AR:$BC,10,FALSE()),""),IFERROR(VLOOKUP($C82,Aggregate!$AR:$BC,9,FALSE()),""))</f>
        <v>-50.091610901960806</v>
      </c>
      <c r="G82" s="27">
        <f>SUMIFS(J83:$J$84,I83:$I$84,"&lt;&gt;x",I83:$I$84,"&lt;&gt;o",J83:$J$84,"&gt;0")/Aggregate!$AZ$1</f>
        <v>0</v>
      </c>
      <c r="H82" s="25" t="str">
        <f>VLOOKUP(Table12[[#This Row],[NAME]],ECR!C:E,3,FALSE)</f>
        <v>TE33</v>
      </c>
      <c r="I82" s="28"/>
      <c r="J82" s="29">
        <f>VLOOKUP(C82,Aggregate!AR:AZ,9,FALSE())</f>
        <v>-50.091610901960806</v>
      </c>
      <c r="K82" s="30"/>
      <c r="L82" s="25">
        <f>IFERROR(VLOOKUP(Table10[[#This Row],[NAME]],Aggregate!$P:$AA,11,FALSE()),"")</f>
        <v>10</v>
      </c>
      <c r="M82" s="26" t="str">
        <f>Aggregate!P82</f>
        <v>LeQuint Allen Jr.</v>
      </c>
      <c r="N82" s="26" t="str">
        <f>VLOOKUP(Table10[[#This Row],[NAME]],Aggregate!P:AA,4,FALSE())</f>
        <v>JAC/7</v>
      </c>
      <c r="O82" s="25">
        <f>IFERROR(VLOOKUP(Table10[[#This Row],[NAME]],Aggregate!$P:$AA,8,FALSE()),"")</f>
        <v>25.88529411764706</v>
      </c>
      <c r="P82" s="25">
        <f>IF(Scoring!$K$6="Auction",IFERROR(VLOOKUP(Table10[[#This Row],[NAME]],Aggregate!$P:$AA,10,FALSE()),""),IFERROR(VLOOKUP(Table10[[#This Row],[NAME]],Aggregate!$P:$AA,9,FALSE()),""))</f>
        <v>-88.269183823529403</v>
      </c>
      <c r="Q82" s="27">
        <f>SUMIFS(T83:$T$84,S83:$S$84,"&lt;&gt;x",S83:$S$84,"&lt;&gt;o",T83:$T$84,"&gt;0")/Aggregate!$X$1</f>
        <v>0</v>
      </c>
      <c r="R82" s="25" t="str">
        <f>VLOOKUP(Table10[[#This Row],[NAME]],ECR!C:E,3,FALSE)</f>
        <v>RB80</v>
      </c>
      <c r="S82" s="28"/>
      <c r="T82" s="29">
        <f>VLOOKUP(M82,Aggregate!P:X,9,FALSE())</f>
        <v>-88.269183823529403</v>
      </c>
      <c r="U82" s="31"/>
      <c r="V82" s="25">
        <f>IFERROR(VLOOKUP(Table11[[#This Row],[NAME]],Aggregate!$AD:$AO,11,FALSE()),"")</f>
        <v>8</v>
      </c>
      <c r="W82" s="26" t="str">
        <f>Aggregate!AD68</f>
        <v>Ryan Flournoy</v>
      </c>
      <c r="X82" s="26" t="str">
        <f>VLOOKUP(Table11[[#This Row],[NAME]],Aggregate!AD:AO,4,FALSE())</f>
        <v>DAL/14</v>
      </c>
      <c r="Y82" s="25">
        <f>IFERROR(VLOOKUP(Table11[[#This Row],[NAME]],Aggregate!$AD:$AO,8,FALSE()),"")</f>
        <v>67.712163812360373</v>
      </c>
      <c r="Z82" s="25">
        <f>IF(Scoring!$K$6="Auction",IFERROR(VLOOKUP(Table11[[#This Row],[NAME]],Aggregate!$AD:$AO,10,FALSE()),""),IFERROR(VLOOKUP(Table11[[#This Row],[NAME]],Aggregate!$AD:$AO,9,FALSE()),""))</f>
        <v>-46.991734177215207</v>
      </c>
      <c r="AA82" s="27">
        <f>SUMIFS(AD$83:$AD84,AC$83:$AC84,"&lt;&gt;x",AC$83:$AC84,"&lt;&gt;o",AD$83:$AD84,"&gt;0")/Aggregate!$AL$1</f>
        <v>0</v>
      </c>
      <c r="AB82" s="25" t="str">
        <f>VLOOKUP(Table11[[#This Row],[NAME]],ECR!C:E,3,FALSE)</f>
        <v>WR66</v>
      </c>
      <c r="AC82" s="28"/>
      <c r="AD82" s="29">
        <f>VLOOKUP(W82,Aggregate!AD:AL,9,FALSE())</f>
        <v>-46.991734177215207</v>
      </c>
      <c r="AF82" s="19"/>
      <c r="AG82" s="19"/>
    </row>
    <row r="83" spans="2:33" ht="14.25" customHeight="1" x14ac:dyDescent="0.3">
      <c r="B83" s="25">
        <f>IFERROR(VLOOKUP(Table12[[#This Row],[NAME]],Aggregate!$AR:$BC,11,FALSE()),"")</f>
        <v>9</v>
      </c>
      <c r="C83" s="26" t="str">
        <f>Aggregate!AR36</f>
        <v>Theo Johnson</v>
      </c>
      <c r="D83" s="26" t="str">
        <f>VLOOKUP(Table12[[#This Row],[NAME]],Aggregate!AR:BD,4,FALSE())</f>
        <v>NYG/8</v>
      </c>
      <c r="E83" s="25">
        <f>IFERROR(VLOOKUP($C83,Aggregate!$AR:$BC,8,FALSE()),"")</f>
        <v>51.908235294117645</v>
      </c>
      <c r="F83" s="25">
        <f>IF(Scoring!$K$6="Auction",IFERROR(VLOOKUP($C83,Aggregate!$AR:$BC,10,FALSE()),""),IFERROR(VLOOKUP($C83,Aggregate!$AR:$BC,9,FALSE()),""))</f>
        <v>-56.006610901960798</v>
      </c>
      <c r="G83" s="27">
        <f>SUMIFS(J83:$J$85,I83:$I$85,"&lt;&gt;x",I83:$I$85,"&lt;&gt;o",J83:$J$85,"&gt;0")/Aggregate!$AZ$1</f>
        <v>0</v>
      </c>
      <c r="H83" s="25" t="str">
        <f>VLOOKUP(Table12[[#This Row],[NAME]],ECR!C:E,3,FALSE)</f>
        <v>TE34</v>
      </c>
      <c r="I83" s="28"/>
      <c r="J83" s="29">
        <f>VLOOKUP(C83,Aggregate!AR:AZ,9,FALSE())</f>
        <v>-56.006610901960798</v>
      </c>
      <c r="K83" s="30"/>
      <c r="L83" s="25">
        <f>IFERROR(VLOOKUP(Table10[[#This Row],[NAME]],Aggregate!$P:$AA,11,FALSE()),"")</f>
        <v>10</v>
      </c>
      <c r="M83" s="26" t="str">
        <f>Aggregate!P78</f>
        <v>Ollie Gordon II</v>
      </c>
      <c r="N83" s="26" t="str">
        <f>VLOOKUP(Table10[[#This Row],[NAME]],Aggregate!P:AA,4,FALSE())</f>
        <v>MIA/6</v>
      </c>
      <c r="O83" s="25">
        <f>IFERROR(VLOOKUP(Table10[[#This Row],[NAME]],Aggregate!$P:$AA,8,FALSE()),"")</f>
        <v>22.270784313725489</v>
      </c>
      <c r="P83" s="25">
        <f>IF(Scoring!$K$6="Auction",IFERROR(VLOOKUP(Table10[[#This Row],[NAME]],Aggregate!$P:$AA,10,FALSE()),""),IFERROR(VLOOKUP(Table10[[#This Row],[NAME]],Aggregate!$P:$AA,9,FALSE()),""))</f>
        <v>-91.883693627450981</v>
      </c>
      <c r="Q83" s="27">
        <f>SUMIFS(T84:$T$84,S84:$S$84,"&lt;&gt;x",S84:$S$84,"&lt;&gt;o",T84:$T$84,"&gt;0")/Aggregate!$X$1</f>
        <v>0</v>
      </c>
      <c r="R83" s="25" t="str">
        <f>VLOOKUP(Table10[[#This Row],[NAME]],ECR!C:E,3,FALSE)</f>
        <v>RB76</v>
      </c>
      <c r="S83" s="28"/>
      <c r="T83" s="29">
        <f>VLOOKUP(M83,Aggregate!P:X,9,FALSE())</f>
        <v>-91.883693627450981</v>
      </c>
      <c r="U83" s="31"/>
      <c r="V83" s="25">
        <f>IFERROR(VLOOKUP(Table11[[#This Row],[NAME]],Aggregate!$AD:$AO,11,FALSE()),"")</f>
        <v>8</v>
      </c>
      <c r="W83" s="26" t="str">
        <f>Aggregate!AD70</f>
        <v>Tre' Harris</v>
      </c>
      <c r="X83" s="26" t="str">
        <f>VLOOKUP(Table11[[#This Row],[NAME]],Aggregate!AD:AO,4,FALSE())</f>
        <v>LAC/7</v>
      </c>
      <c r="Y83" s="25">
        <f>IFERROR(VLOOKUP(Table11[[#This Row],[NAME]],Aggregate!$AD:$AO,8,FALSE()),"")</f>
        <v>67.002477041449495</v>
      </c>
      <c r="Z83" s="25">
        <f>IF(Scoring!$K$6="Auction",IFERROR(VLOOKUP(Table11[[#This Row],[NAME]],Aggregate!$AD:$AO,10,FALSE()),""),IFERROR(VLOOKUP(Table11[[#This Row],[NAME]],Aggregate!$AD:$AO,9,FALSE()),""))</f>
        <v>-47.701420948126085</v>
      </c>
      <c r="AA83" s="27">
        <f>SUMIFS(AD84:$AD$84,AC84:$AC$84,"&lt;&gt;x",AC84:$AC$84,"&lt;&gt;o",AD84:$AD$84,"&gt;0")/Aggregate!$AL$1</f>
        <v>0</v>
      </c>
      <c r="AB83" s="25" t="str">
        <f>VLOOKUP(Table11[[#This Row],[NAME]],ECR!C:E,3,FALSE)</f>
        <v>WR68</v>
      </c>
      <c r="AC83" s="28"/>
      <c r="AD83" s="29">
        <f>VLOOKUP(W83,Aggregate!AD:AL,9,FALSE())</f>
        <v>-47.701420948126085</v>
      </c>
      <c r="AF83" s="19"/>
      <c r="AG83" s="19"/>
    </row>
    <row r="84" spans="2:33" ht="14.25" customHeight="1" x14ac:dyDescent="0.3">
      <c r="B84" s="25">
        <f>IFERROR(VLOOKUP(Table12[[#This Row],[NAME]],Aggregate!$AR:$BC,11,FALSE()),"")</f>
        <v>10</v>
      </c>
      <c r="C84" s="26" t="str">
        <f>Aggregate!AR37</f>
        <v>Eli Stowers</v>
      </c>
      <c r="D84" s="26" t="str">
        <f>VLOOKUP(Table12[[#This Row],[NAME]],Aggregate!AR:BD,4,FALSE())</f>
        <v>PHI/10</v>
      </c>
      <c r="E84" s="25">
        <f>IFERROR(VLOOKUP($C84,Aggregate!$AR:$BC,8,FALSE()),"")</f>
        <v>38.249313725490197</v>
      </c>
      <c r="F84" s="25">
        <f>IF(Scoring!$K$6="Auction",IFERROR(VLOOKUP($C84,Aggregate!$AR:$BC,10,FALSE()),""),IFERROR(VLOOKUP($C84,Aggregate!$AR:$BC,9,FALSE()),""))</f>
        <v>-69.665532470588246</v>
      </c>
      <c r="G84" s="27">
        <f>SUMIFS(J84:$J$85,I84:$I$85,"&lt;&gt;x",I84:$I$85,"&lt;&gt;o",J84:$J$85,"&gt;0")/Aggregate!$AZ$1</f>
        <v>0</v>
      </c>
      <c r="H84" s="25" t="str">
        <f>VLOOKUP(Table12[[#This Row],[NAME]],ECR!C:E,3,FALSE)</f>
        <v>TE35</v>
      </c>
      <c r="I84" s="28"/>
      <c r="J84" s="29">
        <f>VLOOKUP(C84,Aggregate!AR:AZ,9,FALSE())</f>
        <v>-69.665532470588246</v>
      </c>
      <c r="K84" s="30"/>
      <c r="L84" s="25">
        <f>IFERROR(VLOOKUP(Table10[[#This Row],[NAME]],Aggregate!$P:$AA,11,FALSE()),"")</f>
        <v>11</v>
      </c>
      <c r="M84" s="26" t="str">
        <f>Aggregate!P77</f>
        <v>Kaleb Johnson</v>
      </c>
      <c r="N84" s="26" t="str">
        <f>VLOOKUP(Table10[[#This Row],[NAME]],Aggregate!P:AA,4,FALSE())</f>
        <v>GB/11</v>
      </c>
      <c r="O84" s="25">
        <f>IFERROR(VLOOKUP(Table10[[#This Row],[NAME]],Aggregate!$P:$AA,8,FALSE()),"")</f>
        <v>15.793725490196081</v>
      </c>
      <c r="P84" s="25">
        <f>IF(Scoring!$K$6="Auction",IFERROR(VLOOKUP(Table10[[#This Row],[NAME]],Aggregate!$P:$AA,10,FALSE()),""),IFERROR(VLOOKUP(Table10[[#This Row],[NAME]],Aggregate!$P:$AA,9,FALSE()),""))</f>
        <v>-98.360752450980385</v>
      </c>
      <c r="Q84" s="27">
        <f>SUMIFS(T$84:$T85,S$84:$S85,"&lt;&gt;x",S$84:$S85,"&lt;&gt;o",T$84:$T85,"&gt;0")/Aggregate!$X$1</f>
        <v>0</v>
      </c>
      <c r="R84" s="25" t="str">
        <f>VLOOKUP(Table10[[#This Row],[NAME]],ECR!C:E,3,FALSE)</f>
        <v>RB75</v>
      </c>
      <c r="S84" s="28"/>
      <c r="T84" s="29">
        <f>VLOOKUP(M84,Aggregate!P:X,9,FALSE())</f>
        <v>-98.360752450980385</v>
      </c>
      <c r="U84" s="31"/>
      <c r="V84" s="25">
        <f>IFERROR(VLOOKUP(Table11[[#This Row],[NAME]],Aggregate!$AD:$AO,11,FALSE()),"")</f>
        <v>8</v>
      </c>
      <c r="W84" s="26" t="str">
        <f>Aggregate!AD69</f>
        <v>Pat Bryant</v>
      </c>
      <c r="X84" s="26" t="str">
        <f>VLOOKUP(Table11[[#This Row],[NAME]],Aggregate!AD:AO,4,FALSE())</f>
        <v>DEN/10</v>
      </c>
      <c r="Y84" s="25">
        <f>IFERROR(VLOOKUP(Table11[[#This Row],[NAME]],Aggregate!$AD:$AO,8,FALSE()),"")</f>
        <v>60.34142715313974</v>
      </c>
      <c r="Z84" s="25">
        <f>IF(Scoring!$K$6="Auction",IFERROR(VLOOKUP(Table11[[#This Row],[NAME]],Aggregate!$AD:$AO,10,FALSE()),""),IFERROR(VLOOKUP(Table11[[#This Row],[NAME]],Aggregate!$AD:$AO,9,FALSE()),""))</f>
        <v>-54.36247083643584</v>
      </c>
      <c r="AA84" s="27">
        <f>SUMIFS(AD84:$AD$85,AC84:$AC$85,"&lt;&gt;x",AC84:$AC$85,"&lt;&gt;o",AD84:$AD$85,"&gt;0")/Aggregate!$AL$1</f>
        <v>0</v>
      </c>
      <c r="AB84" s="25" t="str">
        <f>VLOOKUP(Table11[[#This Row],[NAME]],ECR!C:E,3,FALSE)</f>
        <v>WR67</v>
      </c>
      <c r="AC84" s="28"/>
      <c r="AD84" s="29">
        <f>VLOOKUP(W84,Aggregate!AD:AL,9,FALSE())</f>
        <v>-54.36247083643584</v>
      </c>
      <c r="AF84" s="19"/>
      <c r="AG84" s="19"/>
    </row>
    <row r="85" spans="2:33" s="19" customFormat="1" ht="14.25" customHeight="1" x14ac:dyDescent="0.3">
      <c r="B85" s="38"/>
      <c r="C85" s="38"/>
      <c r="D85" s="39"/>
      <c r="E85" s="39"/>
      <c r="F85" s="39"/>
      <c r="G85" s="39"/>
      <c r="H85" s="39"/>
      <c r="I85" s="38"/>
      <c r="J85" s="39"/>
      <c r="L85" s="38"/>
      <c r="M85" s="38"/>
      <c r="N85" s="39"/>
      <c r="O85" s="39"/>
      <c r="P85" s="39"/>
      <c r="Q85" s="39"/>
      <c r="R85" s="39"/>
      <c r="S85" s="38"/>
      <c r="T85" s="39"/>
      <c r="V85" s="38"/>
      <c r="W85" s="38"/>
      <c r="X85" s="39"/>
      <c r="Y85" s="39"/>
      <c r="Z85" s="39"/>
      <c r="AA85" s="39"/>
      <c r="AB85" s="39"/>
      <c r="AC85" s="38"/>
      <c r="AD85" s="39"/>
    </row>
    <row r="86" spans="2:33" s="19" customFormat="1" ht="14.25" customHeight="1" x14ac:dyDescent="0.3">
      <c r="B86" s="38"/>
      <c r="C86" s="38"/>
      <c r="D86" s="39"/>
      <c r="E86" s="39"/>
      <c r="F86" s="39"/>
      <c r="G86" s="39"/>
      <c r="H86" s="39"/>
      <c r="I86" s="38"/>
      <c r="J86" s="39"/>
      <c r="L86" s="38"/>
      <c r="M86" s="38"/>
      <c r="N86" s="39"/>
      <c r="O86" s="39"/>
      <c r="P86" s="39"/>
      <c r="Q86" s="39"/>
      <c r="R86" s="39"/>
      <c r="S86" s="38"/>
      <c r="T86" s="39"/>
      <c r="V86" s="38"/>
      <c r="W86" s="38"/>
      <c r="X86" s="39"/>
      <c r="Y86" s="39"/>
      <c r="Z86" s="39"/>
      <c r="AA86" s="39"/>
      <c r="AB86" s="39"/>
      <c r="AC86" s="38"/>
      <c r="AD86" s="39"/>
    </row>
    <row r="87" spans="2:33" s="19" customFormat="1" ht="14.25" customHeight="1" x14ac:dyDescent="0.3">
      <c r="B87" s="38"/>
      <c r="C87" s="38"/>
      <c r="D87" s="39"/>
      <c r="E87" s="39"/>
      <c r="F87" s="39"/>
      <c r="G87" s="39"/>
      <c r="H87" s="39"/>
      <c r="I87" s="38"/>
      <c r="J87" s="39"/>
      <c r="L87" s="38"/>
      <c r="M87" s="38"/>
      <c r="N87" s="39"/>
      <c r="O87" s="39"/>
      <c r="P87" s="39"/>
      <c r="Q87" s="39"/>
      <c r="R87" s="39"/>
      <c r="S87" s="38"/>
      <c r="T87" s="39"/>
      <c r="V87" s="38"/>
      <c r="W87" s="38"/>
      <c r="X87" s="39"/>
      <c r="Y87" s="39"/>
      <c r="Z87" s="39"/>
      <c r="AA87" s="39"/>
      <c r="AB87" s="39"/>
      <c r="AC87" s="38"/>
      <c r="AD87" s="39"/>
    </row>
    <row r="88" spans="2:33" s="19" customFormat="1" ht="14.25" customHeight="1" x14ac:dyDescent="0.3">
      <c r="B88" s="38"/>
      <c r="C88" s="38"/>
      <c r="D88" s="39"/>
      <c r="E88" s="39"/>
      <c r="F88" s="39"/>
      <c r="G88" s="39"/>
      <c r="H88" s="39"/>
      <c r="I88" s="38"/>
      <c r="J88" s="39"/>
      <c r="L88" s="38"/>
      <c r="M88" s="38"/>
      <c r="N88" s="39"/>
      <c r="O88" s="39"/>
      <c r="P88" s="39"/>
      <c r="Q88" s="39"/>
      <c r="R88" s="39"/>
      <c r="S88" s="38"/>
      <c r="T88" s="39"/>
      <c r="V88" s="38"/>
      <c r="W88" s="38"/>
      <c r="X88" s="39"/>
      <c r="Y88" s="39"/>
      <c r="Z88" s="39"/>
      <c r="AA88" s="39"/>
      <c r="AB88" s="39"/>
      <c r="AC88" s="38"/>
      <c r="AD88" s="39"/>
    </row>
    <row r="89" spans="2:33" s="19" customFormat="1" ht="14.25" customHeight="1" x14ac:dyDescent="0.3">
      <c r="B89" s="38"/>
      <c r="C89" s="38"/>
      <c r="D89" s="39"/>
      <c r="E89" s="39"/>
      <c r="F89" s="39"/>
      <c r="G89" s="39"/>
      <c r="H89" s="39"/>
      <c r="I89" s="38"/>
      <c r="J89" s="39"/>
      <c r="L89" s="38"/>
      <c r="M89" s="38"/>
      <c r="N89" s="39"/>
      <c r="O89" s="39"/>
      <c r="P89" s="39"/>
      <c r="Q89" s="39"/>
      <c r="R89" s="39"/>
      <c r="S89" s="38"/>
      <c r="T89" s="39"/>
      <c r="V89" s="38"/>
      <c r="W89" s="38"/>
      <c r="X89" s="39"/>
      <c r="Y89" s="39"/>
      <c r="Z89" s="39"/>
      <c r="AA89" s="39"/>
      <c r="AB89" s="39"/>
      <c r="AC89" s="38"/>
      <c r="AD89" s="39"/>
    </row>
    <row r="90" spans="2:33" s="19" customFormat="1" ht="14.25" customHeight="1" x14ac:dyDescent="0.3">
      <c r="B90" s="38"/>
      <c r="C90" s="38"/>
      <c r="D90" s="39"/>
      <c r="E90" s="39"/>
      <c r="F90" s="39"/>
      <c r="G90" s="39"/>
      <c r="H90" s="39"/>
      <c r="I90" s="38"/>
      <c r="J90" s="39"/>
      <c r="L90" s="38"/>
      <c r="M90" s="38"/>
      <c r="N90" s="39"/>
      <c r="O90" s="39"/>
      <c r="P90" s="39"/>
      <c r="Q90" s="39"/>
      <c r="R90" s="39"/>
      <c r="S90" s="38"/>
      <c r="T90" s="39"/>
      <c r="V90" s="38"/>
      <c r="W90" s="38"/>
      <c r="X90" s="39"/>
      <c r="Y90" s="39"/>
      <c r="Z90" s="39"/>
      <c r="AA90" s="39"/>
      <c r="AB90" s="39"/>
      <c r="AC90" s="38"/>
      <c r="AD90" s="39"/>
    </row>
    <row r="91" spans="2:33" s="19" customFormat="1" ht="14.25" customHeight="1" x14ac:dyDescent="0.3">
      <c r="B91" s="38"/>
      <c r="C91" s="38"/>
      <c r="D91" s="39"/>
      <c r="E91" s="39"/>
      <c r="F91" s="39"/>
      <c r="G91" s="39"/>
      <c r="H91" s="39"/>
      <c r="I91" s="38"/>
      <c r="J91" s="39"/>
      <c r="L91" s="38"/>
      <c r="M91" s="38"/>
      <c r="N91" s="39"/>
      <c r="O91" s="39"/>
      <c r="P91" s="39"/>
      <c r="Q91" s="39"/>
      <c r="R91" s="39"/>
      <c r="S91" s="38"/>
      <c r="T91" s="39"/>
      <c r="V91" s="38"/>
      <c r="W91" s="38"/>
      <c r="X91" s="39"/>
      <c r="Y91" s="39"/>
      <c r="Z91" s="39"/>
      <c r="AA91" s="39"/>
      <c r="AB91" s="39"/>
      <c r="AC91" s="38"/>
      <c r="AD91" s="39"/>
    </row>
    <row r="92" spans="2:33" s="19" customFormat="1" ht="14.25" customHeight="1" x14ac:dyDescent="0.3">
      <c r="B92" s="38"/>
      <c r="C92" s="38"/>
      <c r="D92" s="39"/>
      <c r="E92" s="39"/>
      <c r="F92" s="39"/>
      <c r="G92" s="39"/>
      <c r="H92" s="39"/>
      <c r="I92" s="38"/>
      <c r="J92" s="39"/>
      <c r="L92" s="38"/>
      <c r="M92" s="38"/>
      <c r="N92" s="39"/>
      <c r="O92" s="39"/>
      <c r="P92" s="39"/>
      <c r="Q92" s="39"/>
      <c r="R92" s="39"/>
      <c r="S92" s="38"/>
      <c r="T92" s="39"/>
      <c r="V92" s="38"/>
      <c r="W92" s="38"/>
      <c r="X92" s="39"/>
      <c r="Y92" s="39"/>
      <c r="Z92" s="39"/>
      <c r="AA92" s="39"/>
      <c r="AB92" s="39"/>
      <c r="AC92" s="38"/>
      <c r="AD92" s="39"/>
    </row>
    <row r="93" spans="2:33" s="19" customFormat="1" ht="14.25" customHeight="1" x14ac:dyDescent="0.3">
      <c r="B93" s="38"/>
      <c r="C93" s="38"/>
      <c r="D93" s="39"/>
      <c r="E93" s="39"/>
      <c r="F93" s="39"/>
      <c r="G93" s="39"/>
      <c r="H93" s="39"/>
      <c r="I93" s="38"/>
      <c r="J93" s="39"/>
      <c r="L93" s="38"/>
      <c r="M93" s="38"/>
      <c r="N93" s="39"/>
      <c r="O93" s="39"/>
      <c r="P93" s="39"/>
      <c r="Q93" s="39"/>
      <c r="R93" s="39"/>
      <c r="S93" s="38"/>
      <c r="T93" s="39"/>
      <c r="V93" s="38"/>
      <c r="W93" s="38"/>
      <c r="X93" s="39"/>
      <c r="Y93" s="39"/>
      <c r="Z93" s="39"/>
      <c r="AA93" s="39"/>
      <c r="AB93" s="39"/>
      <c r="AC93" s="38"/>
      <c r="AD93" s="39"/>
    </row>
    <row r="94" spans="2:33" s="19" customFormat="1" ht="14.25" customHeight="1" x14ac:dyDescent="0.3">
      <c r="B94" s="38"/>
      <c r="C94" s="38"/>
      <c r="D94" s="39"/>
      <c r="E94" s="39"/>
      <c r="F94" s="39"/>
      <c r="G94" s="39"/>
      <c r="H94" s="39"/>
      <c r="I94" s="38"/>
      <c r="J94" s="39"/>
      <c r="L94" s="38"/>
      <c r="M94" s="38"/>
      <c r="N94" s="39"/>
      <c r="O94" s="39"/>
      <c r="P94" s="39"/>
      <c r="Q94" s="39"/>
      <c r="R94" s="39"/>
      <c r="S94" s="38"/>
      <c r="T94" s="39"/>
      <c r="V94" s="38"/>
      <c r="W94" s="38"/>
      <c r="X94" s="39"/>
      <c r="Y94" s="39"/>
      <c r="Z94" s="39"/>
      <c r="AA94" s="39"/>
      <c r="AB94" s="39"/>
      <c r="AC94" s="38"/>
      <c r="AD94" s="39"/>
    </row>
    <row r="95" spans="2:33" s="19" customFormat="1" ht="14.25" customHeight="1" x14ac:dyDescent="0.3">
      <c r="B95" s="38"/>
      <c r="C95" s="38"/>
      <c r="D95" s="39"/>
      <c r="E95" s="39"/>
      <c r="F95" s="39"/>
      <c r="G95" s="39"/>
      <c r="H95" s="39"/>
      <c r="I95" s="38"/>
      <c r="J95" s="39"/>
      <c r="L95" s="38"/>
      <c r="M95" s="38"/>
      <c r="N95" s="39"/>
      <c r="O95" s="39"/>
      <c r="P95" s="39"/>
      <c r="Q95" s="39"/>
      <c r="R95" s="39"/>
      <c r="S95" s="38"/>
      <c r="T95" s="39"/>
      <c r="V95" s="38"/>
      <c r="W95" s="38"/>
      <c r="X95" s="39"/>
      <c r="Y95" s="39"/>
      <c r="Z95" s="39"/>
      <c r="AA95" s="39"/>
      <c r="AB95" s="39"/>
      <c r="AC95" s="38"/>
      <c r="AD95" s="39"/>
    </row>
    <row r="96" spans="2:33" s="19" customFormat="1" ht="14.25" customHeight="1" x14ac:dyDescent="0.3">
      <c r="B96" s="38"/>
      <c r="C96" s="38"/>
      <c r="D96" s="39"/>
      <c r="E96" s="39"/>
      <c r="F96" s="39"/>
      <c r="G96" s="39"/>
      <c r="H96" s="39"/>
      <c r="I96" s="38"/>
      <c r="J96" s="39"/>
      <c r="L96" s="38"/>
      <c r="M96" s="38"/>
      <c r="N96" s="39"/>
      <c r="O96" s="39"/>
      <c r="P96" s="39"/>
      <c r="Q96" s="39"/>
      <c r="R96" s="39"/>
      <c r="S96" s="38"/>
      <c r="T96" s="39"/>
      <c r="V96" s="38"/>
      <c r="W96" s="38"/>
      <c r="X96" s="39"/>
      <c r="Y96" s="39"/>
      <c r="Z96" s="39"/>
      <c r="AA96" s="39"/>
      <c r="AB96" s="39"/>
      <c r="AC96" s="38"/>
      <c r="AD96" s="39"/>
    </row>
    <row r="97" spans="2:30" s="19" customFormat="1" ht="14.25" customHeight="1" x14ac:dyDescent="0.3">
      <c r="B97" s="38"/>
      <c r="C97" s="38"/>
      <c r="D97" s="39"/>
      <c r="E97" s="39"/>
      <c r="F97" s="39"/>
      <c r="G97" s="39"/>
      <c r="H97" s="39"/>
      <c r="I97" s="38"/>
      <c r="J97" s="39"/>
      <c r="L97" s="38"/>
      <c r="M97" s="38"/>
      <c r="N97" s="39"/>
      <c r="O97" s="39"/>
      <c r="P97" s="39"/>
      <c r="Q97" s="39"/>
      <c r="R97" s="39"/>
      <c r="S97" s="38"/>
      <c r="T97" s="39"/>
      <c r="V97" s="38"/>
      <c r="W97" s="38"/>
      <c r="X97" s="39"/>
      <c r="Y97" s="39"/>
      <c r="Z97" s="39"/>
      <c r="AA97" s="39"/>
      <c r="AB97" s="39"/>
      <c r="AC97" s="38"/>
      <c r="AD97" s="39"/>
    </row>
    <row r="98" spans="2:30" s="19" customFormat="1" ht="14.25" customHeight="1" x14ac:dyDescent="0.3">
      <c r="B98" s="38"/>
      <c r="C98" s="38"/>
      <c r="D98" s="39"/>
      <c r="E98" s="39"/>
      <c r="F98" s="39"/>
      <c r="G98" s="39"/>
      <c r="H98" s="39"/>
      <c r="I98" s="38"/>
      <c r="J98" s="39"/>
      <c r="L98" s="38"/>
      <c r="M98" s="38"/>
      <c r="N98" s="39"/>
      <c r="O98" s="39"/>
      <c r="P98" s="39"/>
      <c r="Q98" s="39"/>
      <c r="R98" s="39"/>
      <c r="S98" s="38"/>
      <c r="T98" s="39"/>
      <c r="V98" s="38"/>
      <c r="W98" s="38"/>
      <c r="X98" s="39"/>
      <c r="Y98" s="39"/>
      <c r="Z98" s="39"/>
      <c r="AA98" s="39"/>
      <c r="AB98" s="39"/>
      <c r="AC98" s="38"/>
      <c r="AD98" s="39"/>
    </row>
    <row r="99" spans="2:30" s="19" customFormat="1" ht="14.25" customHeight="1" x14ac:dyDescent="0.3">
      <c r="B99" s="38"/>
      <c r="C99" s="38"/>
      <c r="D99" s="39"/>
      <c r="E99" s="39"/>
      <c r="F99" s="39"/>
      <c r="G99" s="39"/>
      <c r="H99" s="39"/>
      <c r="I99" s="38"/>
      <c r="J99" s="39"/>
      <c r="L99" s="38"/>
      <c r="M99" s="38"/>
      <c r="N99" s="39"/>
      <c r="O99" s="39"/>
      <c r="P99" s="39"/>
      <c r="Q99" s="39"/>
      <c r="R99" s="39"/>
      <c r="S99" s="38"/>
      <c r="T99" s="39"/>
      <c r="V99" s="38"/>
      <c r="W99" s="38"/>
      <c r="X99" s="39"/>
      <c r="Y99" s="39"/>
      <c r="Z99" s="39"/>
      <c r="AA99" s="39"/>
      <c r="AB99" s="39"/>
      <c r="AC99" s="38"/>
      <c r="AD99" s="39"/>
    </row>
    <row r="100" spans="2:30" s="19" customFormat="1" ht="14.25" customHeight="1" x14ac:dyDescent="0.3">
      <c r="B100" s="38"/>
      <c r="C100" s="38"/>
      <c r="D100" s="39"/>
      <c r="E100" s="39"/>
      <c r="F100" s="39"/>
      <c r="G100" s="39"/>
      <c r="H100" s="39"/>
      <c r="I100" s="38"/>
      <c r="J100" s="39"/>
      <c r="L100" s="38"/>
      <c r="M100" s="38"/>
      <c r="N100" s="39"/>
      <c r="O100" s="39"/>
      <c r="P100" s="39"/>
      <c r="Q100" s="39"/>
      <c r="R100" s="39"/>
      <c r="S100" s="38"/>
      <c r="T100" s="39"/>
      <c r="V100" s="38"/>
      <c r="W100" s="38"/>
      <c r="X100" s="39"/>
      <c r="Y100" s="39"/>
      <c r="Z100" s="39"/>
      <c r="AA100" s="39"/>
      <c r="AB100" s="39"/>
      <c r="AC100" s="38"/>
      <c r="AD100" s="39"/>
    </row>
    <row r="101" spans="2:30" s="19" customFormat="1" ht="14.25" customHeight="1" x14ac:dyDescent="0.3">
      <c r="B101" s="38"/>
      <c r="C101" s="38"/>
      <c r="D101" s="39"/>
      <c r="E101" s="39"/>
      <c r="F101" s="39"/>
      <c r="G101" s="39"/>
      <c r="H101" s="39"/>
      <c r="I101" s="38"/>
      <c r="J101" s="39"/>
      <c r="L101" s="38"/>
      <c r="M101" s="38"/>
      <c r="N101" s="39"/>
      <c r="O101" s="39"/>
      <c r="P101" s="39"/>
      <c r="Q101" s="39"/>
      <c r="R101" s="39"/>
      <c r="S101" s="38"/>
      <c r="T101" s="39"/>
      <c r="V101" s="38"/>
      <c r="W101" s="38"/>
      <c r="X101" s="39"/>
      <c r="Y101" s="39"/>
      <c r="Z101" s="39"/>
      <c r="AA101" s="39"/>
      <c r="AB101" s="39"/>
      <c r="AC101" s="38"/>
      <c r="AD101" s="39"/>
    </row>
    <row r="102" spans="2:30" s="19" customFormat="1" ht="14.25" customHeight="1" x14ac:dyDescent="0.3">
      <c r="B102" s="38"/>
      <c r="C102" s="38"/>
      <c r="D102" s="39"/>
      <c r="E102" s="39"/>
      <c r="F102" s="39"/>
      <c r="G102" s="39"/>
      <c r="H102" s="39"/>
      <c r="I102" s="38"/>
      <c r="J102" s="39"/>
      <c r="L102" s="38"/>
      <c r="M102" s="38"/>
      <c r="N102" s="39"/>
      <c r="O102" s="39"/>
      <c r="P102" s="39"/>
      <c r="Q102" s="39"/>
      <c r="R102" s="39"/>
      <c r="S102" s="38"/>
      <c r="T102" s="39"/>
      <c r="V102" s="38"/>
      <c r="W102" s="38"/>
      <c r="X102" s="39"/>
      <c r="Y102" s="39"/>
      <c r="Z102" s="39"/>
      <c r="AA102" s="39"/>
      <c r="AB102" s="39"/>
      <c r="AC102" s="38"/>
      <c r="AD102" s="39"/>
    </row>
    <row r="103" spans="2:30" s="19" customFormat="1" ht="14.25" customHeight="1" x14ac:dyDescent="0.3">
      <c r="B103" s="38"/>
      <c r="C103" s="38"/>
      <c r="D103" s="39"/>
      <c r="E103" s="39"/>
      <c r="F103" s="39"/>
      <c r="G103" s="39"/>
      <c r="H103" s="39"/>
      <c r="I103" s="38"/>
      <c r="J103" s="39"/>
      <c r="L103" s="38"/>
      <c r="M103" s="38"/>
      <c r="N103" s="39"/>
      <c r="O103" s="39"/>
      <c r="P103" s="39"/>
      <c r="Q103" s="39"/>
      <c r="R103" s="39"/>
      <c r="S103" s="38"/>
      <c r="T103" s="39"/>
      <c r="V103" s="38"/>
      <c r="W103" s="38"/>
      <c r="X103" s="39"/>
      <c r="Y103" s="39"/>
      <c r="Z103" s="39"/>
      <c r="AA103" s="39"/>
      <c r="AB103" s="39"/>
      <c r="AC103" s="38"/>
      <c r="AD103" s="39"/>
    </row>
    <row r="104" spans="2:30" s="19" customFormat="1" ht="14.25" customHeight="1" x14ac:dyDescent="0.3">
      <c r="B104" s="38"/>
      <c r="C104" s="38"/>
      <c r="D104" s="39"/>
      <c r="E104" s="39"/>
      <c r="F104" s="39"/>
      <c r="G104" s="39"/>
      <c r="H104" s="39"/>
      <c r="I104" s="38"/>
      <c r="J104" s="39"/>
      <c r="L104" s="38"/>
      <c r="M104" s="38"/>
      <c r="N104" s="39"/>
      <c r="O104" s="39"/>
      <c r="P104" s="39"/>
      <c r="Q104" s="39"/>
      <c r="R104" s="39"/>
      <c r="S104" s="38"/>
      <c r="T104" s="39"/>
      <c r="V104" s="38"/>
      <c r="W104" s="38"/>
      <c r="X104" s="39"/>
      <c r="Y104" s="39"/>
      <c r="Z104" s="39"/>
      <c r="AA104" s="39"/>
      <c r="AB104" s="39"/>
      <c r="AC104" s="38"/>
      <c r="AD104" s="39"/>
    </row>
    <row r="105" spans="2:30" s="19" customFormat="1" ht="14.25" customHeight="1" x14ac:dyDescent="0.3">
      <c r="B105" s="38"/>
      <c r="C105" s="38"/>
      <c r="D105" s="39"/>
      <c r="E105" s="39"/>
      <c r="F105" s="39"/>
      <c r="G105" s="39"/>
      <c r="H105" s="39"/>
      <c r="I105" s="38"/>
      <c r="J105" s="39"/>
      <c r="L105" s="38"/>
      <c r="M105" s="38"/>
      <c r="N105" s="39"/>
      <c r="O105" s="39"/>
      <c r="P105" s="39"/>
      <c r="Q105" s="39"/>
      <c r="R105" s="39"/>
      <c r="S105" s="38"/>
      <c r="T105" s="39"/>
      <c r="V105" s="38"/>
      <c r="W105" s="38"/>
      <c r="X105" s="39"/>
      <c r="Y105" s="39"/>
      <c r="Z105" s="39"/>
      <c r="AA105" s="39"/>
      <c r="AB105" s="39"/>
      <c r="AC105" s="38"/>
      <c r="AD105" s="39"/>
    </row>
    <row r="106" spans="2:30" s="19" customFormat="1" ht="14.25" customHeight="1" x14ac:dyDescent="0.3">
      <c r="B106" s="38"/>
      <c r="C106" s="38"/>
      <c r="D106" s="39"/>
      <c r="E106" s="39"/>
      <c r="F106" s="39"/>
      <c r="G106" s="39"/>
      <c r="H106" s="39"/>
      <c r="I106" s="38"/>
      <c r="J106" s="39"/>
      <c r="L106" s="38"/>
      <c r="M106" s="38"/>
      <c r="N106" s="39"/>
      <c r="O106" s="39"/>
      <c r="P106" s="39"/>
      <c r="Q106" s="39"/>
      <c r="R106" s="39"/>
      <c r="S106" s="38"/>
      <c r="T106" s="39"/>
      <c r="V106" s="38"/>
      <c r="W106" s="38"/>
      <c r="X106" s="39"/>
      <c r="Y106" s="39"/>
      <c r="Z106" s="39"/>
      <c r="AA106" s="39"/>
      <c r="AB106" s="39"/>
      <c r="AC106" s="38"/>
      <c r="AD106" s="39"/>
    </row>
    <row r="107" spans="2:30" s="19" customFormat="1" ht="14.25" customHeight="1" x14ac:dyDescent="0.3">
      <c r="B107" s="38"/>
      <c r="C107" s="38"/>
      <c r="D107" s="39"/>
      <c r="E107" s="39"/>
      <c r="F107" s="39"/>
      <c r="G107" s="39"/>
      <c r="H107" s="39"/>
      <c r="I107" s="38"/>
      <c r="J107" s="39"/>
      <c r="L107" s="38"/>
      <c r="M107" s="38"/>
      <c r="N107" s="39"/>
      <c r="O107" s="39"/>
      <c r="P107" s="39"/>
      <c r="Q107" s="39"/>
      <c r="R107" s="39"/>
      <c r="S107" s="38"/>
      <c r="T107" s="39"/>
      <c r="V107" s="38"/>
      <c r="W107" s="38"/>
      <c r="X107" s="39"/>
      <c r="Y107" s="39"/>
      <c r="Z107" s="39"/>
      <c r="AA107" s="39"/>
      <c r="AB107" s="39"/>
      <c r="AC107" s="38"/>
      <c r="AD107" s="39"/>
    </row>
    <row r="108" spans="2:30" s="19" customFormat="1" ht="14.25" customHeight="1" x14ac:dyDescent="0.3">
      <c r="B108" s="38"/>
      <c r="C108" s="38"/>
      <c r="D108" s="39"/>
      <c r="E108" s="39"/>
      <c r="F108" s="39"/>
      <c r="G108" s="39"/>
      <c r="H108" s="39"/>
      <c r="I108" s="38"/>
      <c r="J108" s="39"/>
      <c r="L108" s="38"/>
      <c r="M108" s="38"/>
      <c r="N108" s="39"/>
      <c r="O108" s="39"/>
      <c r="P108" s="39"/>
      <c r="Q108" s="39"/>
      <c r="R108" s="39"/>
      <c r="S108" s="38"/>
      <c r="T108" s="39"/>
      <c r="V108" s="38"/>
      <c r="W108" s="38"/>
      <c r="X108" s="39"/>
      <c r="Y108" s="39"/>
      <c r="Z108" s="39"/>
      <c r="AA108" s="39"/>
      <c r="AB108" s="39"/>
      <c r="AC108" s="38"/>
      <c r="AD108" s="39"/>
    </row>
    <row r="109" spans="2:30" s="19" customFormat="1" ht="14.25" customHeight="1" x14ac:dyDescent="0.3">
      <c r="B109" s="38"/>
      <c r="C109" s="38"/>
      <c r="D109" s="39"/>
      <c r="E109" s="39"/>
      <c r="F109" s="39"/>
      <c r="G109" s="39"/>
      <c r="H109" s="39"/>
      <c r="I109" s="38"/>
      <c r="J109" s="39"/>
      <c r="L109" s="38"/>
      <c r="M109" s="38"/>
      <c r="N109" s="39"/>
      <c r="O109" s="39"/>
      <c r="P109" s="39"/>
      <c r="Q109" s="39"/>
      <c r="R109" s="39"/>
      <c r="S109" s="38"/>
      <c r="T109" s="39"/>
      <c r="V109" s="38"/>
      <c r="W109" s="38"/>
      <c r="X109" s="39"/>
      <c r="Y109" s="39"/>
      <c r="Z109" s="39"/>
      <c r="AA109" s="39"/>
      <c r="AB109" s="39"/>
      <c r="AC109" s="38"/>
      <c r="AD109" s="39"/>
    </row>
    <row r="110" spans="2:30" s="19" customFormat="1" ht="14.25" customHeight="1" x14ac:dyDescent="0.3">
      <c r="B110" s="38"/>
      <c r="C110" s="38"/>
      <c r="D110" s="39"/>
      <c r="E110" s="39"/>
      <c r="F110" s="39"/>
      <c r="G110" s="39"/>
      <c r="H110" s="39"/>
      <c r="I110" s="38"/>
      <c r="J110" s="39"/>
      <c r="L110" s="38"/>
      <c r="M110" s="38"/>
      <c r="N110" s="39"/>
      <c r="O110" s="39"/>
      <c r="P110" s="39"/>
      <c r="Q110" s="39"/>
      <c r="R110" s="39"/>
      <c r="S110" s="38"/>
      <c r="T110" s="39"/>
      <c r="V110" s="38"/>
      <c r="W110" s="38"/>
      <c r="X110" s="39"/>
      <c r="Y110" s="39"/>
      <c r="Z110" s="39"/>
      <c r="AA110" s="39"/>
      <c r="AB110" s="39"/>
      <c r="AC110" s="38"/>
      <c r="AD110" s="39"/>
    </row>
    <row r="111" spans="2:30" s="19" customFormat="1" ht="14.25" customHeight="1" x14ac:dyDescent="0.3">
      <c r="B111" s="38"/>
      <c r="C111" s="38"/>
      <c r="D111" s="39"/>
      <c r="E111" s="39"/>
      <c r="F111" s="39"/>
      <c r="G111" s="39"/>
      <c r="H111" s="39"/>
      <c r="I111" s="38"/>
      <c r="J111" s="39"/>
      <c r="L111" s="38"/>
      <c r="M111" s="38"/>
      <c r="N111" s="39"/>
      <c r="O111" s="39"/>
      <c r="P111" s="39"/>
      <c r="Q111" s="39"/>
      <c r="R111" s="39"/>
      <c r="S111" s="38"/>
      <c r="T111" s="39"/>
      <c r="V111" s="38"/>
      <c r="W111" s="38"/>
      <c r="X111" s="39"/>
      <c r="Y111" s="39"/>
      <c r="Z111" s="39"/>
      <c r="AA111" s="39"/>
      <c r="AB111" s="39"/>
      <c r="AC111" s="38"/>
      <c r="AD111" s="39"/>
    </row>
    <row r="112" spans="2:30" s="19" customFormat="1" ht="14.25" customHeight="1" x14ac:dyDescent="0.3">
      <c r="B112" s="38"/>
      <c r="C112" s="38"/>
      <c r="D112" s="39"/>
      <c r="E112" s="39"/>
      <c r="F112" s="39"/>
      <c r="G112" s="39"/>
      <c r="H112" s="39"/>
      <c r="I112" s="38"/>
      <c r="J112" s="39"/>
      <c r="L112" s="38"/>
      <c r="M112" s="38"/>
      <c r="N112" s="39"/>
      <c r="O112" s="39"/>
      <c r="P112" s="39"/>
      <c r="Q112" s="39"/>
      <c r="R112" s="39"/>
      <c r="S112" s="38"/>
      <c r="T112" s="39"/>
      <c r="V112" s="38"/>
      <c r="W112" s="38"/>
      <c r="X112" s="39"/>
      <c r="Y112" s="39"/>
      <c r="Z112" s="39"/>
      <c r="AA112" s="39"/>
      <c r="AB112" s="39"/>
      <c r="AC112" s="38"/>
      <c r="AD112" s="39"/>
    </row>
    <row r="113" spans="2:30" s="19" customFormat="1" ht="14.25" customHeight="1" x14ac:dyDescent="0.3">
      <c r="B113" s="38"/>
      <c r="C113" s="38"/>
      <c r="D113" s="39"/>
      <c r="E113" s="39"/>
      <c r="F113" s="39"/>
      <c r="G113" s="39"/>
      <c r="H113" s="39"/>
      <c r="I113" s="38"/>
      <c r="J113" s="39"/>
      <c r="L113" s="38"/>
      <c r="M113" s="38"/>
      <c r="N113" s="39"/>
      <c r="O113" s="39"/>
      <c r="P113" s="39"/>
      <c r="Q113" s="39"/>
      <c r="R113" s="39"/>
      <c r="S113" s="38"/>
      <c r="T113" s="39"/>
      <c r="V113" s="38"/>
      <c r="W113" s="38"/>
      <c r="X113" s="39"/>
      <c r="Y113" s="39"/>
      <c r="Z113" s="39"/>
      <c r="AA113" s="39"/>
      <c r="AB113" s="39"/>
      <c r="AC113" s="38"/>
      <c r="AD113" s="39"/>
    </row>
    <row r="114" spans="2:30" s="19" customFormat="1" ht="14.25" customHeight="1" x14ac:dyDescent="0.3">
      <c r="B114" s="38"/>
      <c r="C114" s="38"/>
      <c r="D114" s="39"/>
      <c r="E114" s="39"/>
      <c r="F114" s="39"/>
      <c r="G114" s="39"/>
      <c r="H114" s="39"/>
      <c r="I114" s="38"/>
      <c r="J114" s="39"/>
      <c r="L114" s="38"/>
      <c r="M114" s="38"/>
      <c r="N114" s="39"/>
      <c r="O114" s="39"/>
      <c r="P114" s="39"/>
      <c r="Q114" s="39"/>
      <c r="R114" s="39"/>
      <c r="S114" s="38"/>
      <c r="T114" s="39"/>
      <c r="V114" s="38"/>
      <c r="W114" s="38"/>
      <c r="X114" s="39"/>
      <c r="Y114" s="39"/>
      <c r="Z114" s="39"/>
      <c r="AA114" s="39"/>
      <c r="AB114" s="39"/>
      <c r="AC114" s="38"/>
      <c r="AD114" s="39"/>
    </row>
    <row r="115" spans="2:30" s="19" customFormat="1" ht="14.25" customHeight="1" x14ac:dyDescent="0.3">
      <c r="B115" s="38"/>
      <c r="C115" s="38"/>
      <c r="D115" s="39"/>
      <c r="E115" s="39"/>
      <c r="F115" s="39"/>
      <c r="G115" s="39"/>
      <c r="H115" s="39"/>
      <c r="I115" s="38"/>
      <c r="J115" s="39"/>
      <c r="L115" s="38"/>
      <c r="M115" s="38"/>
      <c r="N115" s="39"/>
      <c r="O115" s="39"/>
      <c r="P115" s="39"/>
      <c r="Q115" s="39"/>
      <c r="R115" s="39"/>
      <c r="S115" s="38"/>
      <c r="T115" s="39"/>
      <c r="V115" s="38"/>
      <c r="W115" s="38"/>
      <c r="X115" s="39"/>
      <c r="Y115" s="39"/>
      <c r="Z115" s="39"/>
      <c r="AA115" s="39"/>
      <c r="AB115" s="39"/>
      <c r="AC115" s="38"/>
      <c r="AD115" s="39"/>
    </row>
    <row r="116" spans="2:30" s="19" customFormat="1" ht="14.25" customHeight="1" x14ac:dyDescent="0.3">
      <c r="B116" s="38"/>
      <c r="C116" s="38"/>
      <c r="D116" s="39"/>
      <c r="E116" s="39"/>
      <c r="F116" s="39"/>
      <c r="G116" s="39"/>
      <c r="H116" s="39"/>
      <c r="I116" s="38"/>
      <c r="J116" s="39"/>
      <c r="L116" s="38"/>
      <c r="M116" s="38"/>
      <c r="N116" s="39"/>
      <c r="O116" s="39"/>
      <c r="P116" s="39"/>
      <c r="Q116" s="39"/>
      <c r="R116" s="39"/>
      <c r="S116" s="38"/>
      <c r="T116" s="39"/>
      <c r="V116" s="38"/>
      <c r="W116" s="38"/>
      <c r="X116" s="39"/>
      <c r="Y116" s="39"/>
      <c r="Z116" s="39"/>
      <c r="AA116" s="39"/>
      <c r="AB116" s="39"/>
      <c r="AC116" s="38"/>
      <c r="AD116" s="39"/>
    </row>
    <row r="117" spans="2:30" s="19" customFormat="1" ht="14.25" customHeight="1" x14ac:dyDescent="0.3">
      <c r="B117" s="38"/>
      <c r="C117" s="38"/>
      <c r="D117" s="39"/>
      <c r="E117" s="39"/>
      <c r="F117" s="39"/>
      <c r="G117" s="39"/>
      <c r="H117" s="39"/>
      <c r="I117" s="38"/>
      <c r="J117" s="39"/>
      <c r="L117" s="38"/>
      <c r="M117" s="38"/>
      <c r="N117" s="39"/>
      <c r="O117" s="39"/>
      <c r="P117" s="39"/>
      <c r="Q117" s="39"/>
      <c r="R117" s="39"/>
      <c r="S117" s="38"/>
      <c r="T117" s="39"/>
      <c r="V117" s="38"/>
      <c r="W117" s="38"/>
      <c r="X117" s="39"/>
      <c r="Y117" s="39"/>
      <c r="Z117" s="39"/>
      <c r="AA117" s="39"/>
      <c r="AB117" s="39"/>
      <c r="AC117" s="38"/>
      <c r="AD117" s="39"/>
    </row>
    <row r="118" spans="2:30" s="19" customFormat="1" ht="14.25" customHeight="1" x14ac:dyDescent="0.3">
      <c r="B118" s="38"/>
      <c r="C118" s="38"/>
      <c r="D118" s="39"/>
      <c r="E118" s="39"/>
      <c r="F118" s="39"/>
      <c r="G118" s="39"/>
      <c r="H118" s="39"/>
      <c r="I118" s="38"/>
      <c r="J118" s="39"/>
      <c r="L118" s="38"/>
      <c r="M118" s="38"/>
      <c r="N118" s="39"/>
      <c r="O118" s="39"/>
      <c r="P118" s="39"/>
      <c r="Q118" s="39"/>
      <c r="R118" s="39"/>
      <c r="S118" s="38"/>
      <c r="T118" s="39"/>
      <c r="V118" s="38"/>
      <c r="W118" s="38"/>
      <c r="X118" s="39"/>
      <c r="Y118" s="39"/>
      <c r="Z118" s="39"/>
      <c r="AA118" s="39"/>
      <c r="AB118" s="39"/>
      <c r="AC118" s="38"/>
      <c r="AD118" s="39"/>
    </row>
    <row r="119" spans="2:30" s="19" customFormat="1" ht="14.25" customHeight="1" x14ac:dyDescent="0.3">
      <c r="B119" s="38"/>
      <c r="C119" s="38"/>
      <c r="D119" s="39"/>
      <c r="E119" s="39"/>
      <c r="F119" s="39"/>
      <c r="G119" s="39"/>
      <c r="H119" s="39"/>
      <c r="I119" s="38"/>
      <c r="J119" s="39"/>
      <c r="L119" s="38"/>
      <c r="M119" s="38"/>
      <c r="N119" s="39"/>
      <c r="O119" s="39"/>
      <c r="P119" s="39"/>
      <c r="Q119" s="39"/>
      <c r="R119" s="39"/>
      <c r="S119" s="38"/>
      <c r="T119" s="39"/>
      <c r="V119" s="38"/>
      <c r="W119" s="38"/>
      <c r="X119" s="39"/>
      <c r="Y119" s="39"/>
      <c r="Z119" s="39"/>
      <c r="AA119" s="39"/>
      <c r="AB119" s="39"/>
      <c r="AC119" s="38"/>
      <c r="AD119" s="39"/>
    </row>
    <row r="120" spans="2:30" s="19" customFormat="1" ht="14.25" customHeight="1" x14ac:dyDescent="0.3">
      <c r="B120" s="38"/>
      <c r="C120" s="38"/>
      <c r="D120" s="39"/>
      <c r="E120" s="39"/>
      <c r="F120" s="39"/>
      <c r="G120" s="39"/>
      <c r="H120" s="39"/>
      <c r="I120" s="38"/>
      <c r="J120" s="39"/>
      <c r="L120" s="38"/>
      <c r="M120" s="38"/>
      <c r="N120" s="39"/>
      <c r="O120" s="39"/>
      <c r="P120" s="39"/>
      <c r="Q120" s="39"/>
      <c r="R120" s="39"/>
      <c r="S120" s="38"/>
      <c r="T120" s="39"/>
      <c r="V120" s="38"/>
      <c r="W120" s="38"/>
      <c r="X120" s="39"/>
      <c r="Y120" s="39"/>
      <c r="Z120" s="39"/>
      <c r="AA120" s="39"/>
      <c r="AB120" s="39"/>
      <c r="AC120" s="38"/>
      <c r="AD120" s="39"/>
    </row>
    <row r="121" spans="2:30" s="19" customFormat="1" ht="14.25" customHeight="1" x14ac:dyDescent="0.3">
      <c r="B121" s="38"/>
      <c r="C121" s="38"/>
      <c r="D121" s="39"/>
      <c r="E121" s="39"/>
      <c r="F121" s="39"/>
      <c r="G121" s="39"/>
      <c r="H121" s="39"/>
      <c r="I121" s="38"/>
      <c r="J121" s="39"/>
      <c r="L121" s="38"/>
      <c r="M121" s="38"/>
      <c r="N121" s="39"/>
      <c r="O121" s="39"/>
      <c r="P121" s="39"/>
      <c r="Q121" s="39"/>
      <c r="R121" s="39"/>
      <c r="S121" s="38"/>
      <c r="T121" s="39"/>
      <c r="V121" s="38"/>
      <c r="W121" s="38"/>
      <c r="X121" s="39"/>
      <c r="Y121" s="39"/>
      <c r="Z121" s="39"/>
      <c r="AA121" s="39"/>
      <c r="AB121" s="39"/>
      <c r="AC121" s="38"/>
      <c r="AD121" s="39"/>
    </row>
    <row r="122" spans="2:30" s="19" customFormat="1" ht="14.25" customHeight="1" x14ac:dyDescent="0.3">
      <c r="B122" s="38"/>
      <c r="C122" s="38"/>
      <c r="D122" s="39"/>
      <c r="E122" s="39"/>
      <c r="F122" s="39"/>
      <c r="G122" s="39"/>
      <c r="H122" s="39"/>
      <c r="I122" s="38"/>
      <c r="J122" s="39"/>
      <c r="L122" s="38"/>
      <c r="M122" s="38"/>
      <c r="N122" s="39"/>
      <c r="O122" s="39"/>
      <c r="P122" s="39"/>
      <c r="Q122" s="39"/>
      <c r="R122" s="39"/>
      <c r="S122" s="38"/>
      <c r="T122" s="39"/>
      <c r="V122" s="38"/>
      <c r="W122" s="38"/>
      <c r="X122" s="39"/>
      <c r="Y122" s="39"/>
      <c r="Z122" s="39"/>
      <c r="AA122" s="39"/>
      <c r="AB122" s="39"/>
      <c r="AC122" s="38"/>
      <c r="AD122" s="39"/>
    </row>
    <row r="123" spans="2:30" s="19" customFormat="1" ht="14.25" customHeight="1" x14ac:dyDescent="0.3">
      <c r="B123" s="38"/>
      <c r="C123" s="38"/>
      <c r="D123" s="39"/>
      <c r="E123" s="39"/>
      <c r="F123" s="39"/>
      <c r="G123" s="39"/>
      <c r="H123" s="39"/>
      <c r="I123" s="38"/>
      <c r="J123" s="39"/>
      <c r="L123" s="38"/>
      <c r="M123" s="38"/>
      <c r="N123" s="39"/>
      <c r="O123" s="39"/>
      <c r="P123" s="39"/>
      <c r="Q123" s="39"/>
      <c r="R123" s="39"/>
      <c r="S123" s="38"/>
      <c r="T123" s="39"/>
      <c r="V123" s="38"/>
      <c r="W123" s="38"/>
      <c r="X123" s="39"/>
      <c r="Y123" s="39"/>
      <c r="Z123" s="39"/>
      <c r="AA123" s="39"/>
      <c r="AB123" s="39"/>
      <c r="AC123" s="38"/>
      <c r="AD123" s="39"/>
    </row>
    <row r="124" spans="2:30" s="19" customFormat="1" ht="14.25" customHeight="1" x14ac:dyDescent="0.3">
      <c r="B124" s="38"/>
      <c r="C124" s="38"/>
      <c r="D124" s="39"/>
      <c r="E124" s="39"/>
      <c r="F124" s="39"/>
      <c r="G124" s="39"/>
      <c r="H124" s="39"/>
      <c r="I124" s="38"/>
      <c r="J124" s="39"/>
      <c r="L124" s="38"/>
      <c r="M124" s="38"/>
      <c r="N124" s="39"/>
      <c r="O124" s="39"/>
      <c r="P124" s="39"/>
      <c r="Q124" s="39"/>
      <c r="R124" s="39"/>
      <c r="S124" s="38"/>
      <c r="T124" s="39"/>
      <c r="V124" s="38"/>
      <c r="W124" s="38"/>
      <c r="X124" s="39"/>
      <c r="Y124" s="39"/>
      <c r="Z124" s="39"/>
      <c r="AA124" s="39"/>
      <c r="AB124" s="39"/>
      <c r="AC124" s="38"/>
      <c r="AD124" s="39"/>
    </row>
    <row r="125" spans="2:30" s="19" customFormat="1" ht="14.25" customHeight="1" x14ac:dyDescent="0.3">
      <c r="B125" s="38"/>
      <c r="C125" s="38"/>
      <c r="D125" s="39"/>
      <c r="E125" s="39"/>
      <c r="F125" s="39"/>
      <c r="G125" s="39"/>
      <c r="H125" s="39"/>
      <c r="I125" s="38"/>
      <c r="J125" s="39"/>
      <c r="L125" s="38"/>
      <c r="M125" s="38"/>
      <c r="N125" s="39"/>
      <c r="O125" s="39"/>
      <c r="P125" s="39"/>
      <c r="Q125" s="39"/>
      <c r="R125" s="39"/>
      <c r="S125" s="38"/>
      <c r="T125" s="39"/>
      <c r="V125" s="38"/>
      <c r="W125" s="38"/>
      <c r="X125" s="39"/>
      <c r="Y125" s="39"/>
      <c r="Z125" s="39"/>
      <c r="AA125" s="39"/>
      <c r="AB125" s="39"/>
      <c r="AC125" s="38"/>
      <c r="AD125" s="39"/>
    </row>
    <row r="126" spans="2:30" s="19" customFormat="1" ht="14.25" customHeight="1" x14ac:dyDescent="0.3">
      <c r="B126" s="38"/>
      <c r="C126" s="38"/>
      <c r="D126" s="39"/>
      <c r="E126" s="39"/>
      <c r="F126" s="39"/>
      <c r="G126" s="39"/>
      <c r="H126" s="39"/>
      <c r="I126" s="38"/>
      <c r="J126" s="39"/>
      <c r="L126" s="38"/>
      <c r="M126" s="38"/>
      <c r="N126" s="39"/>
      <c r="O126" s="39"/>
      <c r="P126" s="39"/>
      <c r="Q126" s="39"/>
      <c r="R126" s="39"/>
      <c r="S126" s="38"/>
      <c r="T126" s="39"/>
      <c r="V126" s="38"/>
      <c r="W126" s="38"/>
      <c r="X126" s="39"/>
      <c r="Y126" s="39"/>
      <c r="Z126" s="39"/>
      <c r="AA126" s="39"/>
      <c r="AB126" s="39"/>
      <c r="AC126" s="38"/>
      <c r="AD126" s="39"/>
    </row>
    <row r="127" spans="2:30" s="19" customFormat="1" ht="14.25" customHeight="1" x14ac:dyDescent="0.3">
      <c r="B127" s="38"/>
      <c r="C127" s="38"/>
      <c r="D127" s="39"/>
      <c r="E127" s="39"/>
      <c r="F127" s="39"/>
      <c r="G127" s="39"/>
      <c r="H127" s="39"/>
      <c r="I127" s="38"/>
      <c r="J127" s="39"/>
      <c r="L127" s="38"/>
      <c r="M127" s="38"/>
      <c r="N127" s="39"/>
      <c r="O127" s="39"/>
      <c r="P127" s="39"/>
      <c r="Q127" s="39"/>
      <c r="R127" s="39"/>
      <c r="S127" s="38"/>
      <c r="T127" s="39"/>
      <c r="V127" s="38"/>
      <c r="W127" s="38"/>
      <c r="X127" s="39"/>
      <c r="Y127" s="39"/>
      <c r="Z127" s="39"/>
      <c r="AA127" s="39"/>
      <c r="AB127" s="39"/>
      <c r="AC127" s="38"/>
      <c r="AD127" s="39"/>
    </row>
    <row r="128" spans="2:30" s="19" customFormat="1" ht="14.25" customHeight="1" x14ac:dyDescent="0.3">
      <c r="B128" s="38"/>
      <c r="C128" s="38"/>
      <c r="D128" s="39"/>
      <c r="E128" s="39"/>
      <c r="F128" s="39"/>
      <c r="G128" s="39"/>
      <c r="H128" s="39"/>
      <c r="I128" s="38"/>
      <c r="J128" s="39"/>
      <c r="L128" s="38"/>
      <c r="M128" s="38"/>
      <c r="N128" s="39"/>
      <c r="O128" s="39"/>
      <c r="P128" s="39"/>
      <c r="Q128" s="39"/>
      <c r="R128" s="39"/>
      <c r="S128" s="38"/>
      <c r="T128" s="39"/>
      <c r="V128" s="38"/>
      <c r="W128" s="38"/>
      <c r="X128" s="39"/>
      <c r="Y128" s="39"/>
      <c r="Z128" s="39"/>
      <c r="AA128" s="39"/>
      <c r="AB128" s="39"/>
      <c r="AC128" s="38"/>
      <c r="AD128" s="39"/>
    </row>
    <row r="129" spans="2:33" s="19" customFormat="1" ht="14.25" customHeight="1" x14ac:dyDescent="0.3">
      <c r="B129" s="38"/>
      <c r="C129" s="38"/>
      <c r="D129" s="39"/>
      <c r="E129" s="39"/>
      <c r="F129" s="39"/>
      <c r="G129" s="39"/>
      <c r="H129" s="39"/>
      <c r="I129" s="38"/>
      <c r="J129" s="39"/>
      <c r="L129" s="38"/>
      <c r="M129" s="38"/>
      <c r="N129" s="39"/>
      <c r="O129" s="39"/>
      <c r="P129" s="39"/>
      <c r="Q129" s="39"/>
      <c r="R129" s="39"/>
      <c r="S129" s="38"/>
      <c r="T129" s="39"/>
      <c r="V129" s="38"/>
      <c r="W129" s="38"/>
      <c r="X129" s="39"/>
      <c r="Y129" s="39"/>
      <c r="Z129" s="39"/>
      <c r="AA129" s="39"/>
      <c r="AB129" s="39"/>
      <c r="AC129" s="38"/>
      <c r="AD129" s="39"/>
    </row>
    <row r="130" spans="2:33" s="19" customFormat="1" ht="14.25" customHeight="1" x14ac:dyDescent="0.3">
      <c r="B130" s="38"/>
      <c r="C130" s="38"/>
      <c r="D130" s="39"/>
      <c r="E130" s="39"/>
      <c r="F130" s="39"/>
      <c r="G130" s="39"/>
      <c r="H130" s="39"/>
      <c r="I130" s="38"/>
      <c r="J130" s="39"/>
      <c r="L130" s="38"/>
      <c r="M130" s="38"/>
      <c r="N130" s="39"/>
      <c r="O130" s="39"/>
      <c r="P130" s="39"/>
      <c r="Q130" s="39"/>
      <c r="R130" s="39"/>
      <c r="S130" s="38"/>
      <c r="T130" s="39"/>
      <c r="V130" s="38"/>
      <c r="W130" s="38"/>
      <c r="X130" s="39"/>
      <c r="Y130" s="39"/>
      <c r="Z130" s="39"/>
      <c r="AA130" s="39"/>
      <c r="AB130" s="39"/>
      <c r="AC130" s="38"/>
      <c r="AD130" s="39"/>
    </row>
    <row r="131" spans="2:33" s="19" customFormat="1" ht="14.25" customHeight="1" x14ac:dyDescent="0.3">
      <c r="B131" s="38"/>
      <c r="C131" s="38"/>
      <c r="D131" s="39"/>
      <c r="E131" s="39"/>
      <c r="F131" s="39"/>
      <c r="G131" s="39"/>
      <c r="H131" s="39"/>
      <c r="I131" s="38"/>
      <c r="J131" s="39"/>
      <c r="L131" s="38"/>
      <c r="M131" s="38"/>
      <c r="N131" s="39"/>
      <c r="O131" s="39"/>
      <c r="P131" s="39"/>
      <c r="Q131" s="39"/>
      <c r="R131" s="39"/>
      <c r="S131" s="38"/>
      <c r="T131" s="39"/>
      <c r="V131" s="38"/>
      <c r="W131" s="38"/>
      <c r="X131" s="39"/>
      <c r="Y131" s="39"/>
      <c r="Z131" s="39"/>
      <c r="AA131" s="39"/>
      <c r="AB131" s="39"/>
      <c r="AC131" s="38"/>
      <c r="AD131" s="39"/>
    </row>
    <row r="132" spans="2:33" s="19" customFormat="1" ht="14.25" customHeight="1" x14ac:dyDescent="0.3">
      <c r="B132" s="38"/>
      <c r="C132" s="38"/>
      <c r="D132" s="39"/>
      <c r="E132" s="39"/>
      <c r="F132" s="39"/>
      <c r="G132" s="39"/>
      <c r="H132" s="39"/>
      <c r="I132" s="38"/>
      <c r="J132" s="39"/>
      <c r="L132" s="38"/>
      <c r="M132" s="38"/>
      <c r="N132" s="39"/>
      <c r="O132" s="39"/>
      <c r="P132" s="39"/>
      <c r="Q132" s="39"/>
      <c r="R132" s="39"/>
      <c r="S132" s="38"/>
      <c r="T132" s="39"/>
      <c r="V132" s="38"/>
      <c r="W132" s="38"/>
      <c r="X132" s="39"/>
      <c r="Y132" s="39"/>
      <c r="Z132" s="39"/>
      <c r="AA132" s="39"/>
      <c r="AB132" s="39"/>
      <c r="AC132" s="38"/>
      <c r="AD132" s="39"/>
    </row>
    <row r="133" spans="2:33" s="19" customFormat="1" ht="14.25" customHeight="1" x14ac:dyDescent="0.3">
      <c r="B133" s="38"/>
      <c r="C133" s="38"/>
      <c r="D133" s="39"/>
      <c r="E133" s="39"/>
      <c r="F133" s="39"/>
      <c r="G133" s="39"/>
      <c r="H133" s="39"/>
      <c r="I133" s="38"/>
      <c r="J133" s="39"/>
      <c r="L133" s="38"/>
      <c r="M133" s="38"/>
      <c r="N133" s="39"/>
      <c r="O133" s="39"/>
      <c r="P133" s="39"/>
      <c r="Q133" s="39"/>
      <c r="R133" s="39"/>
      <c r="S133" s="38"/>
      <c r="T133" s="39"/>
      <c r="V133" s="38"/>
      <c r="W133" s="38"/>
      <c r="X133" s="39"/>
      <c r="Y133" s="39"/>
      <c r="Z133" s="39"/>
      <c r="AA133" s="39"/>
      <c r="AB133" s="39"/>
      <c r="AC133" s="38"/>
      <c r="AD133" s="39"/>
    </row>
    <row r="134" spans="2:33" s="19" customFormat="1" ht="14.25" customHeight="1" x14ac:dyDescent="0.3">
      <c r="B134" s="38"/>
      <c r="C134" s="38"/>
      <c r="D134" s="39"/>
      <c r="E134" s="39"/>
      <c r="F134" s="39"/>
      <c r="G134" s="39"/>
      <c r="H134" s="39"/>
      <c r="I134" s="38"/>
      <c r="J134" s="39"/>
      <c r="L134" s="38"/>
      <c r="M134" s="38"/>
      <c r="N134" s="39"/>
      <c r="O134" s="39"/>
      <c r="P134" s="39"/>
      <c r="Q134" s="39"/>
      <c r="R134" s="39"/>
      <c r="S134" s="38"/>
      <c r="T134" s="39"/>
      <c r="V134" s="38"/>
      <c r="W134" s="38"/>
      <c r="X134" s="39"/>
      <c r="Y134" s="39"/>
      <c r="Z134" s="39"/>
      <c r="AA134" s="39"/>
      <c r="AB134" s="39"/>
      <c r="AC134" s="38"/>
      <c r="AD134" s="39"/>
    </row>
    <row r="135" spans="2:33" s="19" customFormat="1" ht="14.25" customHeight="1" x14ac:dyDescent="0.3">
      <c r="B135" s="38"/>
      <c r="C135" s="38"/>
      <c r="D135" s="39"/>
      <c r="E135" s="39"/>
      <c r="F135" s="39"/>
      <c r="G135" s="39"/>
      <c r="H135" s="39"/>
      <c r="I135" s="38"/>
      <c r="J135" s="39"/>
      <c r="L135" s="38"/>
      <c r="M135" s="38"/>
      <c r="N135" s="39"/>
      <c r="O135" s="39"/>
      <c r="P135" s="39"/>
      <c r="Q135" s="39"/>
      <c r="R135" s="39"/>
      <c r="S135" s="38"/>
      <c r="T135" s="39"/>
      <c r="V135" s="38"/>
      <c r="W135" s="38"/>
      <c r="X135" s="39"/>
      <c r="Y135" s="39"/>
      <c r="Z135" s="39"/>
      <c r="AA135" s="39"/>
      <c r="AB135" s="39"/>
      <c r="AC135" s="38"/>
      <c r="AD135" s="39"/>
    </row>
    <row r="136" spans="2:33" s="19" customFormat="1" ht="14.25" customHeight="1" x14ac:dyDescent="0.3">
      <c r="B136" s="38"/>
      <c r="C136" s="38"/>
      <c r="D136" s="39"/>
      <c r="E136" s="39"/>
      <c r="F136" s="39"/>
      <c r="G136" s="39"/>
      <c r="H136" s="39"/>
      <c r="I136" s="38"/>
      <c r="J136" s="39"/>
      <c r="L136" s="38"/>
      <c r="M136" s="38"/>
      <c r="N136" s="39"/>
      <c r="O136" s="39"/>
      <c r="P136" s="39"/>
      <c r="Q136" s="39"/>
      <c r="R136" s="39"/>
      <c r="S136" s="38"/>
      <c r="T136" s="39"/>
      <c r="V136" s="38"/>
      <c r="W136" s="38"/>
      <c r="X136" s="39"/>
      <c r="Y136" s="39"/>
      <c r="Z136" s="39"/>
      <c r="AA136" s="39"/>
      <c r="AB136" s="39"/>
      <c r="AC136" s="38"/>
      <c r="AD136" s="39"/>
    </row>
    <row r="137" spans="2:33" s="19" customFormat="1" ht="14.25" customHeight="1" x14ac:dyDescent="0.3">
      <c r="B137" s="38"/>
      <c r="C137" s="38"/>
      <c r="D137" s="39"/>
      <c r="E137" s="39"/>
      <c r="F137" s="39"/>
      <c r="G137" s="39"/>
      <c r="H137" s="39"/>
      <c r="I137" s="38"/>
      <c r="J137" s="39"/>
      <c r="L137" s="38"/>
      <c r="M137" s="38"/>
      <c r="N137" s="39"/>
      <c r="O137" s="39"/>
      <c r="P137" s="39"/>
      <c r="Q137" s="39"/>
      <c r="R137" s="39"/>
      <c r="S137" s="38"/>
      <c r="T137" s="39"/>
      <c r="V137" s="38"/>
      <c r="W137" s="38"/>
      <c r="X137" s="39"/>
      <c r="Y137" s="39"/>
      <c r="Z137" s="39"/>
      <c r="AA137" s="39"/>
      <c r="AB137" s="39"/>
      <c r="AC137" s="38"/>
      <c r="AD137" s="39"/>
    </row>
    <row r="138" spans="2:33" s="19" customFormat="1" ht="14.25" customHeight="1" x14ac:dyDescent="0.3">
      <c r="B138" s="38"/>
      <c r="C138" s="38"/>
      <c r="D138" s="39"/>
      <c r="E138" s="39"/>
      <c r="F138" s="39"/>
      <c r="G138" s="39"/>
      <c r="H138" s="39"/>
      <c r="I138" s="38"/>
      <c r="J138" s="39"/>
      <c r="L138" s="38"/>
      <c r="M138" s="38"/>
      <c r="N138" s="39"/>
      <c r="O138" s="39"/>
      <c r="P138" s="39"/>
      <c r="Q138" s="39"/>
      <c r="R138" s="39"/>
      <c r="S138" s="38"/>
      <c r="T138" s="39"/>
      <c r="V138" s="38"/>
      <c r="W138" s="38"/>
      <c r="X138" s="39"/>
      <c r="Y138" s="39"/>
      <c r="Z138" s="39"/>
      <c r="AA138" s="39"/>
      <c r="AB138" s="39"/>
      <c r="AC138" s="38"/>
      <c r="AD138" s="39"/>
    </row>
    <row r="139" spans="2:33" s="19" customFormat="1" ht="14.25" customHeight="1" x14ac:dyDescent="0.3">
      <c r="B139" s="38"/>
      <c r="C139" s="38"/>
      <c r="D139" s="39"/>
      <c r="E139" s="39"/>
      <c r="F139" s="39"/>
      <c r="G139" s="39"/>
      <c r="H139" s="39"/>
      <c r="I139" s="38"/>
      <c r="J139" s="39"/>
      <c r="L139" s="38"/>
      <c r="M139" s="38"/>
      <c r="N139" s="39"/>
      <c r="O139" s="39"/>
      <c r="P139" s="39"/>
      <c r="Q139" s="39"/>
      <c r="R139" s="39"/>
      <c r="S139" s="38"/>
      <c r="T139" s="39"/>
      <c r="V139" s="38"/>
      <c r="W139" s="38"/>
      <c r="X139" s="39"/>
      <c r="Y139" s="39"/>
      <c r="Z139" s="39"/>
      <c r="AA139" s="39"/>
      <c r="AB139" s="39"/>
      <c r="AC139" s="38"/>
      <c r="AD139" s="39"/>
    </row>
    <row r="140" spans="2:33" s="19" customFormat="1" ht="14.25" customHeight="1" x14ac:dyDescent="0.3">
      <c r="B140" s="38"/>
      <c r="C140" s="38"/>
      <c r="D140" s="39"/>
      <c r="E140" s="39"/>
      <c r="F140" s="39"/>
      <c r="G140" s="39"/>
      <c r="H140" s="39"/>
      <c r="I140" s="38"/>
      <c r="J140" s="39"/>
      <c r="L140" s="38"/>
      <c r="M140" s="38"/>
      <c r="N140" s="39"/>
      <c r="O140" s="39"/>
      <c r="P140" s="39"/>
      <c r="Q140" s="39"/>
      <c r="R140" s="39"/>
      <c r="S140" s="38"/>
      <c r="T140" s="39"/>
      <c r="V140" s="38"/>
      <c r="W140" s="38"/>
      <c r="X140" s="39"/>
      <c r="Y140" s="39"/>
      <c r="Z140" s="39"/>
      <c r="AA140" s="39"/>
      <c r="AB140" s="39"/>
      <c r="AC140" s="38"/>
      <c r="AD140" s="39"/>
    </row>
    <row r="141" spans="2:33" s="19" customFormat="1" ht="14.25" customHeight="1" x14ac:dyDescent="0.3">
      <c r="L141" s="38"/>
      <c r="M141" s="38"/>
      <c r="N141" s="39"/>
      <c r="O141" s="39"/>
      <c r="P141" s="39"/>
      <c r="Q141" s="39"/>
      <c r="R141" s="39"/>
      <c r="S141" s="38"/>
      <c r="T141" s="39"/>
      <c r="V141" s="38"/>
      <c r="W141" s="38"/>
      <c r="X141" s="39"/>
      <c r="Y141" s="39"/>
      <c r="Z141" s="39"/>
      <c r="AA141" s="39"/>
      <c r="AB141" s="39"/>
      <c r="AC141" s="38"/>
      <c r="AD141" s="39"/>
    </row>
    <row r="142" spans="2:33" s="19" customFormat="1" ht="14.25" customHeight="1" x14ac:dyDescent="0.3">
      <c r="B142" s="40"/>
      <c r="L142" s="38"/>
      <c r="M142" s="38"/>
      <c r="N142" s="39"/>
      <c r="O142" s="39"/>
      <c r="P142" s="39"/>
      <c r="Q142" s="39"/>
      <c r="R142" s="39"/>
      <c r="S142" s="38"/>
      <c r="T142" s="39"/>
      <c r="V142" s="38"/>
      <c r="W142" s="38"/>
      <c r="X142" s="39"/>
      <c r="Y142" s="39"/>
      <c r="Z142" s="39"/>
      <c r="AA142" s="39"/>
      <c r="AB142" s="39"/>
      <c r="AC142" s="38"/>
      <c r="AD142" s="39"/>
    </row>
    <row r="143" spans="2:33" s="19" customFormat="1" ht="14.25" customHeight="1" x14ac:dyDescent="0.3">
      <c r="B143" s="41"/>
      <c r="C143" s="41"/>
      <c r="D143" s="41"/>
      <c r="E143" s="41"/>
      <c r="F143" s="41"/>
      <c r="G143" s="41"/>
      <c r="H143" s="41"/>
      <c r="I143" s="41"/>
      <c r="J143" s="41"/>
      <c r="L143" s="38"/>
      <c r="M143" s="38"/>
      <c r="N143" s="39"/>
      <c r="O143" s="39"/>
      <c r="P143" s="39"/>
      <c r="Q143" s="39"/>
      <c r="R143" s="39"/>
      <c r="S143" s="38"/>
      <c r="T143" s="39"/>
      <c r="V143" s="38"/>
      <c r="W143" s="38"/>
      <c r="X143" s="39"/>
      <c r="Y143" s="39"/>
      <c r="Z143" s="39"/>
      <c r="AA143" s="39"/>
      <c r="AB143" s="39"/>
      <c r="AC143" s="38"/>
      <c r="AD143" s="39"/>
    </row>
    <row r="144" spans="2:33" ht="14.25" customHeight="1" x14ac:dyDescent="0.3">
      <c r="B144" s="36"/>
      <c r="C144" s="36"/>
      <c r="D144" s="42"/>
      <c r="E144" s="42"/>
      <c r="F144" s="42"/>
      <c r="G144" s="42"/>
      <c r="H144" s="42"/>
      <c r="I144" s="36"/>
      <c r="J144" s="42"/>
      <c r="L144" s="36"/>
      <c r="M144" s="36"/>
      <c r="N144" s="42"/>
      <c r="O144" s="42"/>
      <c r="P144" s="42"/>
      <c r="Q144" s="42"/>
      <c r="R144" s="42"/>
      <c r="S144" s="36"/>
      <c r="T144" s="42"/>
      <c r="V144" s="36"/>
      <c r="W144" s="36"/>
      <c r="X144" s="42"/>
      <c r="Y144" s="42"/>
      <c r="Z144" s="42"/>
      <c r="AA144" s="42"/>
      <c r="AB144" s="42"/>
      <c r="AC144" s="36"/>
      <c r="AD144" s="42"/>
      <c r="AF144" s="19"/>
      <c r="AG144" s="19"/>
    </row>
    <row r="145" spans="2:33" ht="14.25" customHeight="1" x14ac:dyDescent="0.3">
      <c r="B145" s="36"/>
      <c r="C145" s="36"/>
      <c r="D145" s="42"/>
      <c r="E145" s="42"/>
      <c r="F145" s="42"/>
      <c r="G145" s="42"/>
      <c r="H145" s="42"/>
      <c r="I145" s="36"/>
      <c r="J145" s="42"/>
      <c r="L145" s="36"/>
      <c r="M145" s="36"/>
      <c r="N145" s="42"/>
      <c r="O145" s="42"/>
      <c r="P145" s="42"/>
      <c r="Q145" s="42"/>
      <c r="R145" s="42"/>
      <c r="S145" s="36"/>
      <c r="T145" s="42"/>
      <c r="V145" s="36"/>
      <c r="W145" s="36"/>
      <c r="X145" s="42"/>
      <c r="Y145" s="42"/>
      <c r="Z145" s="42"/>
      <c r="AA145" s="42"/>
      <c r="AB145" s="42"/>
      <c r="AC145" s="36"/>
      <c r="AD145" s="42"/>
      <c r="AF145" s="19"/>
      <c r="AG145" s="19"/>
    </row>
    <row r="146" spans="2:33" ht="14.25" customHeight="1" x14ac:dyDescent="0.3">
      <c r="B146" s="36"/>
      <c r="C146" s="36"/>
      <c r="D146" s="42"/>
      <c r="E146" s="42"/>
      <c r="F146" s="42"/>
      <c r="G146" s="42"/>
      <c r="H146" s="42"/>
      <c r="I146" s="36"/>
      <c r="J146" s="42"/>
      <c r="L146" s="36"/>
      <c r="M146" s="36"/>
      <c r="N146" s="42"/>
      <c r="O146" s="42"/>
      <c r="P146" s="42"/>
      <c r="Q146" s="42"/>
      <c r="R146" s="42"/>
      <c r="S146" s="36"/>
      <c r="T146" s="42"/>
      <c r="V146" s="36"/>
      <c r="W146" s="36"/>
      <c r="X146" s="42"/>
      <c r="Y146" s="42"/>
      <c r="Z146" s="42"/>
      <c r="AA146" s="42"/>
      <c r="AB146" s="42"/>
      <c r="AC146" s="36"/>
      <c r="AD146" s="42"/>
      <c r="AF146" s="19"/>
      <c r="AG146" s="19"/>
    </row>
    <row r="147" spans="2:33" ht="14.25" customHeight="1" x14ac:dyDescent="0.3">
      <c r="B147" s="36"/>
      <c r="C147" s="36"/>
      <c r="D147" s="42"/>
      <c r="E147" s="42"/>
      <c r="F147" s="42"/>
      <c r="G147" s="42"/>
      <c r="H147" s="42"/>
      <c r="I147" s="36"/>
      <c r="J147" s="42"/>
      <c r="L147" s="36"/>
      <c r="M147" s="36"/>
      <c r="N147" s="42"/>
      <c r="O147" s="42"/>
      <c r="P147" s="42"/>
      <c r="Q147" s="42"/>
      <c r="R147" s="42"/>
      <c r="S147" s="36"/>
      <c r="T147" s="42"/>
      <c r="V147" s="36"/>
      <c r="W147" s="36"/>
      <c r="X147" s="42"/>
      <c r="Y147" s="42"/>
      <c r="Z147" s="42"/>
      <c r="AA147" s="42"/>
      <c r="AB147" s="42"/>
      <c r="AC147" s="36"/>
      <c r="AD147" s="42"/>
      <c r="AF147" s="19"/>
      <c r="AG147" s="19"/>
    </row>
    <row r="148" spans="2:33" ht="14.25" customHeight="1" x14ac:dyDescent="0.3">
      <c r="B148" s="36"/>
      <c r="C148" s="36"/>
      <c r="D148" s="42"/>
      <c r="E148" s="42"/>
      <c r="F148" s="42"/>
      <c r="G148" s="42"/>
      <c r="H148" s="42"/>
      <c r="I148" s="36"/>
      <c r="J148" s="42"/>
      <c r="L148" s="36"/>
      <c r="M148" s="36"/>
      <c r="N148" s="42"/>
      <c r="O148" s="42"/>
      <c r="P148" s="42"/>
      <c r="Q148" s="42"/>
      <c r="R148" s="42"/>
      <c r="S148" s="36"/>
      <c r="T148" s="42"/>
      <c r="V148" s="36"/>
      <c r="W148" s="36"/>
      <c r="X148" s="42"/>
      <c r="Y148" s="42"/>
      <c r="Z148" s="42"/>
      <c r="AA148" s="42"/>
      <c r="AB148" s="42"/>
      <c r="AC148" s="36"/>
      <c r="AD148" s="42"/>
      <c r="AF148" s="19"/>
      <c r="AG148" s="19"/>
    </row>
    <row r="149" spans="2:33" ht="14.25" customHeight="1" x14ac:dyDescent="0.3">
      <c r="B149" s="36"/>
      <c r="C149" s="36"/>
      <c r="D149" s="42"/>
      <c r="E149" s="42"/>
      <c r="F149" s="42"/>
      <c r="G149" s="42"/>
      <c r="H149" s="42"/>
      <c r="I149" s="36"/>
      <c r="J149" s="42"/>
      <c r="L149" s="36"/>
      <c r="M149" s="36"/>
      <c r="N149" s="42"/>
      <c r="O149" s="42"/>
      <c r="P149" s="42"/>
      <c r="Q149" s="42"/>
      <c r="R149" s="42"/>
      <c r="S149" s="36"/>
      <c r="T149" s="42"/>
      <c r="V149" s="36"/>
      <c r="W149" s="36"/>
      <c r="X149" s="42"/>
      <c r="Y149" s="42"/>
      <c r="Z149" s="42"/>
      <c r="AA149" s="42"/>
      <c r="AB149" s="42"/>
      <c r="AC149" s="36"/>
      <c r="AD149" s="42"/>
      <c r="AF149" s="19"/>
      <c r="AG149" s="19"/>
    </row>
    <row r="150" spans="2:33" ht="14.25" customHeight="1" x14ac:dyDescent="0.3">
      <c r="B150" s="36"/>
      <c r="C150" s="36"/>
      <c r="D150" s="42"/>
      <c r="E150" s="42"/>
      <c r="F150" s="42"/>
      <c r="G150" s="42"/>
      <c r="H150" s="42"/>
      <c r="I150" s="36"/>
      <c r="J150" s="42"/>
      <c r="L150" s="36"/>
      <c r="M150" s="36"/>
      <c r="N150" s="42"/>
      <c r="O150" s="42"/>
      <c r="P150" s="42"/>
      <c r="Q150" s="42"/>
      <c r="R150" s="42"/>
      <c r="S150" s="36"/>
      <c r="T150" s="42"/>
      <c r="V150" s="36"/>
      <c r="W150" s="36"/>
      <c r="X150" s="42"/>
      <c r="Y150" s="42"/>
      <c r="Z150" s="42"/>
      <c r="AA150" s="42"/>
      <c r="AB150" s="42"/>
      <c r="AC150" s="36"/>
      <c r="AD150" s="42"/>
      <c r="AF150" s="19"/>
      <c r="AG150" s="19"/>
    </row>
    <row r="151" spans="2:33" ht="14.25" customHeight="1" x14ac:dyDescent="0.3">
      <c r="B151" s="36"/>
      <c r="C151" s="36"/>
      <c r="D151" s="42"/>
      <c r="E151" s="42"/>
      <c r="F151" s="42"/>
      <c r="G151" s="42"/>
      <c r="H151" s="42"/>
      <c r="I151" s="36"/>
      <c r="J151" s="42"/>
      <c r="L151" s="36"/>
      <c r="M151" s="36"/>
      <c r="N151" s="42"/>
      <c r="O151" s="42"/>
      <c r="P151" s="42"/>
      <c r="Q151" s="42"/>
      <c r="R151" s="42"/>
      <c r="S151" s="36"/>
      <c r="T151" s="42"/>
      <c r="V151" s="36"/>
      <c r="W151" s="36"/>
      <c r="X151" s="42"/>
      <c r="Y151" s="42"/>
      <c r="Z151" s="42"/>
      <c r="AA151" s="42"/>
      <c r="AB151" s="42"/>
      <c r="AC151" s="36"/>
      <c r="AD151" s="42"/>
      <c r="AF151" s="19"/>
      <c r="AG151" s="19"/>
    </row>
    <row r="152" spans="2:33" ht="14.25" customHeight="1" x14ac:dyDescent="0.3">
      <c r="B152" s="36"/>
      <c r="C152" s="36"/>
      <c r="D152" s="42"/>
      <c r="E152" s="42"/>
      <c r="F152" s="42"/>
      <c r="G152" s="42"/>
      <c r="H152" s="42"/>
      <c r="I152" s="36"/>
      <c r="J152" s="42"/>
      <c r="L152" s="36"/>
      <c r="M152" s="36"/>
      <c r="N152" s="42"/>
      <c r="O152" s="42"/>
      <c r="P152" s="42"/>
      <c r="Q152" s="42"/>
      <c r="R152" s="42"/>
      <c r="S152" s="36"/>
      <c r="T152" s="42"/>
      <c r="V152" s="36"/>
      <c r="W152" s="36"/>
      <c r="X152" s="42"/>
      <c r="Y152" s="42"/>
      <c r="Z152" s="42"/>
      <c r="AA152" s="42"/>
      <c r="AB152" s="42"/>
      <c r="AC152" s="36"/>
      <c r="AD152" s="42"/>
      <c r="AF152" s="19"/>
      <c r="AG152" s="19"/>
    </row>
    <row r="153" spans="2:33" ht="14.25" customHeight="1" x14ac:dyDescent="0.3">
      <c r="B153" s="36"/>
      <c r="C153" s="36"/>
      <c r="D153" s="42"/>
      <c r="E153" s="42"/>
      <c r="F153" s="42"/>
      <c r="G153" s="42"/>
      <c r="H153" s="42"/>
      <c r="I153" s="36"/>
      <c r="J153" s="42"/>
      <c r="L153" s="36"/>
      <c r="M153" s="36"/>
      <c r="N153" s="42"/>
      <c r="O153" s="42"/>
      <c r="P153" s="42"/>
      <c r="Q153" s="42"/>
      <c r="R153" s="42"/>
      <c r="S153" s="36"/>
      <c r="T153" s="42"/>
      <c r="V153" s="36"/>
      <c r="W153" s="36"/>
      <c r="X153" s="42"/>
      <c r="Y153" s="42"/>
      <c r="Z153" s="42"/>
      <c r="AA153" s="42"/>
      <c r="AB153" s="42"/>
      <c r="AC153" s="36"/>
      <c r="AD153" s="42"/>
      <c r="AF153" s="19"/>
      <c r="AG153" s="19"/>
    </row>
    <row r="154" spans="2:33" ht="14.25" customHeight="1" x14ac:dyDescent="0.3">
      <c r="B154" s="36"/>
      <c r="C154" s="36"/>
      <c r="D154" s="42"/>
      <c r="E154" s="42"/>
      <c r="F154" s="42"/>
      <c r="G154" s="42"/>
      <c r="H154" s="42"/>
      <c r="I154" s="36"/>
      <c r="J154" s="42"/>
      <c r="L154" s="36"/>
      <c r="M154" s="36"/>
      <c r="N154" s="42"/>
      <c r="O154" s="42"/>
      <c r="P154" s="42"/>
      <c r="Q154" s="42"/>
      <c r="R154" s="42"/>
      <c r="S154" s="36"/>
      <c r="T154" s="42"/>
      <c r="V154" s="36"/>
      <c r="W154" s="36"/>
      <c r="X154" s="42"/>
      <c r="Y154" s="42"/>
      <c r="Z154" s="42"/>
      <c r="AA154" s="42"/>
      <c r="AB154" s="42"/>
      <c r="AC154" s="36"/>
      <c r="AD154" s="42"/>
      <c r="AF154" s="19"/>
      <c r="AG154" s="19"/>
    </row>
    <row r="155" spans="2:33" ht="14.25" customHeight="1" x14ac:dyDescent="0.3">
      <c r="B155" s="36"/>
      <c r="C155" s="36"/>
      <c r="D155" s="42"/>
      <c r="E155" s="42"/>
      <c r="F155" s="42"/>
      <c r="G155" s="42"/>
      <c r="H155" s="42"/>
      <c r="I155" s="36"/>
      <c r="J155" s="42"/>
      <c r="L155" s="36"/>
      <c r="M155" s="36"/>
      <c r="N155" s="42"/>
      <c r="O155" s="42"/>
      <c r="P155" s="42"/>
      <c r="Q155" s="42"/>
      <c r="R155" s="42"/>
      <c r="S155" s="36"/>
      <c r="T155" s="42"/>
      <c r="V155" s="36"/>
      <c r="W155" s="36"/>
      <c r="X155" s="42"/>
      <c r="Y155" s="42"/>
      <c r="Z155" s="42"/>
      <c r="AA155" s="42"/>
      <c r="AB155" s="42"/>
      <c r="AC155" s="36"/>
      <c r="AD155" s="42"/>
      <c r="AF155" s="19"/>
      <c r="AG155" s="19"/>
    </row>
    <row r="156" spans="2:33" ht="14.25" customHeight="1" x14ac:dyDescent="0.3">
      <c r="B156" s="36"/>
      <c r="C156" s="36"/>
      <c r="D156" s="42"/>
      <c r="E156" s="42"/>
      <c r="F156" s="42"/>
      <c r="G156" s="42"/>
      <c r="H156" s="42"/>
      <c r="I156" s="36"/>
      <c r="J156" s="42"/>
      <c r="L156" s="36"/>
      <c r="M156" s="36"/>
      <c r="N156" s="42"/>
      <c r="O156" s="42"/>
      <c r="P156" s="42"/>
      <c r="Q156" s="42"/>
      <c r="R156" s="42"/>
      <c r="S156" s="36"/>
      <c r="T156" s="42"/>
      <c r="V156" s="36"/>
      <c r="W156" s="36"/>
      <c r="X156" s="42"/>
      <c r="Y156" s="42"/>
      <c r="Z156" s="42"/>
      <c r="AA156" s="42"/>
      <c r="AB156" s="42"/>
      <c r="AC156" s="36"/>
      <c r="AD156" s="42"/>
      <c r="AF156" s="19"/>
      <c r="AG156" s="19"/>
    </row>
    <row r="157" spans="2:33" ht="14.25" customHeight="1" x14ac:dyDescent="0.3">
      <c r="B157" s="36"/>
      <c r="C157" s="36"/>
      <c r="D157" s="42"/>
      <c r="E157" s="42"/>
      <c r="F157" s="42"/>
      <c r="G157" s="42"/>
      <c r="H157" s="42"/>
      <c r="I157" s="36"/>
      <c r="J157" s="42"/>
      <c r="L157" s="36"/>
      <c r="M157" s="36"/>
      <c r="N157" s="42"/>
      <c r="O157" s="42"/>
      <c r="P157" s="42"/>
      <c r="Q157" s="42"/>
      <c r="R157" s="42"/>
      <c r="S157" s="36"/>
      <c r="T157" s="42"/>
      <c r="V157" s="36"/>
      <c r="W157" s="36"/>
      <c r="X157" s="42"/>
      <c r="Y157" s="42"/>
      <c r="Z157" s="42"/>
      <c r="AA157" s="42"/>
      <c r="AB157" s="42"/>
      <c r="AC157" s="36"/>
      <c r="AD157" s="42"/>
      <c r="AF157" s="19"/>
      <c r="AG157" s="19"/>
    </row>
    <row r="158" spans="2:33" ht="14.25" customHeight="1" x14ac:dyDescent="0.3">
      <c r="B158" s="36"/>
      <c r="C158" s="36"/>
      <c r="D158" s="42"/>
      <c r="E158" s="42"/>
      <c r="F158" s="42"/>
      <c r="G158" s="42"/>
      <c r="H158" s="42"/>
      <c r="I158" s="36"/>
      <c r="J158" s="42"/>
      <c r="L158" s="36"/>
      <c r="M158" s="36"/>
      <c r="N158" s="42"/>
      <c r="O158" s="42"/>
      <c r="P158" s="42"/>
      <c r="Q158" s="42"/>
      <c r="R158" s="42"/>
      <c r="S158" s="36"/>
      <c r="T158" s="42"/>
      <c r="V158" s="36"/>
      <c r="W158" s="36"/>
      <c r="X158" s="42"/>
      <c r="Y158" s="42"/>
      <c r="Z158" s="42"/>
      <c r="AA158" s="42"/>
      <c r="AB158" s="42"/>
      <c r="AC158" s="36"/>
      <c r="AD158" s="42"/>
      <c r="AF158" s="19"/>
      <c r="AG158" s="19"/>
    </row>
    <row r="159" spans="2:33" ht="14.25" customHeight="1" x14ac:dyDescent="0.3">
      <c r="B159" s="36"/>
      <c r="C159" s="36"/>
      <c r="D159" s="42"/>
      <c r="E159" s="42"/>
      <c r="F159" s="42"/>
      <c r="G159" s="42"/>
      <c r="H159" s="42"/>
      <c r="I159" s="36"/>
      <c r="J159" s="42"/>
      <c r="L159" s="36"/>
      <c r="M159" s="36"/>
      <c r="N159" s="42"/>
      <c r="O159" s="42"/>
      <c r="P159" s="42"/>
      <c r="Q159" s="42"/>
      <c r="R159" s="42"/>
      <c r="S159" s="36"/>
      <c r="T159" s="42"/>
      <c r="V159" s="36"/>
      <c r="W159" s="36"/>
      <c r="X159" s="42"/>
      <c r="Y159" s="42"/>
      <c r="Z159" s="42"/>
      <c r="AA159" s="42"/>
      <c r="AB159" s="42"/>
      <c r="AC159" s="36"/>
      <c r="AD159" s="42"/>
      <c r="AF159" s="19"/>
      <c r="AG159" s="19"/>
    </row>
    <row r="160" spans="2:33" ht="14.25" customHeight="1" x14ac:dyDescent="0.3">
      <c r="B160" s="36"/>
      <c r="C160" s="36"/>
      <c r="D160" s="42"/>
      <c r="E160" s="42"/>
      <c r="F160" s="42"/>
      <c r="G160" s="42"/>
      <c r="H160" s="42"/>
      <c r="I160" s="36"/>
      <c r="J160" s="42"/>
      <c r="L160" s="36"/>
      <c r="M160" s="36"/>
      <c r="N160" s="42"/>
      <c r="O160" s="42"/>
      <c r="P160" s="42"/>
      <c r="Q160" s="42"/>
      <c r="R160" s="42"/>
      <c r="S160" s="36"/>
      <c r="T160" s="42"/>
      <c r="V160" s="36"/>
      <c r="W160" s="36"/>
      <c r="X160" s="42"/>
      <c r="Y160" s="42"/>
      <c r="Z160" s="42"/>
      <c r="AA160" s="42"/>
      <c r="AB160" s="42"/>
      <c r="AC160" s="36"/>
      <c r="AD160" s="42"/>
      <c r="AF160" s="19"/>
      <c r="AG160" s="19"/>
    </row>
    <row r="161" spans="2:33" ht="14.25" customHeight="1" x14ac:dyDescent="0.3">
      <c r="B161" s="36"/>
      <c r="C161" s="36"/>
      <c r="D161" s="42"/>
      <c r="E161" s="42"/>
      <c r="F161" s="42"/>
      <c r="G161" s="42"/>
      <c r="H161" s="42"/>
      <c r="I161" s="36"/>
      <c r="J161" s="42"/>
      <c r="L161" s="36"/>
      <c r="M161" s="36"/>
      <c r="N161" s="42"/>
      <c r="O161" s="42"/>
      <c r="P161" s="42"/>
      <c r="Q161" s="42"/>
      <c r="R161" s="42"/>
      <c r="S161" s="36"/>
      <c r="T161" s="42"/>
      <c r="V161" s="36"/>
      <c r="W161" s="36"/>
      <c r="X161" s="42"/>
      <c r="Y161" s="42"/>
      <c r="Z161" s="42"/>
      <c r="AA161" s="42"/>
      <c r="AB161" s="42"/>
      <c r="AC161" s="36"/>
      <c r="AD161" s="42"/>
      <c r="AF161" s="19"/>
      <c r="AG161" s="19"/>
    </row>
    <row r="162" spans="2:33" ht="14.25" customHeight="1" x14ac:dyDescent="0.3">
      <c r="B162" s="36"/>
      <c r="C162" s="36"/>
      <c r="D162" s="42"/>
      <c r="E162" s="42"/>
      <c r="F162" s="42"/>
      <c r="G162" s="42"/>
      <c r="H162" s="42"/>
      <c r="I162" s="36"/>
      <c r="J162" s="42"/>
      <c r="L162" s="36"/>
      <c r="M162" s="36"/>
      <c r="N162" s="42"/>
      <c r="O162" s="42"/>
      <c r="P162" s="42"/>
      <c r="Q162" s="42"/>
      <c r="R162" s="42"/>
      <c r="S162" s="36"/>
      <c r="T162" s="42"/>
      <c r="V162" s="36"/>
      <c r="W162" s="36"/>
      <c r="X162" s="42"/>
      <c r="Y162" s="42"/>
      <c r="Z162" s="42"/>
      <c r="AA162" s="42"/>
      <c r="AB162" s="42"/>
      <c r="AC162" s="36"/>
      <c r="AD162" s="42"/>
      <c r="AF162" s="19"/>
      <c r="AG162" s="19"/>
    </row>
    <row r="163" spans="2:33" ht="14.25" customHeight="1" x14ac:dyDescent="0.3">
      <c r="B163" s="36"/>
      <c r="C163" s="36"/>
      <c r="D163" s="42"/>
      <c r="E163" s="42"/>
      <c r="F163" s="42"/>
      <c r="G163" s="42"/>
      <c r="H163" s="42"/>
      <c r="I163" s="36"/>
      <c r="J163" s="42"/>
      <c r="L163" s="36"/>
      <c r="M163" s="36"/>
      <c r="N163" s="42"/>
      <c r="O163" s="42"/>
      <c r="P163" s="42"/>
      <c r="Q163" s="42"/>
      <c r="R163" s="42"/>
      <c r="S163" s="36"/>
      <c r="T163" s="42"/>
      <c r="V163" s="36"/>
      <c r="W163" s="36"/>
      <c r="X163" s="42"/>
      <c r="Y163" s="42"/>
      <c r="Z163" s="42"/>
      <c r="AA163" s="42"/>
      <c r="AB163" s="42"/>
      <c r="AC163" s="36"/>
      <c r="AD163" s="42"/>
      <c r="AF163" s="19"/>
      <c r="AG163" s="19"/>
    </row>
    <row r="164" spans="2:33" ht="14.25" customHeight="1" x14ac:dyDescent="0.3">
      <c r="B164" s="36"/>
      <c r="C164" s="36"/>
      <c r="D164" s="42"/>
      <c r="E164" s="42"/>
      <c r="F164" s="42"/>
      <c r="G164" s="42"/>
      <c r="H164" s="42"/>
      <c r="I164" s="36"/>
      <c r="J164" s="42"/>
      <c r="L164" s="36"/>
      <c r="M164" s="36"/>
      <c r="N164" s="42"/>
      <c r="O164" s="42"/>
      <c r="P164" s="42"/>
      <c r="Q164" s="42"/>
      <c r="R164" s="42"/>
      <c r="S164" s="36"/>
      <c r="T164" s="42"/>
      <c r="V164" s="36"/>
      <c r="W164" s="36"/>
      <c r="X164" s="42"/>
      <c r="Y164" s="42"/>
      <c r="Z164" s="42"/>
      <c r="AA164" s="42"/>
      <c r="AB164" s="42"/>
      <c r="AC164" s="36"/>
      <c r="AD164" s="42"/>
      <c r="AF164" s="19"/>
      <c r="AG164" s="19"/>
    </row>
    <row r="165" spans="2:33" ht="14.25" customHeight="1" x14ac:dyDescent="0.3">
      <c r="B165" s="36"/>
      <c r="C165" s="36"/>
      <c r="D165" s="42"/>
      <c r="E165" s="42"/>
      <c r="F165" s="42"/>
      <c r="G165" s="42"/>
      <c r="H165" s="42"/>
      <c r="I165" s="36"/>
      <c r="J165" s="42"/>
      <c r="L165" s="36"/>
      <c r="M165" s="36"/>
      <c r="N165" s="42"/>
      <c r="O165" s="42"/>
      <c r="P165" s="42"/>
      <c r="Q165" s="42"/>
      <c r="R165" s="42"/>
      <c r="S165" s="36"/>
      <c r="T165" s="42"/>
      <c r="V165" s="36"/>
      <c r="W165" s="36"/>
      <c r="X165" s="42"/>
      <c r="Y165" s="42"/>
      <c r="Z165" s="42"/>
      <c r="AA165" s="42"/>
      <c r="AB165" s="42"/>
      <c r="AC165" s="36"/>
      <c r="AD165" s="42"/>
      <c r="AF165" s="19"/>
      <c r="AG165" s="19"/>
    </row>
    <row r="166" spans="2:33" ht="14.25" customHeight="1" x14ac:dyDescent="0.3">
      <c r="B166" s="36"/>
      <c r="C166" s="36"/>
      <c r="D166" s="42"/>
      <c r="E166" s="42"/>
      <c r="F166" s="42"/>
      <c r="G166" s="42"/>
      <c r="H166" s="42"/>
      <c r="I166" s="36"/>
      <c r="J166" s="42"/>
      <c r="L166" s="36"/>
      <c r="M166" s="36"/>
      <c r="N166" s="42"/>
      <c r="O166" s="42"/>
      <c r="P166" s="42"/>
      <c r="Q166" s="42"/>
      <c r="R166" s="42"/>
      <c r="S166" s="36"/>
      <c r="T166" s="42"/>
      <c r="V166" s="36"/>
      <c r="W166" s="36"/>
      <c r="X166" s="42"/>
      <c r="Y166" s="42"/>
      <c r="Z166" s="42"/>
      <c r="AA166" s="42"/>
      <c r="AB166" s="42"/>
      <c r="AC166" s="36"/>
      <c r="AD166" s="42"/>
      <c r="AF166" s="19"/>
      <c r="AG166" s="19"/>
    </row>
    <row r="167" spans="2:33" ht="14.25" customHeight="1" x14ac:dyDescent="0.3">
      <c r="B167" s="36"/>
      <c r="C167" s="36"/>
      <c r="D167" s="42"/>
      <c r="E167" s="42"/>
      <c r="F167" s="42"/>
      <c r="G167" s="42"/>
      <c r="H167" s="42"/>
      <c r="I167" s="36"/>
      <c r="J167" s="42"/>
      <c r="L167" s="36"/>
      <c r="M167" s="36"/>
      <c r="N167" s="42"/>
      <c r="O167" s="42"/>
      <c r="P167" s="42"/>
      <c r="Q167" s="42"/>
      <c r="R167" s="42"/>
      <c r="S167" s="36"/>
      <c r="T167" s="42"/>
      <c r="V167" s="36"/>
      <c r="W167" s="36"/>
      <c r="X167" s="42"/>
      <c r="Y167" s="42"/>
      <c r="Z167" s="42"/>
      <c r="AA167" s="42"/>
      <c r="AB167" s="42"/>
      <c r="AC167" s="36"/>
      <c r="AD167" s="42"/>
      <c r="AF167" s="19"/>
      <c r="AG167" s="19"/>
    </row>
    <row r="168" spans="2:33" ht="14.25" customHeight="1" x14ac:dyDescent="0.3">
      <c r="B168" s="36"/>
      <c r="C168" s="36"/>
      <c r="D168" s="42"/>
      <c r="E168" s="42"/>
      <c r="F168" s="42"/>
      <c r="G168" s="42"/>
      <c r="H168" s="42"/>
      <c r="I168" s="36"/>
      <c r="J168" s="42"/>
      <c r="L168" s="36"/>
      <c r="M168" s="36"/>
      <c r="N168" s="42"/>
      <c r="O168" s="42"/>
      <c r="P168" s="42"/>
      <c r="Q168" s="42"/>
      <c r="R168" s="42"/>
      <c r="S168" s="36"/>
      <c r="T168" s="42"/>
      <c r="V168" s="36"/>
      <c r="W168" s="36"/>
      <c r="X168" s="42"/>
      <c r="Y168" s="42"/>
      <c r="Z168" s="42"/>
      <c r="AA168" s="42"/>
      <c r="AB168" s="42"/>
      <c r="AC168" s="36"/>
      <c r="AD168" s="42"/>
      <c r="AF168" s="19"/>
      <c r="AG168" s="19"/>
    </row>
    <row r="169" spans="2:33" ht="14.25" customHeight="1" x14ac:dyDescent="0.3">
      <c r="B169" s="36"/>
      <c r="C169" s="36"/>
      <c r="D169" s="42"/>
      <c r="E169" s="42"/>
      <c r="F169" s="42"/>
      <c r="G169" s="42"/>
      <c r="H169" s="42"/>
      <c r="I169" s="36"/>
      <c r="J169" s="42"/>
      <c r="L169" s="36"/>
      <c r="M169" s="36"/>
      <c r="N169" s="42"/>
      <c r="O169" s="42"/>
      <c r="P169" s="42"/>
      <c r="Q169" s="42"/>
      <c r="R169" s="42"/>
      <c r="S169" s="36"/>
      <c r="T169" s="42"/>
      <c r="V169" s="36"/>
      <c r="W169" s="36"/>
      <c r="X169" s="42"/>
      <c r="Y169" s="42"/>
      <c r="Z169" s="42"/>
      <c r="AA169" s="42"/>
      <c r="AB169" s="42"/>
      <c r="AC169" s="36"/>
      <c r="AD169" s="42"/>
      <c r="AF169" s="19"/>
      <c r="AG169" s="19"/>
    </row>
    <row r="170" spans="2:33" ht="14.25" customHeight="1" x14ac:dyDescent="0.3">
      <c r="B170" s="36"/>
      <c r="C170" s="36"/>
      <c r="D170" s="42"/>
      <c r="E170" s="42"/>
      <c r="F170" s="42"/>
      <c r="G170" s="42"/>
      <c r="H170" s="42"/>
      <c r="I170" s="36"/>
      <c r="J170" s="42"/>
      <c r="L170" s="36"/>
      <c r="M170" s="36"/>
      <c r="N170" s="42"/>
      <c r="O170" s="42"/>
      <c r="P170" s="42"/>
      <c r="Q170" s="42"/>
      <c r="R170" s="42"/>
      <c r="S170" s="36"/>
      <c r="T170" s="42"/>
      <c r="V170" s="36"/>
      <c r="W170" s="36"/>
      <c r="X170" s="42"/>
      <c r="Y170" s="42"/>
      <c r="Z170" s="42"/>
      <c r="AA170" s="42"/>
      <c r="AB170" s="42"/>
      <c r="AC170" s="36"/>
      <c r="AD170" s="42"/>
      <c r="AF170" s="19"/>
      <c r="AG170" s="19"/>
    </row>
    <row r="171" spans="2:33" ht="14.25" customHeight="1" x14ac:dyDescent="0.3">
      <c r="B171" s="36"/>
      <c r="C171" s="36"/>
      <c r="D171" s="42"/>
      <c r="E171" s="42"/>
      <c r="F171" s="42"/>
      <c r="G171" s="42"/>
      <c r="H171" s="42"/>
      <c r="I171" s="36"/>
      <c r="J171" s="42"/>
      <c r="L171" s="36"/>
      <c r="M171" s="36"/>
      <c r="N171" s="42"/>
      <c r="O171" s="42"/>
      <c r="P171" s="42"/>
      <c r="Q171" s="42"/>
      <c r="R171" s="42"/>
      <c r="S171" s="36"/>
      <c r="T171" s="42"/>
      <c r="V171" s="36"/>
      <c r="W171" s="36"/>
      <c r="X171" s="42"/>
      <c r="Y171" s="42"/>
      <c r="Z171" s="42"/>
      <c r="AA171" s="42"/>
      <c r="AB171" s="42"/>
      <c r="AC171" s="36"/>
      <c r="AD171" s="42"/>
      <c r="AF171" s="19"/>
      <c r="AG171" s="19"/>
    </row>
    <row r="172" spans="2:33" ht="14.25" customHeight="1" x14ac:dyDescent="0.3">
      <c r="B172" s="36"/>
      <c r="C172" s="36"/>
      <c r="D172" s="42"/>
      <c r="E172" s="42"/>
      <c r="F172" s="42"/>
      <c r="G172" s="42"/>
      <c r="H172" s="42"/>
      <c r="I172" s="36"/>
      <c r="J172" s="42"/>
      <c r="L172" s="36"/>
      <c r="M172" s="36"/>
      <c r="N172" s="42"/>
      <c r="O172" s="42"/>
      <c r="P172" s="42"/>
      <c r="Q172" s="42"/>
      <c r="R172" s="42"/>
      <c r="S172" s="36"/>
      <c r="T172" s="42"/>
      <c r="V172" s="36"/>
      <c r="W172" s="36"/>
      <c r="X172" s="42"/>
      <c r="Y172" s="42"/>
      <c r="Z172" s="42"/>
      <c r="AA172" s="42"/>
      <c r="AB172" s="42"/>
      <c r="AC172" s="36"/>
      <c r="AD172" s="42"/>
      <c r="AF172" s="19"/>
      <c r="AG172" s="19"/>
    </row>
    <row r="173" spans="2:33" ht="14.25" customHeight="1" x14ac:dyDescent="0.3">
      <c r="B173" s="36"/>
      <c r="C173" s="36"/>
      <c r="D173" s="42"/>
      <c r="E173" s="42"/>
      <c r="F173" s="42"/>
      <c r="G173" s="42"/>
      <c r="H173" s="42"/>
      <c r="I173" s="36"/>
      <c r="J173" s="42"/>
      <c r="L173" s="36"/>
      <c r="M173" s="36"/>
      <c r="N173" s="42"/>
      <c r="O173" s="42"/>
      <c r="P173" s="42"/>
      <c r="Q173" s="42"/>
      <c r="R173" s="42"/>
      <c r="S173" s="36"/>
      <c r="T173" s="42"/>
      <c r="V173" s="36"/>
      <c r="W173" s="36"/>
      <c r="X173" s="42"/>
      <c r="Y173" s="42"/>
      <c r="Z173" s="42"/>
      <c r="AA173" s="42"/>
      <c r="AB173" s="42"/>
      <c r="AC173" s="36"/>
      <c r="AD173" s="42"/>
      <c r="AF173" s="19"/>
      <c r="AG173" s="19"/>
    </row>
    <row r="174" spans="2:33" ht="14.25" customHeight="1" x14ac:dyDescent="0.3">
      <c r="B174" s="36"/>
      <c r="C174" s="36"/>
      <c r="D174" s="42"/>
      <c r="E174" s="42"/>
      <c r="F174" s="42"/>
      <c r="G174" s="42"/>
      <c r="H174" s="42"/>
      <c r="I174" s="36"/>
      <c r="J174" s="42"/>
      <c r="L174" s="36"/>
      <c r="M174" s="36"/>
      <c r="N174" s="42"/>
      <c r="O174" s="42"/>
      <c r="P174" s="42"/>
      <c r="Q174" s="42"/>
      <c r="R174" s="42"/>
      <c r="S174" s="36"/>
      <c r="T174" s="42"/>
      <c r="V174" s="36"/>
      <c r="W174" s="36"/>
      <c r="X174" s="42"/>
      <c r="Y174" s="42"/>
      <c r="Z174" s="42"/>
      <c r="AA174" s="42"/>
      <c r="AB174" s="42"/>
      <c r="AC174" s="36"/>
      <c r="AD174" s="42"/>
      <c r="AF174" s="19"/>
      <c r="AG174" s="19"/>
    </row>
    <row r="175" spans="2:33" ht="14.25" customHeight="1" x14ac:dyDescent="0.3">
      <c r="B175" s="36"/>
      <c r="C175" s="36"/>
      <c r="D175" s="42"/>
      <c r="E175" s="42"/>
      <c r="F175" s="42"/>
      <c r="G175" s="42"/>
      <c r="H175" s="42"/>
      <c r="I175" s="36"/>
      <c r="J175" s="42"/>
      <c r="L175" s="36"/>
      <c r="M175" s="36"/>
      <c r="N175" s="42"/>
      <c r="O175" s="42"/>
      <c r="P175" s="42"/>
      <c r="Q175" s="42"/>
      <c r="R175" s="42"/>
      <c r="S175" s="36"/>
      <c r="T175" s="42"/>
      <c r="V175" s="36"/>
      <c r="W175" s="36"/>
      <c r="X175" s="42"/>
      <c r="Y175" s="42"/>
      <c r="Z175" s="42"/>
      <c r="AA175" s="42"/>
      <c r="AB175" s="42"/>
      <c r="AC175" s="36"/>
      <c r="AD175" s="42"/>
      <c r="AF175" s="19"/>
      <c r="AG175" s="19"/>
    </row>
    <row r="176" spans="2:33" ht="14.25" customHeight="1" x14ac:dyDescent="0.3">
      <c r="B176" s="36"/>
      <c r="C176" s="36"/>
      <c r="D176" s="42"/>
      <c r="E176" s="42"/>
      <c r="F176" s="42"/>
      <c r="G176" s="42"/>
      <c r="H176" s="42"/>
      <c r="I176" s="36"/>
      <c r="J176" s="42"/>
      <c r="L176" s="36"/>
      <c r="M176" s="36"/>
      <c r="N176" s="42"/>
      <c r="O176" s="42"/>
      <c r="P176" s="42"/>
      <c r="Q176" s="42"/>
      <c r="R176" s="42"/>
      <c r="S176" s="36"/>
      <c r="T176" s="42"/>
      <c r="V176" s="36"/>
      <c r="W176" s="36"/>
      <c r="X176" s="42"/>
      <c r="Y176" s="42"/>
      <c r="Z176" s="42"/>
      <c r="AA176" s="42"/>
      <c r="AB176" s="42"/>
      <c r="AC176" s="36"/>
      <c r="AD176" s="42"/>
      <c r="AF176" s="19"/>
      <c r="AG176" s="19"/>
    </row>
    <row r="177" spans="2:33" ht="14.25" customHeight="1" x14ac:dyDescent="0.3">
      <c r="B177" s="36"/>
      <c r="C177" s="36"/>
      <c r="D177" s="42"/>
      <c r="E177" s="42"/>
      <c r="F177" s="42"/>
      <c r="G177" s="42"/>
      <c r="H177" s="42"/>
      <c r="I177" s="36"/>
      <c r="J177" s="42"/>
      <c r="L177" s="36"/>
      <c r="M177" s="36"/>
      <c r="N177" s="42"/>
      <c r="O177" s="42"/>
      <c r="P177" s="42"/>
      <c r="Q177" s="42"/>
      <c r="R177" s="42"/>
      <c r="S177" s="36"/>
      <c r="T177" s="42"/>
      <c r="V177" s="36"/>
      <c r="W177" s="36"/>
      <c r="X177" s="42"/>
      <c r="Y177" s="42"/>
      <c r="Z177" s="42"/>
      <c r="AA177" s="42"/>
      <c r="AB177" s="42"/>
      <c r="AC177" s="36"/>
      <c r="AD177" s="42"/>
      <c r="AF177" s="19"/>
      <c r="AG177" s="19"/>
    </row>
    <row r="178" spans="2:33" ht="14.25" customHeight="1" x14ac:dyDescent="0.3">
      <c r="B178" s="36"/>
      <c r="C178" s="36"/>
      <c r="D178" s="42"/>
      <c r="E178" s="42"/>
      <c r="F178" s="42"/>
      <c r="G178" s="42"/>
      <c r="H178" s="42"/>
      <c r="I178" s="36"/>
      <c r="J178" s="42"/>
      <c r="L178" s="36"/>
      <c r="M178" s="36"/>
      <c r="N178" s="42"/>
      <c r="O178" s="42"/>
      <c r="P178" s="42"/>
      <c r="Q178" s="42"/>
      <c r="R178" s="42"/>
      <c r="S178" s="36"/>
      <c r="T178" s="42"/>
      <c r="V178" s="36"/>
      <c r="W178" s="36"/>
      <c r="X178" s="42"/>
      <c r="Y178" s="42"/>
      <c r="Z178" s="42"/>
      <c r="AA178" s="42"/>
      <c r="AB178" s="42"/>
      <c r="AC178" s="36"/>
      <c r="AD178" s="42"/>
      <c r="AF178" s="19"/>
      <c r="AG178" s="19"/>
    </row>
    <row r="179" spans="2:33" ht="14.25" customHeight="1" x14ac:dyDescent="0.3">
      <c r="B179" s="36"/>
      <c r="C179" s="36"/>
      <c r="D179" s="42"/>
      <c r="E179" s="42"/>
      <c r="F179" s="42"/>
      <c r="G179" s="42"/>
      <c r="H179" s="42"/>
      <c r="I179" s="36"/>
      <c r="J179" s="42"/>
      <c r="L179" s="36"/>
      <c r="M179" s="36"/>
      <c r="N179" s="42"/>
      <c r="O179" s="42"/>
      <c r="P179" s="42"/>
      <c r="Q179" s="42"/>
      <c r="R179" s="42"/>
      <c r="S179" s="36"/>
      <c r="T179" s="42"/>
      <c r="V179" s="36"/>
      <c r="W179" s="36"/>
      <c r="X179" s="42"/>
      <c r="Y179" s="42"/>
      <c r="Z179" s="42"/>
      <c r="AA179" s="42"/>
      <c r="AB179" s="42"/>
      <c r="AC179" s="36"/>
      <c r="AD179" s="42"/>
      <c r="AF179" s="19"/>
      <c r="AG179" s="19"/>
    </row>
    <row r="180" spans="2:33" ht="14.25" customHeight="1" x14ac:dyDescent="0.3">
      <c r="B180" s="36"/>
      <c r="C180" s="36"/>
      <c r="D180" s="42"/>
      <c r="E180" s="42"/>
      <c r="F180" s="42"/>
      <c r="G180" s="42"/>
      <c r="H180" s="42"/>
      <c r="I180" s="36"/>
      <c r="J180" s="42"/>
      <c r="L180" s="36"/>
      <c r="M180" s="36"/>
      <c r="N180" s="42"/>
      <c r="O180" s="42"/>
      <c r="P180" s="42"/>
      <c r="Q180" s="42"/>
      <c r="R180" s="42"/>
      <c r="S180" s="36"/>
      <c r="T180" s="42"/>
      <c r="V180" s="36"/>
      <c r="W180" s="36"/>
      <c r="X180" s="42"/>
      <c r="Y180" s="42"/>
      <c r="Z180" s="42"/>
      <c r="AA180" s="42"/>
      <c r="AB180" s="42"/>
      <c r="AC180" s="36"/>
      <c r="AD180" s="42"/>
      <c r="AF180" s="19"/>
      <c r="AG180" s="19"/>
    </row>
    <row r="181" spans="2:33" ht="14.25" customHeight="1" x14ac:dyDescent="0.3">
      <c r="B181" s="36"/>
      <c r="C181" s="36"/>
      <c r="D181" s="42"/>
      <c r="E181" s="42"/>
      <c r="F181" s="42"/>
      <c r="G181" s="42"/>
      <c r="H181" s="42"/>
      <c r="I181" s="36"/>
      <c r="J181" s="42"/>
      <c r="L181" s="36"/>
      <c r="M181" s="36"/>
      <c r="N181" s="42"/>
      <c r="O181" s="42"/>
      <c r="P181" s="42"/>
      <c r="Q181" s="42"/>
      <c r="R181" s="42"/>
      <c r="S181" s="36"/>
      <c r="T181" s="42"/>
      <c r="V181" s="36"/>
      <c r="W181" s="36"/>
      <c r="X181" s="42"/>
      <c r="Y181" s="42"/>
      <c r="Z181" s="42"/>
      <c r="AA181" s="42"/>
      <c r="AB181" s="42"/>
      <c r="AC181" s="36"/>
      <c r="AD181" s="42"/>
      <c r="AF181" s="19"/>
      <c r="AG181" s="19"/>
    </row>
    <row r="182" spans="2:33" ht="14.25" customHeight="1" x14ac:dyDescent="0.3">
      <c r="B182" s="36"/>
      <c r="C182" s="36"/>
      <c r="D182" s="42"/>
      <c r="E182" s="42"/>
      <c r="F182" s="42"/>
      <c r="G182" s="42"/>
      <c r="H182" s="42"/>
      <c r="I182" s="36"/>
      <c r="J182" s="42"/>
      <c r="L182" s="36"/>
      <c r="M182" s="36"/>
      <c r="N182" s="42"/>
      <c r="O182" s="42"/>
      <c r="P182" s="42"/>
      <c r="Q182" s="42"/>
      <c r="R182" s="42"/>
      <c r="S182" s="36"/>
      <c r="T182" s="42"/>
      <c r="V182" s="36"/>
      <c r="W182" s="36"/>
      <c r="X182" s="42"/>
      <c r="Y182" s="42"/>
      <c r="Z182" s="42"/>
      <c r="AA182" s="42"/>
      <c r="AB182" s="42"/>
      <c r="AC182" s="36"/>
      <c r="AD182" s="42"/>
      <c r="AF182" s="19"/>
      <c r="AG182" s="19"/>
    </row>
    <row r="183" spans="2:33" ht="14.25" customHeight="1" x14ac:dyDescent="0.3">
      <c r="B183" s="36"/>
      <c r="C183" s="36"/>
      <c r="D183" s="42"/>
      <c r="E183" s="42"/>
      <c r="F183" s="42"/>
      <c r="G183" s="42"/>
      <c r="H183" s="42"/>
      <c r="I183" s="36"/>
      <c r="J183" s="42"/>
      <c r="L183" s="36"/>
      <c r="M183" s="36"/>
      <c r="N183" s="42"/>
      <c r="O183" s="42"/>
      <c r="P183" s="42"/>
      <c r="Q183" s="42"/>
      <c r="R183" s="42"/>
      <c r="S183" s="36"/>
      <c r="T183" s="42"/>
      <c r="V183" s="36"/>
      <c r="W183" s="36"/>
      <c r="X183" s="42"/>
      <c r="Y183" s="42"/>
      <c r="Z183" s="42"/>
      <c r="AA183" s="42"/>
      <c r="AB183" s="42"/>
      <c r="AC183" s="36"/>
      <c r="AD183" s="42"/>
      <c r="AF183" s="19"/>
      <c r="AG183" s="19"/>
    </row>
    <row r="184" spans="2:33" ht="14.25" customHeight="1" x14ac:dyDescent="0.3">
      <c r="B184" s="36"/>
      <c r="C184" s="36"/>
      <c r="D184" s="42"/>
      <c r="E184" s="42"/>
      <c r="F184" s="42"/>
      <c r="G184" s="42"/>
      <c r="H184" s="42"/>
      <c r="I184" s="36"/>
      <c r="J184" s="42"/>
      <c r="L184" s="36"/>
      <c r="M184" s="36"/>
      <c r="N184" s="42"/>
      <c r="O184" s="42"/>
      <c r="P184" s="42"/>
      <c r="Q184" s="42"/>
      <c r="R184" s="42"/>
      <c r="S184" s="36"/>
      <c r="T184" s="42"/>
      <c r="V184" s="36"/>
      <c r="W184" s="36"/>
      <c r="X184" s="42"/>
      <c r="Y184" s="42"/>
      <c r="Z184" s="42"/>
      <c r="AA184" s="42"/>
      <c r="AB184" s="42"/>
      <c r="AC184" s="36"/>
      <c r="AD184" s="42"/>
      <c r="AF184" s="19"/>
      <c r="AG184" s="19"/>
    </row>
    <row r="185" spans="2:33" ht="14.25" customHeight="1" x14ac:dyDescent="0.3">
      <c r="B185" s="36"/>
      <c r="C185" s="36"/>
      <c r="D185" s="42"/>
      <c r="E185" s="42"/>
      <c r="F185" s="42"/>
      <c r="G185" s="42"/>
      <c r="H185" s="42"/>
      <c r="I185" s="36"/>
      <c r="J185" s="42"/>
      <c r="L185" s="36"/>
      <c r="M185" s="36"/>
      <c r="N185" s="42"/>
      <c r="O185" s="42"/>
      <c r="P185" s="42"/>
      <c r="Q185" s="42"/>
      <c r="R185" s="42"/>
      <c r="S185" s="36"/>
      <c r="T185" s="42"/>
      <c r="V185" s="36"/>
      <c r="W185" s="36"/>
      <c r="X185" s="42"/>
      <c r="Y185" s="42"/>
      <c r="Z185" s="42"/>
      <c r="AA185" s="42"/>
      <c r="AB185" s="42"/>
      <c r="AC185" s="36"/>
      <c r="AD185" s="42"/>
      <c r="AF185" s="19"/>
      <c r="AG185" s="19"/>
    </row>
    <row r="186" spans="2:33" ht="14.25" customHeight="1" x14ac:dyDescent="0.3">
      <c r="B186" s="36"/>
      <c r="C186" s="36"/>
      <c r="D186" s="42"/>
      <c r="E186" s="42"/>
      <c r="F186" s="42"/>
      <c r="G186" s="42"/>
      <c r="H186" s="42"/>
      <c r="I186" s="36"/>
      <c r="J186" s="42"/>
      <c r="L186" s="36"/>
      <c r="M186" s="36"/>
      <c r="N186" s="42"/>
      <c r="O186" s="42"/>
      <c r="P186" s="42"/>
      <c r="Q186" s="42"/>
      <c r="R186" s="42"/>
      <c r="S186" s="36"/>
      <c r="T186" s="42"/>
      <c r="V186" s="36"/>
      <c r="W186" s="36"/>
      <c r="X186" s="42"/>
      <c r="Y186" s="42"/>
      <c r="Z186" s="42"/>
      <c r="AA186" s="42"/>
      <c r="AB186" s="42"/>
      <c r="AC186" s="36"/>
      <c r="AD186" s="42"/>
      <c r="AF186" s="19"/>
      <c r="AG186" s="19"/>
    </row>
    <row r="187" spans="2:33" ht="14.25" customHeight="1" x14ac:dyDescent="0.3">
      <c r="B187" s="36"/>
      <c r="C187" s="36"/>
      <c r="D187" s="42"/>
      <c r="E187" s="42"/>
      <c r="F187" s="42"/>
      <c r="G187" s="42"/>
      <c r="H187" s="42"/>
      <c r="I187" s="36"/>
      <c r="J187" s="42"/>
      <c r="L187" s="36"/>
      <c r="M187" s="36"/>
      <c r="N187" s="42"/>
      <c r="O187" s="42"/>
      <c r="P187" s="42"/>
      <c r="Q187" s="42"/>
      <c r="R187" s="42"/>
      <c r="S187" s="36"/>
      <c r="T187" s="42"/>
      <c r="V187" s="36"/>
      <c r="W187" s="36"/>
      <c r="X187" s="42"/>
      <c r="Y187" s="42"/>
      <c r="Z187" s="42"/>
      <c r="AA187" s="42"/>
      <c r="AB187" s="42"/>
      <c r="AC187" s="36"/>
      <c r="AD187" s="42"/>
      <c r="AF187" s="19"/>
      <c r="AG187" s="19"/>
    </row>
    <row r="188" spans="2:33" ht="14.25" customHeight="1" x14ac:dyDescent="0.3">
      <c r="B188" s="36"/>
      <c r="C188" s="36"/>
      <c r="D188" s="42"/>
      <c r="E188" s="42"/>
      <c r="F188" s="42"/>
      <c r="G188" s="42"/>
      <c r="H188" s="42"/>
      <c r="I188" s="36"/>
      <c r="J188" s="42"/>
      <c r="L188" s="36"/>
      <c r="M188" s="36"/>
      <c r="N188" s="42"/>
      <c r="O188" s="42"/>
      <c r="P188" s="42"/>
      <c r="Q188" s="42"/>
      <c r="R188" s="42"/>
      <c r="S188" s="36"/>
      <c r="T188" s="42"/>
      <c r="V188" s="36"/>
      <c r="W188" s="36"/>
      <c r="X188" s="42"/>
      <c r="Y188" s="42"/>
      <c r="Z188" s="42"/>
      <c r="AA188" s="42"/>
      <c r="AB188" s="42"/>
      <c r="AC188" s="36"/>
      <c r="AD188" s="42"/>
      <c r="AF188" s="19"/>
      <c r="AG188" s="19"/>
    </row>
    <row r="189" spans="2:33" ht="14.25" customHeight="1" x14ac:dyDescent="0.3">
      <c r="B189" s="36"/>
      <c r="C189" s="36"/>
      <c r="D189" s="42"/>
      <c r="E189" s="42"/>
      <c r="F189" s="42"/>
      <c r="G189" s="42"/>
      <c r="H189" s="42"/>
      <c r="I189" s="36"/>
      <c r="J189" s="42"/>
      <c r="L189" s="36"/>
      <c r="M189" s="36"/>
      <c r="N189" s="42"/>
      <c r="O189" s="42"/>
      <c r="P189" s="42"/>
      <c r="Q189" s="42"/>
      <c r="R189" s="42"/>
      <c r="S189" s="36"/>
      <c r="T189" s="42"/>
      <c r="V189" s="36"/>
      <c r="W189" s="36"/>
      <c r="X189" s="42"/>
      <c r="Y189" s="42"/>
      <c r="Z189" s="42"/>
      <c r="AA189" s="42"/>
      <c r="AB189" s="42"/>
      <c r="AC189" s="36"/>
      <c r="AD189" s="42"/>
      <c r="AF189" s="19"/>
      <c r="AG189" s="19"/>
    </row>
    <row r="190" spans="2:33" ht="14.25" customHeight="1" x14ac:dyDescent="0.3">
      <c r="B190" s="36"/>
      <c r="C190" s="36"/>
      <c r="D190" s="42"/>
      <c r="E190" s="42"/>
      <c r="F190" s="42"/>
      <c r="G190" s="42"/>
      <c r="H190" s="42"/>
      <c r="I190" s="36"/>
      <c r="J190" s="42"/>
      <c r="L190" s="36"/>
      <c r="M190" s="36"/>
      <c r="N190" s="42"/>
      <c r="O190" s="42"/>
      <c r="P190" s="42"/>
      <c r="Q190" s="42"/>
      <c r="R190" s="42"/>
      <c r="S190" s="36"/>
      <c r="T190" s="42"/>
      <c r="V190" s="36"/>
      <c r="W190" s="36"/>
      <c r="X190" s="42"/>
      <c r="Y190" s="42"/>
      <c r="Z190" s="42"/>
      <c r="AA190" s="42"/>
      <c r="AB190" s="42"/>
      <c r="AC190" s="36"/>
      <c r="AD190" s="42"/>
      <c r="AF190" s="19"/>
      <c r="AG190" s="19"/>
    </row>
    <row r="191" spans="2:33" ht="14.25" customHeight="1" x14ac:dyDescent="0.3">
      <c r="B191" s="36"/>
      <c r="C191" s="36"/>
      <c r="D191" s="42"/>
      <c r="E191" s="42"/>
      <c r="F191" s="42"/>
      <c r="G191" s="42"/>
      <c r="H191" s="42"/>
      <c r="I191" s="36"/>
      <c r="J191" s="42"/>
      <c r="L191" s="36"/>
      <c r="M191" s="36"/>
      <c r="N191" s="42"/>
      <c r="O191" s="42"/>
      <c r="P191" s="42"/>
      <c r="Q191" s="42"/>
      <c r="R191" s="42"/>
      <c r="S191" s="36"/>
      <c r="T191" s="42"/>
      <c r="V191" s="36"/>
      <c r="W191" s="36"/>
      <c r="X191" s="42"/>
      <c r="Y191" s="42"/>
      <c r="Z191" s="42"/>
      <c r="AA191" s="42"/>
      <c r="AB191" s="42"/>
      <c r="AC191" s="36"/>
      <c r="AD191" s="42"/>
      <c r="AF191" s="19"/>
      <c r="AG191" s="19"/>
    </row>
    <row r="192" spans="2:33" ht="14.25" customHeight="1" x14ac:dyDescent="0.3">
      <c r="B192" s="36"/>
      <c r="C192" s="36"/>
      <c r="D192" s="42"/>
      <c r="E192" s="42"/>
      <c r="F192" s="42"/>
      <c r="G192" s="42"/>
      <c r="H192" s="42"/>
      <c r="I192" s="36"/>
      <c r="J192" s="42"/>
      <c r="L192" s="36"/>
      <c r="M192" s="36"/>
      <c r="N192" s="42"/>
      <c r="O192" s="42"/>
      <c r="P192" s="42"/>
      <c r="Q192" s="42"/>
      <c r="R192" s="42"/>
      <c r="S192" s="36"/>
      <c r="T192" s="42"/>
      <c r="V192" s="36"/>
      <c r="W192" s="36"/>
      <c r="X192" s="42"/>
      <c r="Y192" s="42"/>
      <c r="Z192" s="42"/>
      <c r="AA192" s="42"/>
      <c r="AB192" s="42"/>
      <c r="AC192" s="36"/>
      <c r="AD192" s="42"/>
      <c r="AF192" s="19"/>
      <c r="AG192" s="19"/>
    </row>
    <row r="193" spans="2:33" ht="14.25" customHeight="1" x14ac:dyDescent="0.3">
      <c r="B193" s="36"/>
      <c r="C193" s="36"/>
      <c r="D193" s="42"/>
      <c r="E193" s="42"/>
      <c r="F193" s="42"/>
      <c r="G193" s="42"/>
      <c r="H193" s="42"/>
      <c r="I193" s="36"/>
      <c r="J193" s="42"/>
      <c r="L193" s="36"/>
      <c r="M193" s="36"/>
      <c r="N193" s="42"/>
      <c r="O193" s="42"/>
      <c r="P193" s="42"/>
      <c r="Q193" s="42"/>
      <c r="R193" s="42"/>
      <c r="S193" s="36"/>
      <c r="T193" s="42"/>
      <c r="V193" s="36"/>
      <c r="W193" s="36"/>
      <c r="X193" s="42"/>
      <c r="Y193" s="42"/>
      <c r="Z193" s="42"/>
      <c r="AA193" s="42"/>
      <c r="AB193" s="42"/>
      <c r="AC193" s="36"/>
      <c r="AD193" s="42"/>
      <c r="AF193" s="19"/>
      <c r="AG193" s="19"/>
    </row>
    <row r="194" spans="2:33" ht="14.25" customHeight="1" x14ac:dyDescent="0.3">
      <c r="B194" s="36"/>
      <c r="C194" s="36"/>
      <c r="D194" s="42"/>
      <c r="E194" s="42"/>
      <c r="F194" s="42"/>
      <c r="G194" s="42"/>
      <c r="H194" s="42"/>
      <c r="I194" s="36"/>
      <c r="J194" s="42"/>
      <c r="L194" s="36"/>
      <c r="M194" s="36"/>
      <c r="N194" s="42"/>
      <c r="O194" s="42"/>
      <c r="P194" s="42"/>
      <c r="Q194" s="42"/>
      <c r="R194" s="42"/>
      <c r="S194" s="36"/>
      <c r="T194" s="42"/>
      <c r="V194" s="36"/>
      <c r="W194" s="36"/>
      <c r="X194" s="42"/>
      <c r="Y194" s="42"/>
      <c r="Z194" s="42"/>
      <c r="AA194" s="42"/>
      <c r="AB194" s="42"/>
      <c r="AC194" s="36"/>
      <c r="AD194" s="42"/>
      <c r="AF194" s="19"/>
      <c r="AG194" s="19"/>
    </row>
    <row r="195" spans="2:33" ht="14.25" customHeight="1" x14ac:dyDescent="0.3">
      <c r="B195" s="36"/>
      <c r="C195" s="36"/>
      <c r="D195" s="42"/>
      <c r="E195" s="42"/>
      <c r="F195" s="42"/>
      <c r="G195" s="42"/>
      <c r="H195" s="42"/>
      <c r="I195" s="36"/>
      <c r="J195" s="42"/>
      <c r="L195" s="36"/>
      <c r="M195" s="36"/>
      <c r="N195" s="42"/>
      <c r="O195" s="42"/>
      <c r="P195" s="42"/>
      <c r="Q195" s="42"/>
      <c r="R195" s="42"/>
      <c r="S195" s="36"/>
      <c r="T195" s="42"/>
      <c r="V195" s="36"/>
      <c r="W195" s="36"/>
      <c r="X195" s="42"/>
      <c r="Y195" s="42"/>
      <c r="Z195" s="42"/>
      <c r="AA195" s="42"/>
      <c r="AB195" s="42"/>
      <c r="AC195" s="36"/>
      <c r="AD195" s="42"/>
      <c r="AF195" s="19"/>
      <c r="AG195" s="19"/>
    </row>
    <row r="196" spans="2:33" ht="14.25" customHeight="1" x14ac:dyDescent="0.3">
      <c r="B196" s="36"/>
      <c r="C196" s="36"/>
      <c r="D196" s="42"/>
      <c r="E196" s="42"/>
      <c r="F196" s="42"/>
      <c r="G196" s="42"/>
      <c r="H196" s="42"/>
      <c r="I196" s="36"/>
      <c r="J196" s="42"/>
      <c r="L196" s="36"/>
      <c r="M196" s="36"/>
      <c r="N196" s="42"/>
      <c r="O196" s="42"/>
      <c r="P196" s="42"/>
      <c r="Q196" s="42"/>
      <c r="R196" s="42"/>
      <c r="S196" s="36"/>
      <c r="T196" s="42"/>
      <c r="V196" s="36"/>
      <c r="W196" s="36"/>
      <c r="X196" s="42"/>
      <c r="Y196" s="42"/>
      <c r="Z196" s="42"/>
      <c r="AA196" s="42"/>
      <c r="AB196" s="42"/>
      <c r="AC196" s="36"/>
      <c r="AD196" s="42"/>
      <c r="AF196" s="19"/>
      <c r="AG196" s="19"/>
    </row>
    <row r="197" spans="2:33" ht="14.25" customHeight="1" x14ac:dyDescent="0.3">
      <c r="B197" s="36"/>
      <c r="C197" s="36"/>
      <c r="D197" s="42"/>
      <c r="E197" s="42"/>
      <c r="F197" s="42"/>
      <c r="G197" s="42"/>
      <c r="H197" s="42"/>
      <c r="I197" s="36"/>
      <c r="J197" s="42"/>
      <c r="L197" s="36"/>
      <c r="M197" s="36"/>
      <c r="N197" s="42"/>
      <c r="O197" s="42"/>
      <c r="P197" s="42"/>
      <c r="Q197" s="42"/>
      <c r="R197" s="42"/>
      <c r="S197" s="36"/>
      <c r="T197" s="42"/>
      <c r="V197" s="36"/>
      <c r="W197" s="36"/>
      <c r="X197" s="42"/>
      <c r="Y197" s="42"/>
      <c r="Z197" s="42"/>
      <c r="AA197" s="42"/>
      <c r="AB197" s="42"/>
      <c r="AC197" s="36"/>
      <c r="AD197" s="42"/>
      <c r="AF197" s="19"/>
      <c r="AG197" s="19"/>
    </row>
    <row r="198" spans="2:33" ht="14.25" customHeight="1" x14ac:dyDescent="0.3">
      <c r="B198" s="36"/>
      <c r="C198" s="36"/>
      <c r="D198" s="42"/>
      <c r="E198" s="42"/>
      <c r="F198" s="42"/>
      <c r="G198" s="42"/>
      <c r="H198" s="42"/>
      <c r="I198" s="36"/>
      <c r="J198" s="42"/>
      <c r="L198" s="36"/>
      <c r="M198" s="36"/>
      <c r="N198" s="42"/>
      <c r="O198" s="42"/>
      <c r="P198" s="42"/>
      <c r="Q198" s="42"/>
      <c r="R198" s="42"/>
      <c r="S198" s="36"/>
      <c r="T198" s="42"/>
      <c r="V198" s="36"/>
      <c r="W198" s="36"/>
      <c r="X198" s="42"/>
      <c r="Y198" s="42"/>
      <c r="Z198" s="42"/>
      <c r="AA198" s="42"/>
      <c r="AB198" s="42"/>
      <c r="AC198" s="36"/>
      <c r="AD198" s="42"/>
      <c r="AF198" s="19"/>
      <c r="AG198" s="19"/>
    </row>
    <row r="199" spans="2:33" ht="14.25" customHeight="1" x14ac:dyDescent="0.3">
      <c r="B199" s="36"/>
      <c r="C199" s="36"/>
      <c r="D199" s="42"/>
      <c r="E199" s="42"/>
      <c r="F199" s="42"/>
      <c r="G199" s="42"/>
      <c r="H199" s="42"/>
      <c r="I199" s="36"/>
      <c r="J199" s="42"/>
      <c r="L199" s="36"/>
      <c r="M199" s="36"/>
      <c r="N199" s="42"/>
      <c r="O199" s="42"/>
      <c r="P199" s="42"/>
      <c r="Q199" s="42"/>
      <c r="R199" s="42"/>
      <c r="S199" s="36"/>
      <c r="T199" s="42"/>
      <c r="V199" s="36"/>
      <c r="W199" s="36"/>
      <c r="X199" s="42"/>
      <c r="Y199" s="42"/>
      <c r="Z199" s="42"/>
      <c r="AA199" s="42"/>
      <c r="AB199" s="42"/>
      <c r="AC199" s="36"/>
      <c r="AD199" s="42"/>
      <c r="AF199" s="19"/>
      <c r="AG199" s="19"/>
    </row>
    <row r="200" spans="2:33" ht="14.25" customHeight="1" x14ac:dyDescent="0.3">
      <c r="B200" s="36"/>
      <c r="C200" s="36"/>
      <c r="D200" s="42"/>
      <c r="E200" s="42"/>
      <c r="F200" s="42"/>
      <c r="G200" s="42"/>
      <c r="H200" s="42"/>
      <c r="I200" s="36"/>
      <c r="J200" s="42"/>
      <c r="L200" s="36"/>
      <c r="M200" s="36"/>
      <c r="N200" s="42"/>
      <c r="O200" s="42"/>
      <c r="P200" s="42"/>
      <c r="Q200" s="42"/>
      <c r="R200" s="42"/>
      <c r="S200" s="36"/>
      <c r="T200" s="42"/>
      <c r="V200" s="36"/>
      <c r="W200" s="36"/>
      <c r="X200" s="42"/>
      <c r="Y200" s="42"/>
      <c r="Z200" s="42"/>
      <c r="AA200" s="42"/>
      <c r="AB200" s="42"/>
      <c r="AC200" s="36"/>
      <c r="AD200" s="42"/>
      <c r="AF200" s="19"/>
      <c r="AG200" s="19"/>
    </row>
    <row r="201" spans="2:33" ht="14.25" customHeight="1" x14ac:dyDescent="0.3">
      <c r="B201" s="36"/>
      <c r="C201" s="36"/>
      <c r="D201" s="42"/>
      <c r="E201" s="42"/>
      <c r="F201" s="42"/>
      <c r="G201" s="42"/>
      <c r="H201" s="42"/>
      <c r="I201" s="36"/>
      <c r="J201" s="42"/>
      <c r="L201" s="36"/>
      <c r="M201" s="36"/>
      <c r="N201" s="42"/>
      <c r="O201" s="42"/>
      <c r="P201" s="42"/>
      <c r="Q201" s="42"/>
      <c r="R201" s="42"/>
      <c r="S201" s="36"/>
      <c r="T201" s="42"/>
      <c r="V201" s="36"/>
      <c r="W201" s="36"/>
      <c r="X201" s="42"/>
      <c r="Y201" s="42"/>
      <c r="Z201" s="42"/>
      <c r="AA201" s="42"/>
      <c r="AB201" s="42"/>
      <c r="AC201" s="36"/>
      <c r="AD201" s="42"/>
      <c r="AF201" s="19"/>
      <c r="AG201" s="19"/>
    </row>
    <row r="202" spans="2:33" ht="14.25" customHeight="1" x14ac:dyDescent="0.3">
      <c r="B202" s="36"/>
      <c r="C202" s="36"/>
      <c r="D202" s="42"/>
      <c r="E202" s="42"/>
      <c r="F202" s="42"/>
      <c r="G202" s="42"/>
      <c r="H202" s="42"/>
      <c r="I202" s="36"/>
      <c r="J202" s="42"/>
      <c r="L202" s="36"/>
      <c r="M202" s="36"/>
      <c r="N202" s="42"/>
      <c r="O202" s="42"/>
      <c r="P202" s="42"/>
      <c r="Q202" s="42"/>
      <c r="R202" s="42"/>
      <c r="S202" s="36"/>
      <c r="T202" s="42"/>
      <c r="V202" s="36"/>
      <c r="W202" s="36"/>
      <c r="X202" s="42"/>
      <c r="Y202" s="42"/>
      <c r="Z202" s="42"/>
      <c r="AA202" s="42"/>
      <c r="AB202" s="42"/>
      <c r="AC202" s="36"/>
      <c r="AD202" s="42"/>
      <c r="AF202" s="19"/>
      <c r="AG202" s="19"/>
    </row>
    <row r="203" spans="2:33" ht="14.25" customHeight="1" x14ac:dyDescent="0.3">
      <c r="B203" s="36"/>
      <c r="C203" s="36"/>
      <c r="D203" s="42"/>
      <c r="E203" s="42"/>
      <c r="F203" s="42"/>
      <c r="G203" s="42"/>
      <c r="H203" s="42"/>
      <c r="I203" s="36"/>
      <c r="J203" s="42"/>
      <c r="L203" s="36"/>
      <c r="M203" s="36"/>
      <c r="N203" s="42"/>
      <c r="O203" s="42"/>
      <c r="P203" s="42"/>
      <c r="Q203" s="42"/>
      <c r="R203" s="42"/>
      <c r="S203" s="36"/>
      <c r="T203" s="42"/>
      <c r="V203" s="36"/>
      <c r="W203" s="36"/>
      <c r="X203" s="42"/>
      <c r="Y203" s="42"/>
      <c r="Z203" s="42"/>
      <c r="AA203" s="42"/>
      <c r="AB203" s="42"/>
      <c r="AC203" s="36"/>
      <c r="AD203" s="42"/>
      <c r="AF203" s="19"/>
      <c r="AG203" s="19"/>
    </row>
    <row r="204" spans="2:33" ht="14.25" customHeight="1" x14ac:dyDescent="0.3">
      <c r="B204" s="36"/>
      <c r="C204" s="36"/>
      <c r="D204" s="42"/>
      <c r="E204" s="42"/>
      <c r="F204" s="42"/>
      <c r="G204" s="42"/>
      <c r="H204" s="42"/>
      <c r="I204" s="36"/>
      <c r="J204" s="42"/>
      <c r="L204" s="36"/>
      <c r="M204" s="36"/>
      <c r="N204" s="42"/>
      <c r="O204" s="42"/>
      <c r="P204" s="42"/>
      <c r="Q204" s="42"/>
      <c r="R204" s="42"/>
      <c r="S204" s="36"/>
      <c r="T204" s="42"/>
      <c r="V204" s="36"/>
      <c r="W204" s="36"/>
      <c r="X204" s="42"/>
      <c r="Y204" s="42"/>
      <c r="Z204" s="42"/>
      <c r="AA204" s="42"/>
      <c r="AB204" s="42"/>
      <c r="AC204" s="36"/>
      <c r="AD204" s="42"/>
      <c r="AF204" s="19"/>
      <c r="AG204" s="19"/>
    </row>
    <row r="205" spans="2:33" ht="14.25" customHeight="1" x14ac:dyDescent="0.3">
      <c r="B205" s="36"/>
      <c r="C205" s="36"/>
      <c r="D205" s="42"/>
      <c r="E205" s="42"/>
      <c r="F205" s="42"/>
      <c r="G205" s="42"/>
      <c r="H205" s="42"/>
      <c r="I205" s="36"/>
      <c r="J205" s="42"/>
      <c r="L205" s="36"/>
      <c r="M205" s="36"/>
      <c r="N205" s="42"/>
      <c r="O205" s="42"/>
      <c r="P205" s="42"/>
      <c r="Q205" s="42"/>
      <c r="R205" s="42"/>
      <c r="S205" s="36"/>
      <c r="T205" s="42"/>
      <c r="V205" s="36"/>
      <c r="W205" s="36"/>
      <c r="X205" s="42"/>
      <c r="Y205" s="42"/>
      <c r="Z205" s="42"/>
      <c r="AA205" s="42"/>
      <c r="AB205" s="42"/>
      <c r="AC205" s="36"/>
      <c r="AD205" s="42"/>
      <c r="AF205" s="19"/>
      <c r="AG205" s="19"/>
    </row>
    <row r="206" spans="2:33" ht="14.25" customHeight="1" x14ac:dyDescent="0.3">
      <c r="B206" s="36"/>
      <c r="C206" s="36"/>
      <c r="D206" s="42"/>
      <c r="E206" s="42"/>
      <c r="F206" s="42"/>
      <c r="G206" s="42"/>
      <c r="H206" s="42"/>
      <c r="I206" s="36"/>
      <c r="J206" s="42"/>
      <c r="L206" s="36"/>
      <c r="M206" s="36"/>
      <c r="N206" s="42"/>
      <c r="O206" s="42"/>
      <c r="P206" s="42"/>
      <c r="Q206" s="42"/>
      <c r="R206" s="42"/>
      <c r="S206" s="36"/>
      <c r="T206" s="42"/>
      <c r="V206" s="36"/>
      <c r="W206" s="36"/>
      <c r="X206" s="42"/>
      <c r="Y206" s="42"/>
      <c r="Z206" s="42"/>
      <c r="AA206" s="42"/>
      <c r="AB206" s="42"/>
      <c r="AC206" s="36"/>
      <c r="AD206" s="42"/>
      <c r="AF206" s="19"/>
      <c r="AG206" s="19"/>
    </row>
    <row r="207" spans="2:33" ht="14.25" customHeight="1" x14ac:dyDescent="0.3">
      <c r="B207" s="36"/>
      <c r="C207" s="36"/>
      <c r="D207" s="42"/>
      <c r="E207" s="42"/>
      <c r="F207" s="42"/>
      <c r="G207" s="42"/>
      <c r="H207" s="42"/>
      <c r="I207" s="36"/>
      <c r="J207" s="42"/>
      <c r="L207" s="36"/>
      <c r="M207" s="36"/>
      <c r="N207" s="42"/>
      <c r="O207" s="42"/>
      <c r="P207" s="42"/>
      <c r="Q207" s="42"/>
      <c r="R207" s="42"/>
      <c r="S207" s="36"/>
      <c r="T207" s="42"/>
      <c r="V207" s="36"/>
      <c r="W207" s="36"/>
      <c r="X207" s="42"/>
      <c r="Y207" s="42"/>
      <c r="Z207" s="42"/>
      <c r="AA207" s="42"/>
      <c r="AB207" s="42"/>
      <c r="AC207" s="36"/>
      <c r="AD207" s="42"/>
      <c r="AF207" s="19"/>
      <c r="AG207" s="19"/>
    </row>
    <row r="208" spans="2:33" ht="14.25" customHeight="1" x14ac:dyDescent="0.3">
      <c r="B208" s="36"/>
      <c r="C208" s="36"/>
      <c r="D208" s="42"/>
      <c r="E208" s="42"/>
      <c r="F208" s="42"/>
      <c r="G208" s="42"/>
      <c r="H208" s="42"/>
      <c r="I208" s="36"/>
      <c r="J208" s="42"/>
      <c r="L208" s="36"/>
      <c r="M208" s="36"/>
      <c r="N208" s="42"/>
      <c r="O208" s="42"/>
      <c r="P208" s="42"/>
      <c r="Q208" s="42"/>
      <c r="R208" s="42"/>
      <c r="S208" s="36"/>
      <c r="T208" s="42"/>
      <c r="V208" s="36"/>
      <c r="W208" s="36"/>
      <c r="X208" s="42"/>
      <c r="Y208" s="42"/>
      <c r="Z208" s="42"/>
      <c r="AA208" s="42"/>
      <c r="AB208" s="42"/>
      <c r="AC208" s="36"/>
      <c r="AD208" s="42"/>
      <c r="AF208" s="19"/>
      <c r="AG208" s="19"/>
    </row>
    <row r="209" spans="2:33" ht="14.25" customHeight="1" x14ac:dyDescent="0.3">
      <c r="B209" s="36"/>
      <c r="C209" s="36"/>
      <c r="D209" s="42"/>
      <c r="E209" s="42"/>
      <c r="F209" s="42"/>
      <c r="G209" s="42"/>
      <c r="H209" s="42"/>
      <c r="I209" s="36"/>
      <c r="J209" s="42"/>
      <c r="L209" s="36"/>
      <c r="M209" s="36"/>
      <c r="N209" s="42"/>
      <c r="O209" s="42"/>
      <c r="P209" s="42"/>
      <c r="Q209" s="42"/>
      <c r="R209" s="42"/>
      <c r="S209" s="36"/>
      <c r="T209" s="42"/>
      <c r="V209" s="36"/>
      <c r="W209" s="36"/>
      <c r="X209" s="42"/>
      <c r="Y209" s="42"/>
      <c r="Z209" s="42"/>
      <c r="AA209" s="42"/>
      <c r="AB209" s="42"/>
      <c r="AC209" s="36"/>
      <c r="AD209" s="42"/>
      <c r="AF209" s="19"/>
      <c r="AG209" s="19"/>
    </row>
    <row r="210" spans="2:33" ht="14.25" customHeight="1" x14ac:dyDescent="0.3">
      <c r="B210" s="36"/>
      <c r="C210" s="36"/>
      <c r="D210" s="42"/>
      <c r="E210" s="42"/>
      <c r="F210" s="42"/>
      <c r="G210" s="42"/>
      <c r="H210" s="42"/>
      <c r="I210" s="36"/>
      <c r="J210" s="42"/>
      <c r="L210" s="36"/>
      <c r="M210" s="36"/>
      <c r="N210" s="42"/>
      <c r="O210" s="42"/>
      <c r="P210" s="42"/>
      <c r="Q210" s="42"/>
      <c r="R210" s="42"/>
      <c r="S210" s="36"/>
      <c r="T210" s="42"/>
      <c r="V210" s="36"/>
      <c r="W210" s="36"/>
      <c r="X210" s="42"/>
      <c r="Y210" s="42"/>
      <c r="Z210" s="42"/>
      <c r="AA210" s="42"/>
      <c r="AB210" s="42"/>
      <c r="AC210" s="36"/>
      <c r="AD210" s="42"/>
      <c r="AF210" s="19"/>
      <c r="AG210" s="19"/>
    </row>
    <row r="211" spans="2:33" ht="14.25" customHeight="1" x14ac:dyDescent="0.3">
      <c r="B211" s="36"/>
      <c r="C211" s="36"/>
      <c r="D211" s="42"/>
      <c r="E211" s="42"/>
      <c r="F211" s="42"/>
      <c r="G211" s="42"/>
      <c r="H211" s="42"/>
      <c r="I211" s="36"/>
      <c r="J211" s="42"/>
      <c r="L211" s="36"/>
      <c r="M211" s="36"/>
      <c r="N211" s="42"/>
      <c r="O211" s="42"/>
      <c r="P211" s="42"/>
      <c r="Q211" s="42"/>
      <c r="R211" s="42"/>
      <c r="S211" s="36"/>
      <c r="T211" s="42"/>
      <c r="V211" s="36"/>
      <c r="W211" s="36"/>
      <c r="X211" s="42"/>
      <c r="Y211" s="42"/>
      <c r="Z211" s="42"/>
      <c r="AA211" s="42"/>
      <c r="AB211" s="42"/>
      <c r="AC211" s="36"/>
      <c r="AD211" s="42"/>
      <c r="AF211" s="19"/>
      <c r="AG211" s="19"/>
    </row>
    <row r="212" spans="2:33" ht="14.25" customHeight="1" x14ac:dyDescent="0.3">
      <c r="B212" s="36"/>
      <c r="C212" s="36"/>
      <c r="D212" s="42"/>
      <c r="E212" s="42"/>
      <c r="F212" s="42"/>
      <c r="G212" s="42"/>
      <c r="H212" s="42"/>
      <c r="I212" s="36"/>
      <c r="J212" s="42"/>
      <c r="L212" s="36"/>
      <c r="M212" s="36"/>
      <c r="N212" s="42"/>
      <c r="O212" s="42"/>
      <c r="P212" s="42"/>
      <c r="Q212" s="42"/>
      <c r="R212" s="42"/>
      <c r="S212" s="36"/>
      <c r="T212" s="42"/>
      <c r="V212" s="36"/>
      <c r="W212" s="36"/>
      <c r="X212" s="42"/>
      <c r="Y212" s="42"/>
      <c r="Z212" s="42"/>
      <c r="AA212" s="42"/>
      <c r="AB212" s="42"/>
      <c r="AC212" s="36"/>
      <c r="AD212" s="42"/>
      <c r="AF212" s="19"/>
      <c r="AG212" s="19"/>
    </row>
    <row r="213" spans="2:33" ht="14.25" customHeight="1" x14ac:dyDescent="0.3">
      <c r="B213" s="36"/>
      <c r="C213" s="36"/>
      <c r="D213" s="42"/>
      <c r="E213" s="42"/>
      <c r="F213" s="42"/>
      <c r="G213" s="42"/>
      <c r="H213" s="42"/>
      <c r="I213" s="36"/>
      <c r="J213" s="42"/>
      <c r="L213" s="36"/>
      <c r="M213" s="36"/>
      <c r="N213" s="42"/>
      <c r="O213" s="42"/>
      <c r="P213" s="42"/>
      <c r="Q213" s="42"/>
      <c r="R213" s="42"/>
      <c r="S213" s="36"/>
      <c r="T213" s="42"/>
      <c r="V213" s="36"/>
      <c r="W213" s="36"/>
      <c r="X213" s="42"/>
      <c r="Y213" s="42"/>
      <c r="Z213" s="42"/>
      <c r="AA213" s="42"/>
      <c r="AB213" s="42"/>
      <c r="AC213" s="36"/>
      <c r="AD213" s="42"/>
      <c r="AF213" s="19"/>
      <c r="AG213" s="19"/>
    </row>
    <row r="214" spans="2:33" ht="14.25" customHeight="1" x14ac:dyDescent="0.3">
      <c r="B214" s="36"/>
      <c r="C214" s="36"/>
      <c r="D214" s="42"/>
      <c r="E214" s="42"/>
      <c r="F214" s="42"/>
      <c r="G214" s="42"/>
      <c r="H214" s="42"/>
      <c r="I214" s="36"/>
      <c r="J214" s="42"/>
      <c r="L214" s="36"/>
      <c r="M214" s="36"/>
      <c r="N214" s="42"/>
      <c r="O214" s="42"/>
      <c r="P214" s="42"/>
      <c r="Q214" s="42"/>
      <c r="R214" s="42"/>
      <c r="S214" s="36"/>
      <c r="T214" s="42"/>
      <c r="V214" s="36"/>
      <c r="W214" s="36"/>
      <c r="X214" s="42"/>
      <c r="Y214" s="42"/>
      <c r="Z214" s="42"/>
      <c r="AA214" s="42"/>
      <c r="AB214" s="42"/>
      <c r="AC214" s="36"/>
      <c r="AD214" s="42"/>
      <c r="AF214" s="19"/>
      <c r="AG214" s="19"/>
    </row>
    <row r="215" spans="2:33" ht="14.25" customHeight="1" x14ac:dyDescent="0.3">
      <c r="B215" s="36"/>
      <c r="C215" s="36"/>
      <c r="D215" s="42"/>
      <c r="E215" s="42"/>
      <c r="F215" s="42"/>
      <c r="G215" s="42"/>
      <c r="H215" s="42"/>
      <c r="I215" s="36"/>
      <c r="J215" s="42"/>
      <c r="L215" s="36"/>
      <c r="M215" s="36"/>
      <c r="N215" s="42"/>
      <c r="O215" s="42"/>
      <c r="P215" s="42"/>
      <c r="Q215" s="42"/>
      <c r="R215" s="42"/>
      <c r="S215" s="36"/>
      <c r="T215" s="42"/>
      <c r="V215" s="36"/>
      <c r="W215" s="36"/>
      <c r="X215" s="42"/>
      <c r="Y215" s="42"/>
      <c r="Z215" s="42"/>
      <c r="AA215" s="42"/>
      <c r="AB215" s="42"/>
      <c r="AC215" s="36"/>
      <c r="AD215" s="42"/>
      <c r="AF215" s="19"/>
      <c r="AG215" s="19"/>
    </row>
    <row r="216" spans="2:33" ht="14.25" customHeight="1" x14ac:dyDescent="0.3">
      <c r="B216" s="36"/>
      <c r="C216" s="36"/>
      <c r="D216" s="42"/>
      <c r="E216" s="42"/>
      <c r="F216" s="42"/>
      <c r="G216" s="42"/>
      <c r="H216" s="42"/>
      <c r="I216" s="36"/>
      <c r="J216" s="42"/>
      <c r="L216" s="36"/>
      <c r="M216" s="36"/>
      <c r="N216" s="42"/>
      <c r="O216" s="42"/>
      <c r="P216" s="42"/>
      <c r="Q216" s="42"/>
      <c r="R216" s="42"/>
      <c r="S216" s="36"/>
      <c r="T216" s="42"/>
      <c r="V216" s="36"/>
      <c r="W216" s="36"/>
      <c r="X216" s="42"/>
      <c r="Y216" s="42"/>
      <c r="Z216" s="42"/>
      <c r="AA216" s="42"/>
      <c r="AB216" s="42"/>
      <c r="AC216" s="36"/>
      <c r="AD216" s="42"/>
      <c r="AF216" s="19"/>
      <c r="AG216" s="19"/>
    </row>
    <row r="217" spans="2:33" ht="14.25" customHeight="1" x14ac:dyDescent="0.3">
      <c r="B217" s="36"/>
      <c r="C217" s="36"/>
      <c r="D217" s="42"/>
      <c r="E217" s="42"/>
      <c r="F217" s="42"/>
      <c r="G217" s="42"/>
      <c r="H217" s="42"/>
      <c r="I217" s="36"/>
      <c r="J217" s="42"/>
      <c r="L217" s="36"/>
      <c r="M217" s="36"/>
      <c r="N217" s="42"/>
      <c r="O217" s="42"/>
      <c r="P217" s="42"/>
      <c r="Q217" s="42"/>
      <c r="R217" s="42"/>
      <c r="S217" s="36"/>
      <c r="T217" s="42"/>
      <c r="V217" s="36"/>
      <c r="W217" s="36"/>
      <c r="X217" s="42"/>
      <c r="Y217" s="42"/>
      <c r="Z217" s="42"/>
      <c r="AA217" s="42"/>
      <c r="AB217" s="42"/>
      <c r="AC217" s="36"/>
      <c r="AD217" s="42"/>
      <c r="AF217" s="19"/>
      <c r="AG217" s="19"/>
    </row>
    <row r="218" spans="2:33" ht="14.25" customHeight="1" x14ac:dyDescent="0.3">
      <c r="B218" s="36"/>
      <c r="C218" s="36"/>
      <c r="D218" s="42"/>
      <c r="E218" s="42"/>
      <c r="F218" s="42"/>
      <c r="G218" s="42"/>
      <c r="H218" s="42"/>
      <c r="I218" s="36"/>
      <c r="J218" s="42"/>
      <c r="L218" s="36"/>
      <c r="M218" s="36"/>
      <c r="N218" s="42"/>
      <c r="O218" s="42"/>
      <c r="P218" s="42"/>
      <c r="Q218" s="42"/>
      <c r="R218" s="42"/>
      <c r="S218" s="36"/>
      <c r="T218" s="42"/>
      <c r="V218" s="36"/>
      <c r="W218" s="36"/>
      <c r="X218" s="42"/>
      <c r="Y218" s="42"/>
      <c r="Z218" s="42"/>
      <c r="AA218" s="42"/>
      <c r="AB218" s="42"/>
      <c r="AC218" s="36"/>
      <c r="AD218" s="42"/>
      <c r="AF218" s="19"/>
      <c r="AG218" s="19"/>
    </row>
    <row r="219" spans="2:33" ht="14.25" customHeight="1" x14ac:dyDescent="0.3">
      <c r="B219" s="36"/>
      <c r="C219" s="36"/>
      <c r="D219" s="42"/>
      <c r="E219" s="42"/>
      <c r="F219" s="42"/>
      <c r="G219" s="42"/>
      <c r="H219" s="42"/>
      <c r="I219" s="36"/>
      <c r="J219" s="42"/>
      <c r="L219" s="36"/>
      <c r="M219" s="36"/>
      <c r="N219" s="42"/>
      <c r="O219" s="42"/>
      <c r="P219" s="42"/>
      <c r="Q219" s="42"/>
      <c r="R219" s="42"/>
      <c r="S219" s="36"/>
      <c r="T219" s="42"/>
      <c r="V219" s="36"/>
      <c r="W219" s="36"/>
      <c r="X219" s="42"/>
      <c r="Y219" s="42"/>
      <c r="Z219" s="42"/>
      <c r="AA219" s="42"/>
      <c r="AB219" s="42"/>
      <c r="AC219" s="36"/>
      <c r="AD219" s="42"/>
      <c r="AF219" s="19"/>
      <c r="AG219" s="19"/>
    </row>
    <row r="220" spans="2:33" ht="14.25" customHeight="1" x14ac:dyDescent="0.3">
      <c r="B220" s="36"/>
      <c r="C220" s="36"/>
      <c r="D220" s="42"/>
      <c r="E220" s="42"/>
      <c r="F220" s="42"/>
      <c r="G220" s="42"/>
      <c r="H220" s="42"/>
      <c r="I220" s="36"/>
      <c r="J220" s="42"/>
      <c r="L220" s="36"/>
      <c r="M220" s="36"/>
      <c r="N220" s="42"/>
      <c r="O220" s="42"/>
      <c r="P220" s="42"/>
      <c r="Q220" s="42"/>
      <c r="R220" s="42"/>
      <c r="S220" s="36"/>
      <c r="T220" s="42"/>
      <c r="V220" s="36"/>
      <c r="W220" s="36"/>
      <c r="X220" s="42"/>
      <c r="Y220" s="42"/>
      <c r="Z220" s="42"/>
      <c r="AA220" s="42"/>
      <c r="AB220" s="42"/>
      <c r="AC220" s="36"/>
      <c r="AD220" s="42"/>
      <c r="AF220" s="19"/>
      <c r="AG220" s="19"/>
    </row>
    <row r="221" spans="2:33" ht="14.25" customHeight="1" x14ac:dyDescent="0.3">
      <c r="B221" s="36"/>
      <c r="C221" s="36"/>
      <c r="D221" s="42"/>
      <c r="E221" s="42"/>
      <c r="F221" s="42"/>
      <c r="G221" s="42"/>
      <c r="H221" s="42"/>
      <c r="I221" s="36"/>
      <c r="J221" s="42"/>
      <c r="L221" s="36"/>
      <c r="M221" s="36"/>
      <c r="N221" s="42"/>
      <c r="O221" s="42"/>
      <c r="P221" s="42"/>
      <c r="Q221" s="42"/>
      <c r="R221" s="42"/>
      <c r="S221" s="36"/>
      <c r="T221" s="42"/>
      <c r="V221" s="36"/>
      <c r="W221" s="36"/>
      <c r="X221" s="42"/>
      <c r="Y221" s="42"/>
      <c r="Z221" s="42"/>
      <c r="AA221" s="42"/>
      <c r="AB221" s="42"/>
      <c r="AC221" s="36"/>
      <c r="AD221" s="42"/>
      <c r="AF221" s="19"/>
      <c r="AG221" s="19"/>
    </row>
    <row r="222" spans="2:33" ht="14.25" customHeight="1" x14ac:dyDescent="0.3">
      <c r="B222" s="36"/>
      <c r="C222" s="36"/>
      <c r="D222" s="42"/>
      <c r="E222" s="42"/>
      <c r="F222" s="42"/>
      <c r="G222" s="42"/>
      <c r="H222" s="42"/>
      <c r="I222" s="36"/>
      <c r="J222" s="42"/>
      <c r="L222" s="36"/>
      <c r="M222" s="36"/>
      <c r="N222" s="42"/>
      <c r="O222" s="42"/>
      <c r="P222" s="42"/>
      <c r="Q222" s="42"/>
      <c r="R222" s="42"/>
      <c r="S222" s="36"/>
      <c r="T222" s="42"/>
      <c r="V222" s="36"/>
      <c r="W222" s="36"/>
      <c r="X222" s="42"/>
      <c r="Y222" s="42"/>
      <c r="Z222" s="42"/>
      <c r="AA222" s="42"/>
      <c r="AB222" s="42"/>
      <c r="AC222" s="36"/>
      <c r="AD222" s="42"/>
      <c r="AF222" s="19"/>
      <c r="AG222" s="19"/>
    </row>
    <row r="223" spans="2:33" ht="14.25" customHeight="1" x14ac:dyDescent="0.3">
      <c r="B223" s="36"/>
      <c r="C223" s="36"/>
      <c r="D223" s="42"/>
      <c r="E223" s="42"/>
      <c r="F223" s="42"/>
      <c r="G223" s="42"/>
      <c r="H223" s="42"/>
      <c r="I223" s="36"/>
      <c r="J223" s="42"/>
      <c r="L223" s="36"/>
      <c r="M223" s="36"/>
      <c r="N223" s="42"/>
      <c r="O223" s="42"/>
      <c r="P223" s="42"/>
      <c r="Q223" s="42"/>
      <c r="R223" s="42"/>
      <c r="S223" s="36"/>
      <c r="T223" s="42"/>
      <c r="V223" s="36"/>
      <c r="W223" s="36"/>
      <c r="X223" s="42"/>
      <c r="Y223" s="42"/>
      <c r="Z223" s="42"/>
      <c r="AA223" s="42"/>
      <c r="AB223" s="42"/>
      <c r="AC223" s="36"/>
      <c r="AD223" s="42"/>
      <c r="AF223" s="19"/>
      <c r="AG223" s="19"/>
    </row>
    <row r="224" spans="2:33" ht="14.25" customHeight="1" x14ac:dyDescent="0.3">
      <c r="B224" s="36"/>
      <c r="C224" s="36"/>
      <c r="D224" s="42"/>
      <c r="E224" s="42"/>
      <c r="F224" s="42"/>
      <c r="G224" s="42"/>
      <c r="H224" s="42"/>
      <c r="I224" s="36"/>
      <c r="J224" s="42"/>
      <c r="L224" s="36"/>
      <c r="M224" s="36"/>
      <c r="N224" s="42"/>
      <c r="O224" s="42"/>
      <c r="P224" s="42"/>
      <c r="Q224" s="42"/>
      <c r="R224" s="42"/>
      <c r="S224" s="36"/>
      <c r="T224" s="42"/>
      <c r="V224" s="36"/>
      <c r="W224" s="36"/>
      <c r="X224" s="42"/>
      <c r="Y224" s="42"/>
      <c r="Z224" s="42"/>
      <c r="AA224" s="42"/>
      <c r="AB224" s="42"/>
      <c r="AC224" s="36"/>
      <c r="AD224" s="42"/>
      <c r="AF224" s="19"/>
      <c r="AG224" s="19"/>
    </row>
    <row r="225" spans="2:30" ht="14.25" customHeight="1" x14ac:dyDescent="0.3">
      <c r="B225" s="36"/>
      <c r="C225" s="36"/>
      <c r="D225" s="42"/>
      <c r="E225" s="42"/>
      <c r="F225" s="42"/>
      <c r="G225" s="42"/>
      <c r="H225" s="42"/>
      <c r="I225" s="36"/>
      <c r="J225" s="42"/>
      <c r="L225" s="36"/>
      <c r="M225" s="36"/>
      <c r="N225" s="42"/>
      <c r="O225" s="42"/>
      <c r="P225" s="42"/>
      <c r="Q225" s="42"/>
      <c r="R225" s="42"/>
      <c r="S225" s="36"/>
      <c r="T225" s="42"/>
      <c r="V225" s="36"/>
      <c r="W225" s="36"/>
      <c r="X225" s="42"/>
      <c r="Y225" s="42"/>
      <c r="Z225" s="42"/>
      <c r="AA225" s="42"/>
      <c r="AB225" s="42"/>
      <c r="AC225" s="36"/>
      <c r="AD225" s="42"/>
    </row>
    <row r="226" spans="2:30" ht="14.25" customHeight="1" x14ac:dyDescent="0.3">
      <c r="B226" s="36"/>
      <c r="C226" s="36"/>
      <c r="D226" s="42"/>
      <c r="E226" s="42"/>
      <c r="F226" s="42"/>
      <c r="G226" s="42"/>
      <c r="H226" s="42"/>
      <c r="I226" s="36"/>
      <c r="J226" s="42"/>
      <c r="L226" s="36"/>
      <c r="M226" s="36"/>
      <c r="N226" s="42"/>
      <c r="O226" s="42"/>
      <c r="P226" s="42"/>
      <c r="Q226" s="42"/>
      <c r="R226" s="42"/>
      <c r="S226" s="36"/>
      <c r="T226" s="42"/>
      <c r="V226" s="36"/>
      <c r="W226" s="36"/>
      <c r="X226" s="42"/>
      <c r="Y226" s="42"/>
      <c r="Z226" s="42"/>
      <c r="AA226" s="42"/>
      <c r="AB226" s="42"/>
      <c r="AC226" s="36"/>
      <c r="AD226" s="42"/>
    </row>
    <row r="227" spans="2:30" ht="14.25" customHeight="1" x14ac:dyDescent="0.3">
      <c r="B227" s="36"/>
      <c r="C227" s="36"/>
      <c r="D227" s="42"/>
      <c r="E227" s="42"/>
      <c r="F227" s="42"/>
      <c r="G227" s="42"/>
      <c r="H227" s="42"/>
      <c r="I227" s="36"/>
      <c r="J227" s="42"/>
      <c r="L227" s="36"/>
      <c r="M227" s="36"/>
      <c r="N227" s="42"/>
      <c r="O227" s="42"/>
      <c r="P227" s="42"/>
      <c r="Q227" s="42"/>
      <c r="R227" s="42"/>
      <c r="S227" s="36"/>
      <c r="T227" s="42"/>
      <c r="V227" s="36"/>
      <c r="W227" s="36"/>
      <c r="X227" s="42"/>
      <c r="Y227" s="42"/>
      <c r="Z227" s="42"/>
      <c r="AA227" s="42"/>
      <c r="AB227" s="42"/>
      <c r="AC227" s="36"/>
      <c r="AD227" s="42"/>
    </row>
    <row r="228" spans="2:30" ht="14.25" customHeight="1" x14ac:dyDescent="0.3">
      <c r="B228" s="36"/>
      <c r="C228" s="36"/>
      <c r="D228" s="42"/>
      <c r="E228" s="42"/>
      <c r="F228" s="42"/>
      <c r="G228" s="42"/>
      <c r="H228" s="42"/>
      <c r="I228" s="36"/>
      <c r="J228" s="42"/>
      <c r="L228" s="36"/>
      <c r="M228" s="36"/>
      <c r="N228" s="42"/>
      <c r="O228" s="42"/>
      <c r="P228" s="42"/>
      <c r="Q228" s="42"/>
      <c r="R228" s="42"/>
      <c r="S228" s="36"/>
      <c r="T228" s="42"/>
      <c r="V228" s="36"/>
      <c r="W228" s="36"/>
      <c r="X228" s="42"/>
      <c r="Y228" s="42"/>
      <c r="Z228" s="42"/>
      <c r="AA228" s="42"/>
      <c r="AB228" s="42"/>
      <c r="AC228" s="36"/>
      <c r="AD228" s="42"/>
    </row>
    <row r="229" spans="2:30" ht="14.25" customHeight="1" x14ac:dyDescent="0.3">
      <c r="B229" s="36"/>
      <c r="C229" s="36"/>
      <c r="D229" s="42"/>
      <c r="E229" s="42"/>
      <c r="F229" s="42"/>
      <c r="G229" s="42"/>
      <c r="H229" s="42"/>
      <c r="I229" s="36"/>
      <c r="J229" s="42"/>
      <c r="L229" s="36"/>
      <c r="M229" s="36"/>
      <c r="N229" s="42"/>
      <c r="O229" s="42"/>
      <c r="P229" s="42"/>
      <c r="Q229" s="42"/>
      <c r="R229" s="42"/>
      <c r="S229" s="36"/>
      <c r="T229" s="42"/>
      <c r="V229" s="36"/>
      <c r="W229" s="36"/>
      <c r="X229" s="42"/>
      <c r="Y229" s="42"/>
      <c r="Z229" s="42"/>
      <c r="AA229" s="42"/>
      <c r="AB229" s="42"/>
      <c r="AC229" s="36"/>
      <c r="AD229" s="42"/>
    </row>
    <row r="230" spans="2:30" ht="14.25" customHeight="1" x14ac:dyDescent="0.3">
      <c r="B230" s="36"/>
      <c r="C230" s="36"/>
      <c r="D230" s="42"/>
      <c r="E230" s="42"/>
      <c r="F230" s="42"/>
      <c r="G230" s="42"/>
      <c r="H230" s="42"/>
      <c r="I230" s="36"/>
      <c r="J230" s="42"/>
      <c r="L230" s="36"/>
      <c r="M230" s="36"/>
      <c r="N230" s="42"/>
      <c r="O230" s="42"/>
      <c r="P230" s="42"/>
      <c r="Q230" s="42"/>
      <c r="R230" s="42"/>
      <c r="S230" s="36"/>
      <c r="T230" s="42"/>
      <c r="V230" s="36"/>
      <c r="W230" s="36"/>
      <c r="X230" s="42"/>
      <c r="Y230" s="42"/>
      <c r="Z230" s="42"/>
      <c r="AA230" s="42"/>
      <c r="AB230" s="42"/>
      <c r="AC230" s="36"/>
      <c r="AD230" s="42"/>
    </row>
    <row r="231" spans="2:30" ht="14.25" customHeight="1" x14ac:dyDescent="0.3">
      <c r="B231" s="36"/>
      <c r="C231" s="36"/>
      <c r="D231" s="42"/>
      <c r="E231" s="42"/>
      <c r="F231" s="42"/>
      <c r="G231" s="42"/>
      <c r="H231" s="42"/>
      <c r="I231" s="36"/>
      <c r="J231" s="42"/>
      <c r="L231" s="36"/>
      <c r="M231" s="36"/>
      <c r="N231" s="42"/>
      <c r="O231" s="42"/>
      <c r="P231" s="42"/>
      <c r="Q231" s="42"/>
      <c r="R231" s="42"/>
      <c r="S231" s="36"/>
      <c r="T231" s="42"/>
      <c r="V231" s="36"/>
      <c r="W231" s="36"/>
      <c r="X231" s="42"/>
      <c r="Y231" s="42"/>
      <c r="Z231" s="42"/>
      <c r="AA231" s="42"/>
      <c r="AB231" s="42"/>
      <c r="AC231" s="36"/>
      <c r="AD231" s="42"/>
    </row>
    <row r="232" spans="2:30" ht="14.25" customHeight="1" x14ac:dyDescent="0.3">
      <c r="B232" s="36"/>
      <c r="C232" s="36"/>
      <c r="D232" s="42"/>
      <c r="E232" s="42"/>
      <c r="F232" s="42"/>
      <c r="G232" s="42"/>
      <c r="H232" s="42"/>
      <c r="I232" s="36"/>
      <c r="J232" s="42"/>
      <c r="L232" s="36"/>
      <c r="M232" s="36"/>
      <c r="N232" s="42"/>
      <c r="O232" s="42"/>
      <c r="P232" s="42"/>
      <c r="Q232" s="42"/>
      <c r="R232" s="42"/>
      <c r="S232" s="36"/>
      <c r="T232" s="42"/>
      <c r="V232" s="36"/>
      <c r="W232" s="36"/>
      <c r="X232" s="42"/>
      <c r="Y232" s="42"/>
      <c r="Z232" s="42"/>
      <c r="AA232" s="42"/>
      <c r="AB232" s="42"/>
      <c r="AC232" s="36"/>
      <c r="AD232" s="42"/>
    </row>
    <row r="233" spans="2:30" ht="14.25" customHeight="1" x14ac:dyDescent="0.3">
      <c r="B233" s="36"/>
      <c r="C233" s="36"/>
      <c r="D233" s="42"/>
      <c r="E233" s="42"/>
      <c r="F233" s="42"/>
      <c r="G233" s="42"/>
      <c r="H233" s="42"/>
      <c r="I233" s="36"/>
      <c r="J233" s="42"/>
      <c r="L233" s="36"/>
      <c r="M233" s="36"/>
      <c r="N233" s="42"/>
      <c r="O233" s="42"/>
      <c r="P233" s="42"/>
      <c r="Q233" s="42"/>
      <c r="R233" s="42"/>
      <c r="S233" s="36"/>
      <c r="T233" s="42"/>
      <c r="V233" s="36"/>
      <c r="W233" s="36"/>
      <c r="X233" s="42"/>
      <c r="Y233" s="42"/>
      <c r="Z233" s="42"/>
      <c r="AA233" s="42"/>
      <c r="AB233" s="42"/>
      <c r="AC233" s="36"/>
      <c r="AD233" s="42"/>
    </row>
    <row r="234" spans="2:30" ht="14.25" customHeight="1" x14ac:dyDescent="0.3">
      <c r="B234" s="36"/>
      <c r="C234" s="36"/>
      <c r="D234" s="42"/>
      <c r="E234" s="42"/>
      <c r="F234" s="42"/>
      <c r="G234" s="42"/>
      <c r="H234" s="42"/>
      <c r="I234" s="36"/>
      <c r="J234" s="42"/>
      <c r="L234" s="36"/>
      <c r="M234" s="36"/>
      <c r="N234" s="42"/>
      <c r="O234" s="42"/>
      <c r="P234" s="42"/>
      <c r="Q234" s="42"/>
      <c r="R234" s="42"/>
      <c r="S234" s="36"/>
      <c r="T234" s="42"/>
      <c r="V234" s="36"/>
      <c r="W234" s="36"/>
      <c r="X234" s="42"/>
      <c r="Y234" s="42"/>
      <c r="Z234" s="42"/>
      <c r="AA234" s="42"/>
      <c r="AB234" s="42"/>
      <c r="AC234" s="36"/>
      <c r="AD234" s="42"/>
    </row>
    <row r="235" spans="2:30" ht="14.25" customHeight="1" x14ac:dyDescent="0.3">
      <c r="B235" s="36"/>
      <c r="C235" s="36"/>
      <c r="D235" s="42"/>
      <c r="E235" s="42"/>
      <c r="F235" s="42"/>
      <c r="G235" s="42"/>
      <c r="H235" s="42"/>
      <c r="I235" s="36"/>
      <c r="J235" s="42"/>
      <c r="L235" s="36"/>
      <c r="M235" s="36"/>
      <c r="N235" s="42"/>
      <c r="O235" s="42"/>
      <c r="P235" s="42"/>
      <c r="Q235" s="42"/>
      <c r="R235" s="42"/>
      <c r="S235" s="36"/>
      <c r="T235" s="42"/>
      <c r="V235" s="36"/>
      <c r="W235" s="36"/>
      <c r="X235" s="42"/>
      <c r="Y235" s="42"/>
      <c r="Z235" s="42"/>
      <c r="AA235" s="42"/>
      <c r="AB235" s="42"/>
      <c r="AC235" s="36"/>
      <c r="AD235" s="42"/>
    </row>
    <row r="236" spans="2:30" ht="14.25" customHeight="1" x14ac:dyDescent="0.3">
      <c r="B236" s="36"/>
      <c r="C236" s="36"/>
      <c r="D236" s="42"/>
      <c r="E236" s="42"/>
      <c r="F236" s="42"/>
      <c r="G236" s="42"/>
      <c r="H236" s="42"/>
      <c r="I236" s="36"/>
      <c r="J236" s="42"/>
      <c r="L236" s="36"/>
      <c r="M236" s="36"/>
      <c r="N236" s="42"/>
      <c r="O236" s="42"/>
      <c r="P236" s="42"/>
      <c r="Q236" s="42"/>
      <c r="R236" s="42"/>
      <c r="S236" s="36"/>
      <c r="T236" s="42"/>
      <c r="V236" s="36"/>
      <c r="W236" s="36"/>
      <c r="X236" s="42"/>
      <c r="Y236" s="42"/>
      <c r="Z236" s="42"/>
      <c r="AA236" s="42"/>
      <c r="AB236" s="42"/>
      <c r="AC236" s="36"/>
      <c r="AD236" s="42"/>
    </row>
    <row r="237" spans="2:30" ht="14.25" customHeight="1" x14ac:dyDescent="0.3">
      <c r="B237" s="36"/>
      <c r="C237" s="36"/>
      <c r="D237" s="42"/>
      <c r="E237" s="42"/>
      <c r="F237" s="42"/>
      <c r="G237" s="42"/>
      <c r="H237" s="42"/>
      <c r="I237" s="36"/>
      <c r="J237" s="42"/>
      <c r="L237" s="36"/>
      <c r="M237" s="36"/>
      <c r="N237" s="42"/>
      <c r="O237" s="42"/>
      <c r="P237" s="42"/>
      <c r="Q237" s="42"/>
      <c r="R237" s="42"/>
      <c r="S237" s="36"/>
      <c r="T237" s="42"/>
      <c r="V237" s="36"/>
      <c r="W237" s="36"/>
      <c r="X237" s="42"/>
      <c r="Y237" s="42"/>
      <c r="Z237" s="42"/>
      <c r="AA237" s="42"/>
      <c r="AB237" s="42"/>
      <c r="AC237" s="36"/>
      <c r="AD237" s="42"/>
    </row>
    <row r="238" spans="2:30" ht="14.25" customHeight="1" x14ac:dyDescent="0.3">
      <c r="B238" s="36"/>
      <c r="C238" s="36"/>
      <c r="D238" s="42"/>
      <c r="E238" s="42"/>
      <c r="F238" s="42"/>
      <c r="G238" s="42"/>
      <c r="H238" s="42"/>
      <c r="I238" s="36"/>
      <c r="J238" s="42"/>
      <c r="L238" s="36"/>
      <c r="M238" s="36"/>
      <c r="N238" s="42"/>
      <c r="O238" s="42"/>
      <c r="P238" s="42"/>
      <c r="Q238" s="42"/>
      <c r="R238" s="42"/>
      <c r="S238" s="36"/>
      <c r="T238" s="42"/>
      <c r="V238" s="36"/>
      <c r="W238" s="36"/>
      <c r="X238" s="42"/>
      <c r="Y238" s="42"/>
      <c r="Z238" s="42"/>
      <c r="AA238" s="42"/>
      <c r="AB238" s="42"/>
      <c r="AC238" s="36"/>
      <c r="AD238" s="42"/>
    </row>
    <row r="239" spans="2:30" ht="14.25" customHeight="1" x14ac:dyDescent="0.3">
      <c r="B239" s="36"/>
      <c r="C239" s="36"/>
      <c r="D239" s="42"/>
      <c r="E239" s="42"/>
      <c r="F239" s="42"/>
      <c r="G239" s="42"/>
      <c r="H239" s="42"/>
      <c r="I239" s="36"/>
      <c r="J239" s="42"/>
      <c r="L239" s="36"/>
      <c r="M239" s="36"/>
      <c r="N239" s="42"/>
      <c r="O239" s="42"/>
      <c r="P239" s="42"/>
      <c r="Q239" s="42"/>
      <c r="R239" s="42"/>
      <c r="S239" s="36"/>
      <c r="T239" s="42"/>
      <c r="V239" s="36"/>
      <c r="W239" s="36"/>
      <c r="X239" s="42"/>
      <c r="Y239" s="42"/>
      <c r="Z239" s="42"/>
      <c r="AA239" s="42"/>
      <c r="AB239" s="42"/>
      <c r="AC239" s="36"/>
      <c r="AD239" s="42"/>
    </row>
    <row r="240" spans="2:30" ht="14.25" customHeight="1" x14ac:dyDescent="0.3">
      <c r="B240" s="36"/>
      <c r="C240" s="36"/>
      <c r="D240" s="42"/>
      <c r="E240" s="42"/>
      <c r="F240" s="42"/>
      <c r="G240" s="42"/>
      <c r="H240" s="42"/>
      <c r="I240" s="36"/>
      <c r="J240" s="42"/>
      <c r="L240" s="36"/>
      <c r="M240" s="36"/>
      <c r="N240" s="42"/>
      <c r="O240" s="42"/>
      <c r="P240" s="42"/>
      <c r="Q240" s="42"/>
      <c r="R240" s="42"/>
      <c r="S240" s="36"/>
      <c r="T240" s="42"/>
      <c r="V240" s="36"/>
      <c r="W240" s="36"/>
      <c r="X240" s="42"/>
      <c r="Y240" s="42"/>
      <c r="Z240" s="42"/>
      <c r="AA240" s="42"/>
      <c r="AB240" s="42"/>
      <c r="AC240" s="36"/>
      <c r="AD240" s="42"/>
    </row>
    <row r="241" spans="2:30" ht="14.25" customHeight="1" x14ac:dyDescent="0.3">
      <c r="B241" s="36"/>
      <c r="C241" s="36"/>
      <c r="D241" s="42"/>
      <c r="E241" s="42"/>
      <c r="F241" s="42"/>
      <c r="G241" s="42"/>
      <c r="H241" s="42"/>
      <c r="I241" s="36"/>
      <c r="J241" s="42"/>
      <c r="L241" s="36"/>
      <c r="M241" s="36"/>
      <c r="N241" s="42"/>
      <c r="O241" s="42"/>
      <c r="P241" s="42"/>
      <c r="Q241" s="42"/>
      <c r="R241" s="42"/>
      <c r="S241" s="36"/>
      <c r="T241" s="42"/>
      <c r="V241" s="36"/>
      <c r="W241" s="36"/>
      <c r="X241" s="42"/>
      <c r="Y241" s="42"/>
      <c r="Z241" s="42"/>
      <c r="AA241" s="42"/>
      <c r="AB241" s="42"/>
      <c r="AC241" s="36"/>
      <c r="AD241" s="42"/>
    </row>
    <row r="242" spans="2:30" ht="14.25" customHeight="1" x14ac:dyDescent="0.3">
      <c r="B242" s="36"/>
      <c r="C242" s="36"/>
      <c r="D242" s="42"/>
      <c r="E242" s="42"/>
      <c r="F242" s="42"/>
      <c r="G242" s="42"/>
      <c r="H242" s="42"/>
      <c r="I242" s="36"/>
      <c r="J242" s="42"/>
      <c r="L242" s="36"/>
      <c r="M242" s="36"/>
      <c r="N242" s="42"/>
      <c r="O242" s="42"/>
      <c r="P242" s="42"/>
      <c r="Q242" s="42"/>
      <c r="R242" s="42"/>
      <c r="S242" s="36"/>
      <c r="T242" s="42"/>
      <c r="V242" s="36"/>
      <c r="W242" s="36"/>
      <c r="X242" s="42"/>
      <c r="Y242" s="42"/>
      <c r="Z242" s="42"/>
      <c r="AA242" s="42"/>
      <c r="AB242" s="42"/>
      <c r="AC242" s="36"/>
      <c r="AD242" s="42"/>
    </row>
    <row r="243" spans="2:30" ht="14.25" customHeight="1" x14ac:dyDescent="0.3">
      <c r="B243" s="36"/>
      <c r="C243" s="36"/>
      <c r="D243" s="42"/>
      <c r="E243" s="42"/>
      <c r="F243" s="42"/>
      <c r="G243" s="42"/>
      <c r="H243" s="42"/>
      <c r="I243" s="36"/>
      <c r="J243" s="42"/>
      <c r="L243" s="36"/>
      <c r="M243" s="36"/>
      <c r="N243" s="42"/>
      <c r="O243" s="42"/>
      <c r="P243" s="42"/>
      <c r="Q243" s="42"/>
      <c r="R243" s="42"/>
      <c r="S243" s="36"/>
      <c r="T243" s="42"/>
      <c r="V243" s="36"/>
      <c r="W243" s="36"/>
      <c r="X243" s="42"/>
      <c r="Y243" s="42"/>
      <c r="Z243" s="42"/>
      <c r="AA243" s="42"/>
      <c r="AB243" s="42"/>
      <c r="AC243" s="36"/>
      <c r="AD243" s="42"/>
    </row>
    <row r="244" spans="2:30" ht="14.25" customHeight="1" x14ac:dyDescent="0.3">
      <c r="B244" s="36"/>
      <c r="C244" s="36"/>
      <c r="D244" s="42"/>
      <c r="E244" s="42"/>
      <c r="F244" s="42"/>
      <c r="G244" s="42"/>
      <c r="H244" s="42"/>
      <c r="I244" s="36"/>
      <c r="J244" s="42"/>
      <c r="L244" s="36"/>
      <c r="M244" s="36"/>
      <c r="N244" s="42"/>
      <c r="O244" s="42"/>
      <c r="P244" s="42"/>
      <c r="Q244" s="42"/>
      <c r="R244" s="42"/>
      <c r="S244" s="36"/>
      <c r="T244" s="42"/>
      <c r="V244" s="36"/>
      <c r="W244" s="36"/>
      <c r="X244" s="42"/>
      <c r="Y244" s="42"/>
      <c r="Z244" s="42"/>
      <c r="AA244" s="42"/>
      <c r="AB244" s="42"/>
      <c r="AC244" s="36"/>
      <c r="AD244" s="42"/>
    </row>
    <row r="245" spans="2:30" ht="14.25" customHeight="1" x14ac:dyDescent="0.3">
      <c r="B245" s="36"/>
      <c r="C245" s="36"/>
      <c r="D245" s="42"/>
      <c r="E245" s="42"/>
      <c r="F245" s="42"/>
      <c r="G245" s="42"/>
      <c r="H245" s="42"/>
      <c r="I245" s="36"/>
      <c r="J245" s="42"/>
      <c r="L245" s="36"/>
      <c r="M245" s="36"/>
      <c r="N245" s="42"/>
      <c r="O245" s="42"/>
      <c r="P245" s="42"/>
      <c r="Q245" s="42"/>
      <c r="R245" s="42"/>
      <c r="S245" s="36"/>
      <c r="T245" s="42"/>
      <c r="V245" s="36"/>
      <c r="W245" s="36"/>
      <c r="X245" s="42"/>
      <c r="Y245" s="42"/>
      <c r="Z245" s="42"/>
      <c r="AA245" s="42"/>
      <c r="AB245" s="42"/>
      <c r="AC245" s="36"/>
      <c r="AD245" s="42"/>
    </row>
    <row r="246" spans="2:30" ht="14.25" customHeight="1" x14ac:dyDescent="0.3">
      <c r="B246" s="36"/>
      <c r="C246" s="36"/>
      <c r="D246" s="42"/>
      <c r="E246" s="42"/>
      <c r="F246" s="42"/>
      <c r="G246" s="42"/>
      <c r="H246" s="42"/>
      <c r="I246" s="36"/>
      <c r="J246" s="42"/>
      <c r="L246" s="36"/>
      <c r="M246" s="36"/>
      <c r="N246" s="42"/>
      <c r="O246" s="42"/>
      <c r="P246" s="42"/>
      <c r="Q246" s="42"/>
      <c r="R246" s="42"/>
      <c r="S246" s="36"/>
      <c r="T246" s="42"/>
      <c r="V246" s="36"/>
      <c r="W246" s="36"/>
      <c r="X246" s="42"/>
      <c r="Y246" s="42"/>
      <c r="Z246" s="42"/>
      <c r="AA246" s="42"/>
      <c r="AB246" s="42"/>
      <c r="AC246" s="36"/>
      <c r="AD246" s="42"/>
    </row>
    <row r="247" spans="2:30" ht="14.25" customHeight="1" x14ac:dyDescent="0.3">
      <c r="B247" s="36"/>
      <c r="C247" s="36"/>
      <c r="D247" s="42"/>
      <c r="E247" s="42"/>
      <c r="F247" s="42"/>
      <c r="G247" s="42"/>
      <c r="H247" s="42"/>
      <c r="I247" s="36"/>
      <c r="J247" s="42"/>
      <c r="L247" s="36"/>
      <c r="M247" s="36"/>
      <c r="N247" s="42"/>
      <c r="O247" s="42"/>
      <c r="P247" s="42"/>
      <c r="Q247" s="42"/>
      <c r="R247" s="42"/>
      <c r="S247" s="36"/>
      <c r="T247" s="42"/>
      <c r="V247" s="36"/>
      <c r="W247" s="36"/>
      <c r="X247" s="42"/>
      <c r="Y247" s="42"/>
      <c r="Z247" s="42"/>
      <c r="AA247" s="42"/>
      <c r="AB247" s="42"/>
      <c r="AC247" s="36"/>
      <c r="AD247" s="42"/>
    </row>
    <row r="248" spans="2:30" ht="14.25" customHeight="1" x14ac:dyDescent="0.3">
      <c r="B248" s="36"/>
      <c r="C248" s="36"/>
      <c r="D248" s="42"/>
      <c r="E248" s="42"/>
      <c r="F248" s="42"/>
      <c r="G248" s="42"/>
      <c r="H248" s="42"/>
      <c r="I248" s="36"/>
      <c r="J248" s="42"/>
      <c r="L248" s="36"/>
      <c r="M248" s="36"/>
      <c r="N248" s="42"/>
      <c r="O248" s="42"/>
      <c r="P248" s="42"/>
      <c r="Q248" s="42"/>
      <c r="R248" s="42"/>
      <c r="S248" s="36"/>
      <c r="T248" s="42"/>
      <c r="V248" s="36"/>
      <c r="W248" s="36"/>
      <c r="X248" s="42"/>
      <c r="Y248" s="42"/>
      <c r="Z248" s="42"/>
      <c r="AA248" s="42"/>
      <c r="AB248" s="42"/>
      <c r="AC248" s="36"/>
      <c r="AD248" s="42"/>
    </row>
    <row r="249" spans="2:30" ht="14.25" customHeight="1" x14ac:dyDescent="0.3">
      <c r="B249" s="36"/>
      <c r="C249" s="36"/>
      <c r="D249" s="42"/>
      <c r="E249" s="42"/>
      <c r="F249" s="42"/>
      <c r="G249" s="42"/>
      <c r="H249" s="42"/>
      <c r="I249" s="36"/>
      <c r="J249" s="42"/>
      <c r="L249" s="36"/>
      <c r="M249" s="36"/>
      <c r="N249" s="42"/>
      <c r="O249" s="42"/>
      <c r="P249" s="42"/>
      <c r="Q249" s="42"/>
      <c r="R249" s="42"/>
      <c r="S249" s="36"/>
      <c r="T249" s="42"/>
      <c r="V249" s="36"/>
      <c r="W249" s="36"/>
      <c r="X249" s="42"/>
      <c r="Y249" s="42"/>
      <c r="Z249" s="42"/>
      <c r="AA249" s="42"/>
      <c r="AB249" s="42"/>
      <c r="AC249" s="36"/>
      <c r="AD249" s="42"/>
    </row>
    <row r="250" spans="2:30" ht="14.25" customHeight="1" x14ac:dyDescent="0.3">
      <c r="B250" s="36"/>
      <c r="C250" s="36"/>
      <c r="D250" s="42"/>
      <c r="E250" s="42"/>
      <c r="F250" s="42"/>
      <c r="G250" s="42"/>
      <c r="H250" s="42"/>
      <c r="I250" s="36"/>
      <c r="J250" s="42"/>
      <c r="L250" s="36"/>
      <c r="M250" s="36"/>
      <c r="N250" s="42"/>
      <c r="O250" s="42"/>
      <c r="P250" s="42"/>
      <c r="Q250" s="42"/>
      <c r="R250" s="42"/>
      <c r="S250" s="36"/>
      <c r="T250" s="42"/>
      <c r="V250" s="36"/>
      <c r="W250" s="36"/>
      <c r="X250" s="42"/>
      <c r="Y250" s="42"/>
      <c r="Z250" s="42"/>
      <c r="AA250" s="42"/>
      <c r="AB250" s="42"/>
      <c r="AC250" s="36"/>
      <c r="AD250" s="42"/>
    </row>
    <row r="251" spans="2:30" ht="14.25" customHeight="1" x14ac:dyDescent="0.3">
      <c r="B251" s="36"/>
      <c r="C251" s="36"/>
      <c r="D251" s="42"/>
      <c r="E251" s="42"/>
      <c r="F251" s="42"/>
      <c r="G251" s="42"/>
      <c r="H251" s="42"/>
      <c r="I251" s="36"/>
      <c r="J251" s="42"/>
      <c r="L251" s="36"/>
      <c r="M251" s="36"/>
      <c r="N251" s="42"/>
      <c r="O251" s="42"/>
      <c r="P251" s="42"/>
      <c r="Q251" s="42"/>
      <c r="R251" s="42"/>
      <c r="S251" s="36"/>
      <c r="T251" s="42"/>
      <c r="V251" s="36"/>
      <c r="W251" s="36"/>
      <c r="X251" s="42"/>
      <c r="Y251" s="42"/>
      <c r="Z251" s="42"/>
      <c r="AA251" s="42"/>
      <c r="AB251" s="42"/>
      <c r="AC251" s="36"/>
      <c r="AD251" s="42"/>
    </row>
    <row r="252" spans="2:30" ht="14.25" customHeight="1" x14ac:dyDescent="0.3">
      <c r="B252" s="36"/>
      <c r="C252" s="36"/>
      <c r="D252" s="42"/>
      <c r="E252" s="42"/>
      <c r="F252" s="42"/>
      <c r="G252" s="42"/>
      <c r="H252" s="42"/>
      <c r="I252" s="36"/>
      <c r="J252" s="42"/>
      <c r="L252" s="36"/>
      <c r="M252" s="36"/>
      <c r="N252" s="42"/>
      <c r="O252" s="42"/>
      <c r="P252" s="42"/>
      <c r="Q252" s="42"/>
      <c r="R252" s="42"/>
      <c r="S252" s="36"/>
      <c r="T252" s="42"/>
      <c r="V252" s="36"/>
      <c r="W252" s="36"/>
      <c r="X252" s="42"/>
      <c r="Y252" s="42"/>
      <c r="Z252" s="42"/>
      <c r="AA252" s="42"/>
      <c r="AB252" s="42"/>
      <c r="AC252" s="36"/>
      <c r="AD252" s="42"/>
    </row>
    <row r="253" spans="2:30" ht="14.25" customHeight="1" x14ac:dyDescent="0.3">
      <c r="B253" s="36"/>
      <c r="C253" s="36"/>
      <c r="D253" s="42"/>
      <c r="E253" s="42"/>
      <c r="F253" s="42"/>
      <c r="G253" s="42"/>
      <c r="H253" s="42"/>
      <c r="I253" s="36"/>
      <c r="J253" s="42"/>
      <c r="L253" s="36"/>
      <c r="M253" s="36"/>
      <c r="N253" s="42"/>
      <c r="O253" s="42"/>
      <c r="P253" s="42"/>
      <c r="Q253" s="42"/>
      <c r="R253" s="42"/>
      <c r="S253" s="36"/>
      <c r="T253" s="42"/>
      <c r="V253" s="36"/>
      <c r="W253" s="36"/>
      <c r="X253" s="42"/>
      <c r="Y253" s="42"/>
      <c r="Z253" s="42"/>
      <c r="AA253" s="42"/>
      <c r="AB253" s="42"/>
      <c r="AC253" s="36"/>
      <c r="AD253" s="42"/>
    </row>
    <row r="254" spans="2:30" ht="14.25" customHeight="1" x14ac:dyDescent="0.3">
      <c r="B254" s="36"/>
      <c r="C254" s="36"/>
      <c r="D254" s="42"/>
      <c r="E254" s="42"/>
      <c r="F254" s="42"/>
      <c r="G254" s="42"/>
      <c r="H254" s="42"/>
      <c r="I254" s="36"/>
      <c r="J254" s="42"/>
      <c r="L254" s="36"/>
      <c r="M254" s="36"/>
      <c r="N254" s="42"/>
      <c r="O254" s="42"/>
      <c r="P254" s="42"/>
      <c r="Q254" s="42"/>
      <c r="R254" s="42"/>
      <c r="S254" s="36"/>
      <c r="T254" s="42"/>
      <c r="V254" s="36"/>
      <c r="W254" s="36"/>
      <c r="X254" s="42"/>
      <c r="Y254" s="42"/>
      <c r="Z254" s="42"/>
      <c r="AA254" s="42"/>
      <c r="AB254" s="42"/>
      <c r="AC254" s="36"/>
      <c r="AD254" s="42"/>
    </row>
    <row r="255" spans="2:30" ht="14.25" customHeight="1" x14ac:dyDescent="0.3">
      <c r="B255" s="36"/>
      <c r="C255" s="36"/>
      <c r="D255" s="42"/>
      <c r="E255" s="42"/>
      <c r="F255" s="42"/>
      <c r="G255" s="42"/>
      <c r="H255" s="42"/>
      <c r="I255" s="36"/>
      <c r="J255" s="42"/>
      <c r="L255" s="36"/>
      <c r="M255" s="36"/>
      <c r="N255" s="42"/>
      <c r="O255" s="42"/>
      <c r="P255" s="42"/>
      <c r="Q255" s="42"/>
      <c r="R255" s="42"/>
      <c r="S255" s="36"/>
      <c r="T255" s="42"/>
      <c r="V255" s="36"/>
      <c r="W255" s="36"/>
      <c r="X255" s="42"/>
      <c r="Y255" s="42"/>
      <c r="Z255" s="42"/>
      <c r="AA255" s="42"/>
      <c r="AB255" s="42"/>
      <c r="AC255" s="36"/>
      <c r="AD255" s="42"/>
    </row>
    <row r="256" spans="2:30" ht="14.25" customHeight="1" x14ac:dyDescent="0.3">
      <c r="B256" s="36"/>
      <c r="C256" s="36"/>
      <c r="D256" s="42"/>
      <c r="E256" s="42"/>
      <c r="F256" s="42"/>
      <c r="G256" s="42"/>
      <c r="H256" s="42"/>
      <c r="I256" s="36"/>
      <c r="J256" s="42"/>
      <c r="L256" s="36"/>
      <c r="M256" s="36"/>
      <c r="N256" s="42"/>
      <c r="O256" s="42"/>
      <c r="P256" s="42"/>
      <c r="Q256" s="42"/>
      <c r="R256" s="42"/>
      <c r="S256" s="36"/>
      <c r="T256" s="42"/>
      <c r="V256" s="36"/>
      <c r="W256" s="36"/>
      <c r="X256" s="42"/>
      <c r="Y256" s="42"/>
      <c r="Z256" s="42"/>
      <c r="AA256" s="42"/>
      <c r="AB256" s="42"/>
      <c r="AC256" s="36"/>
      <c r="AD256" s="42"/>
    </row>
    <row r="257" spans="2:30" ht="14.25" customHeight="1" x14ac:dyDescent="0.3">
      <c r="B257" s="36"/>
      <c r="C257" s="36"/>
      <c r="D257" s="42"/>
      <c r="E257" s="42"/>
      <c r="F257" s="42"/>
      <c r="G257" s="42"/>
      <c r="H257" s="42"/>
      <c r="I257" s="36"/>
      <c r="J257" s="42"/>
      <c r="L257" s="36"/>
      <c r="M257" s="36"/>
      <c r="N257" s="42"/>
      <c r="O257" s="42"/>
      <c r="P257" s="42"/>
      <c r="Q257" s="42"/>
      <c r="R257" s="42"/>
      <c r="S257" s="36"/>
      <c r="T257" s="42"/>
      <c r="V257" s="36"/>
      <c r="W257" s="36"/>
      <c r="X257" s="42"/>
      <c r="Y257" s="42"/>
      <c r="Z257" s="42"/>
      <c r="AA257" s="42"/>
      <c r="AB257" s="42"/>
      <c r="AC257" s="36"/>
      <c r="AD257" s="42"/>
    </row>
    <row r="258" spans="2:30" ht="14.25" customHeight="1" x14ac:dyDescent="0.3">
      <c r="B258" s="36"/>
      <c r="C258" s="36"/>
      <c r="D258" s="42"/>
      <c r="E258" s="42"/>
      <c r="F258" s="42"/>
      <c r="G258" s="42"/>
      <c r="H258" s="42"/>
      <c r="I258" s="36"/>
      <c r="J258" s="42"/>
      <c r="L258" s="36"/>
      <c r="M258" s="36"/>
      <c r="N258" s="42"/>
      <c r="O258" s="42"/>
      <c r="P258" s="42"/>
      <c r="Q258" s="42"/>
      <c r="R258" s="42"/>
      <c r="S258" s="36"/>
      <c r="T258" s="42"/>
      <c r="V258" s="36"/>
      <c r="W258" s="36"/>
      <c r="X258" s="42"/>
      <c r="Y258" s="42"/>
      <c r="Z258" s="42"/>
      <c r="AA258" s="42"/>
      <c r="AB258" s="42"/>
      <c r="AC258" s="36"/>
      <c r="AD258" s="42"/>
    </row>
    <row r="259" spans="2:30" ht="14.25" customHeight="1" x14ac:dyDescent="0.3">
      <c r="B259" s="36"/>
      <c r="C259" s="36"/>
      <c r="D259" s="42"/>
      <c r="E259" s="42"/>
      <c r="F259" s="42"/>
      <c r="G259" s="42"/>
      <c r="H259" s="42"/>
      <c r="I259" s="36"/>
      <c r="J259" s="42"/>
      <c r="L259" s="36"/>
      <c r="M259" s="36"/>
      <c r="N259" s="42"/>
      <c r="O259" s="42"/>
      <c r="P259" s="42"/>
      <c r="Q259" s="42"/>
      <c r="R259" s="42"/>
      <c r="S259" s="36"/>
      <c r="T259" s="42"/>
      <c r="V259" s="36"/>
      <c r="W259" s="36"/>
      <c r="X259" s="42"/>
      <c r="Y259" s="42"/>
      <c r="Z259" s="42"/>
      <c r="AA259" s="42"/>
      <c r="AB259" s="42"/>
      <c r="AC259" s="36"/>
      <c r="AD259" s="42"/>
    </row>
    <row r="260" spans="2:30" ht="14.25" customHeight="1" x14ac:dyDescent="0.3">
      <c r="B260" s="36"/>
      <c r="C260" s="36"/>
      <c r="D260" s="42"/>
      <c r="E260" s="42"/>
      <c r="F260" s="42"/>
      <c r="G260" s="42"/>
      <c r="H260" s="42"/>
      <c r="I260" s="36"/>
      <c r="J260" s="42"/>
      <c r="L260" s="36"/>
      <c r="M260" s="36"/>
      <c r="N260" s="42"/>
      <c r="O260" s="42"/>
      <c r="P260" s="42"/>
      <c r="Q260" s="42"/>
      <c r="R260" s="42"/>
      <c r="S260" s="36"/>
      <c r="T260" s="42"/>
      <c r="V260" s="36"/>
      <c r="W260" s="36"/>
      <c r="X260" s="42"/>
      <c r="Y260" s="42"/>
      <c r="Z260" s="42"/>
      <c r="AA260" s="42"/>
      <c r="AB260" s="42"/>
      <c r="AC260" s="36"/>
      <c r="AD260" s="42"/>
    </row>
    <row r="261" spans="2:30" ht="14.25" customHeight="1" x14ac:dyDescent="0.3">
      <c r="B261" s="36"/>
      <c r="C261" s="36"/>
      <c r="D261" s="42"/>
      <c r="E261" s="42"/>
      <c r="F261" s="42"/>
      <c r="G261" s="42"/>
      <c r="H261" s="42"/>
      <c r="I261" s="36"/>
      <c r="J261" s="42"/>
      <c r="L261" s="36"/>
      <c r="M261" s="36"/>
      <c r="N261" s="42"/>
      <c r="O261" s="42"/>
      <c r="P261" s="42"/>
      <c r="Q261" s="42"/>
      <c r="R261" s="42"/>
      <c r="S261" s="36"/>
      <c r="T261" s="42"/>
      <c r="V261" s="36"/>
      <c r="W261" s="36"/>
      <c r="X261" s="42"/>
      <c r="Y261" s="42"/>
      <c r="Z261" s="42"/>
      <c r="AA261" s="42"/>
      <c r="AB261" s="42"/>
      <c r="AC261" s="36"/>
      <c r="AD261" s="42"/>
    </row>
    <row r="262" spans="2:30" ht="14.25" customHeight="1" x14ac:dyDescent="0.3">
      <c r="B262" s="36"/>
      <c r="C262" s="36"/>
      <c r="D262" s="42"/>
      <c r="E262" s="42"/>
      <c r="F262" s="42"/>
      <c r="G262" s="42"/>
      <c r="H262" s="42"/>
      <c r="I262" s="36"/>
      <c r="J262" s="42"/>
      <c r="L262" s="36"/>
      <c r="M262" s="36"/>
      <c r="N262" s="42"/>
      <c r="O262" s="42"/>
      <c r="P262" s="42"/>
      <c r="Q262" s="42"/>
      <c r="R262" s="42"/>
      <c r="S262" s="36"/>
      <c r="T262" s="42"/>
      <c r="V262" s="36"/>
      <c r="W262" s="36"/>
      <c r="X262" s="42"/>
      <c r="Y262" s="42"/>
      <c r="Z262" s="42"/>
      <c r="AA262" s="42"/>
      <c r="AB262" s="42"/>
      <c r="AC262" s="36"/>
      <c r="AD262" s="42"/>
    </row>
    <row r="263" spans="2:30" ht="14.25" customHeight="1" x14ac:dyDescent="0.3">
      <c r="B263" s="36"/>
      <c r="C263" s="36"/>
      <c r="D263" s="42"/>
      <c r="E263" s="42"/>
      <c r="F263" s="42"/>
      <c r="G263" s="42"/>
      <c r="H263" s="42"/>
      <c r="I263" s="36"/>
      <c r="J263" s="42"/>
      <c r="L263" s="36"/>
      <c r="M263" s="36"/>
      <c r="N263" s="42"/>
      <c r="O263" s="42"/>
      <c r="P263" s="42"/>
      <c r="Q263" s="42"/>
      <c r="R263" s="42"/>
      <c r="S263" s="36"/>
      <c r="T263" s="42"/>
      <c r="V263" s="36"/>
      <c r="W263" s="36"/>
      <c r="X263" s="42"/>
      <c r="Y263" s="42"/>
      <c r="Z263" s="42"/>
      <c r="AA263" s="42"/>
      <c r="AB263" s="42"/>
      <c r="AC263" s="36"/>
      <c r="AD263" s="42"/>
    </row>
    <row r="264" spans="2:30" ht="14.25" customHeight="1" x14ac:dyDescent="0.3">
      <c r="B264" s="36"/>
      <c r="C264" s="36"/>
      <c r="D264" s="42"/>
      <c r="E264" s="42"/>
      <c r="F264" s="42"/>
      <c r="G264" s="42"/>
      <c r="H264" s="42"/>
      <c r="I264" s="36"/>
      <c r="J264" s="42"/>
      <c r="L264" s="36"/>
      <c r="M264" s="36"/>
      <c r="N264" s="42"/>
      <c r="O264" s="42"/>
      <c r="P264" s="42"/>
      <c r="Q264" s="42"/>
      <c r="R264" s="42"/>
      <c r="S264" s="36"/>
      <c r="T264" s="42"/>
      <c r="V264" s="36"/>
      <c r="W264" s="36"/>
      <c r="X264" s="42"/>
      <c r="Y264" s="42"/>
      <c r="Z264" s="42"/>
      <c r="AA264" s="42"/>
      <c r="AB264" s="42"/>
      <c r="AC264" s="36"/>
      <c r="AD264" s="42"/>
    </row>
    <row r="265" spans="2:30" ht="14.25" customHeight="1" x14ac:dyDescent="0.3">
      <c r="B265" s="36"/>
      <c r="C265" s="36"/>
      <c r="D265" s="42"/>
      <c r="E265" s="42"/>
      <c r="F265" s="42"/>
      <c r="G265" s="42"/>
      <c r="H265" s="42"/>
      <c r="I265" s="36"/>
      <c r="J265" s="42"/>
      <c r="L265" s="36"/>
      <c r="M265" s="36"/>
      <c r="N265" s="42"/>
      <c r="O265" s="42"/>
      <c r="P265" s="42"/>
      <c r="Q265" s="42"/>
      <c r="R265" s="42"/>
      <c r="S265" s="36"/>
      <c r="T265" s="42"/>
      <c r="V265" s="36"/>
      <c r="W265" s="36"/>
      <c r="X265" s="42"/>
      <c r="Y265" s="42"/>
      <c r="Z265" s="42"/>
      <c r="AA265" s="42"/>
      <c r="AB265" s="42"/>
      <c r="AC265" s="36"/>
      <c r="AD265" s="42"/>
    </row>
    <row r="266" spans="2:30" ht="14.25" customHeight="1" x14ac:dyDescent="0.3">
      <c r="B266" s="36"/>
      <c r="C266" s="36"/>
      <c r="D266" s="42"/>
      <c r="E266" s="42"/>
      <c r="F266" s="42"/>
      <c r="G266" s="42"/>
      <c r="H266" s="42"/>
      <c r="I266" s="36"/>
      <c r="J266" s="42"/>
      <c r="L266" s="36"/>
      <c r="M266" s="36"/>
      <c r="N266" s="42"/>
      <c r="O266" s="42"/>
      <c r="P266" s="42"/>
      <c r="Q266" s="42"/>
      <c r="R266" s="42"/>
      <c r="S266" s="36"/>
      <c r="T266" s="42"/>
      <c r="V266" s="36"/>
      <c r="W266" s="36"/>
      <c r="X266" s="42"/>
      <c r="Y266" s="42"/>
      <c r="Z266" s="42"/>
      <c r="AA266" s="42"/>
      <c r="AB266" s="42"/>
      <c r="AC266" s="36"/>
      <c r="AD266" s="42"/>
    </row>
    <row r="267" spans="2:30" ht="14.25" customHeight="1" x14ac:dyDescent="0.3">
      <c r="B267" s="36"/>
      <c r="C267" s="36"/>
      <c r="D267" s="42"/>
      <c r="E267" s="42"/>
      <c r="F267" s="42"/>
      <c r="G267" s="42"/>
      <c r="H267" s="42"/>
      <c r="I267" s="36"/>
      <c r="J267" s="42"/>
      <c r="L267" s="36"/>
      <c r="M267" s="36"/>
      <c r="N267" s="42"/>
      <c r="O267" s="42"/>
      <c r="P267" s="42"/>
      <c r="Q267" s="42"/>
      <c r="R267" s="42"/>
      <c r="S267" s="36"/>
      <c r="T267" s="42"/>
      <c r="V267" s="36"/>
      <c r="W267" s="36"/>
      <c r="X267" s="42"/>
      <c r="Y267" s="42"/>
      <c r="Z267" s="42"/>
      <c r="AA267" s="42"/>
      <c r="AB267" s="42"/>
      <c r="AC267" s="36"/>
      <c r="AD267" s="42"/>
    </row>
    <row r="268" spans="2:30" ht="14.25" customHeight="1" x14ac:dyDescent="0.3">
      <c r="B268" s="36"/>
      <c r="C268" s="36"/>
      <c r="D268" s="42"/>
      <c r="E268" s="42"/>
      <c r="F268" s="42"/>
      <c r="G268" s="42"/>
      <c r="H268" s="42"/>
      <c r="I268" s="36"/>
      <c r="J268" s="42"/>
      <c r="L268" s="36"/>
      <c r="M268" s="36"/>
      <c r="N268" s="42"/>
      <c r="O268" s="42"/>
      <c r="P268" s="42"/>
      <c r="Q268" s="42"/>
      <c r="R268" s="42"/>
      <c r="S268" s="36"/>
      <c r="T268" s="42"/>
      <c r="V268" s="36"/>
      <c r="W268" s="36"/>
      <c r="X268" s="42"/>
      <c r="Y268" s="42"/>
      <c r="Z268" s="42"/>
      <c r="AA268" s="42"/>
      <c r="AB268" s="42"/>
      <c r="AC268" s="36"/>
      <c r="AD268" s="42"/>
    </row>
    <row r="269" spans="2:30" ht="14.25" customHeight="1" x14ac:dyDescent="0.3">
      <c r="B269" s="36"/>
      <c r="C269" s="36"/>
      <c r="D269" s="42"/>
      <c r="E269" s="42"/>
      <c r="F269" s="42"/>
      <c r="G269" s="42"/>
      <c r="H269" s="42"/>
      <c r="I269" s="36"/>
      <c r="J269" s="42"/>
      <c r="L269" s="36"/>
      <c r="M269" s="36"/>
      <c r="N269" s="42"/>
      <c r="O269" s="42"/>
      <c r="P269" s="42"/>
      <c r="Q269" s="42"/>
      <c r="R269" s="42"/>
      <c r="S269" s="36"/>
      <c r="T269" s="42"/>
      <c r="V269" s="36"/>
      <c r="W269" s="36"/>
      <c r="X269" s="42"/>
      <c r="Y269" s="42"/>
      <c r="Z269" s="42"/>
      <c r="AA269" s="42"/>
      <c r="AB269" s="42"/>
      <c r="AC269" s="36"/>
      <c r="AD269" s="42"/>
    </row>
    <row r="270" spans="2:30" ht="14.25" customHeight="1" x14ac:dyDescent="0.3">
      <c r="B270" s="36"/>
      <c r="C270" s="36"/>
      <c r="D270" s="42"/>
      <c r="E270" s="42"/>
      <c r="F270" s="42"/>
      <c r="G270" s="42"/>
      <c r="H270" s="42"/>
      <c r="I270" s="36"/>
      <c r="J270" s="42"/>
      <c r="L270" s="36"/>
      <c r="M270" s="36"/>
      <c r="N270" s="42"/>
      <c r="O270" s="42"/>
      <c r="P270" s="42"/>
      <c r="Q270" s="42"/>
      <c r="R270" s="42"/>
      <c r="S270" s="36"/>
      <c r="T270" s="42"/>
      <c r="V270" s="36"/>
      <c r="W270" s="36"/>
      <c r="X270" s="42"/>
      <c r="Y270" s="42"/>
      <c r="Z270" s="42"/>
      <c r="AA270" s="42"/>
      <c r="AB270" s="42"/>
      <c r="AC270" s="36"/>
      <c r="AD270" s="42"/>
    </row>
    <row r="271" spans="2:30" ht="14.25" customHeight="1" x14ac:dyDescent="0.3">
      <c r="B271" s="36"/>
      <c r="C271" s="36"/>
      <c r="D271" s="42"/>
      <c r="E271" s="42"/>
      <c r="F271" s="42"/>
      <c r="G271" s="42"/>
      <c r="H271" s="42"/>
      <c r="I271" s="36"/>
      <c r="J271" s="42"/>
      <c r="L271" s="36"/>
      <c r="M271" s="36"/>
      <c r="N271" s="42"/>
      <c r="O271" s="42"/>
      <c r="P271" s="42"/>
      <c r="Q271" s="42"/>
      <c r="R271" s="42"/>
      <c r="S271" s="36"/>
      <c r="T271" s="42"/>
      <c r="V271" s="36"/>
      <c r="W271" s="36"/>
      <c r="X271" s="42"/>
      <c r="Y271" s="42"/>
      <c r="Z271" s="42"/>
      <c r="AA271" s="42"/>
      <c r="AB271" s="42"/>
      <c r="AC271" s="36"/>
      <c r="AD271" s="42"/>
    </row>
    <row r="272" spans="2:30" ht="14.25" customHeight="1" x14ac:dyDescent="0.3">
      <c r="B272" s="36"/>
      <c r="C272" s="36"/>
      <c r="D272" s="42"/>
      <c r="E272" s="42"/>
      <c r="F272" s="42"/>
      <c r="G272" s="42"/>
      <c r="H272" s="42"/>
      <c r="I272" s="36"/>
      <c r="J272" s="42"/>
      <c r="L272" s="36"/>
      <c r="M272" s="36"/>
      <c r="N272" s="42"/>
      <c r="O272" s="42"/>
      <c r="P272" s="42"/>
      <c r="Q272" s="42"/>
      <c r="R272" s="42"/>
      <c r="S272" s="36"/>
      <c r="T272" s="42"/>
      <c r="V272" s="36"/>
      <c r="W272" s="36"/>
      <c r="X272" s="42"/>
      <c r="Y272" s="42"/>
      <c r="Z272" s="42"/>
      <c r="AA272" s="42"/>
      <c r="AB272" s="42"/>
      <c r="AC272" s="36"/>
      <c r="AD272" s="42"/>
    </row>
    <row r="273" spans="2:30" ht="14.25" customHeight="1" x14ac:dyDescent="0.3">
      <c r="B273" s="36"/>
      <c r="C273" s="36"/>
      <c r="D273" s="42"/>
      <c r="E273" s="42"/>
      <c r="F273" s="42"/>
      <c r="G273" s="42"/>
      <c r="H273" s="42"/>
      <c r="I273" s="36"/>
      <c r="J273" s="42"/>
      <c r="L273" s="36"/>
      <c r="M273" s="36"/>
      <c r="N273" s="42"/>
      <c r="O273" s="42"/>
      <c r="P273" s="42"/>
      <c r="Q273" s="42"/>
      <c r="R273" s="42"/>
      <c r="S273" s="36"/>
      <c r="T273" s="42"/>
      <c r="V273" s="36"/>
      <c r="W273" s="36"/>
      <c r="X273" s="42"/>
      <c r="Y273" s="42"/>
      <c r="Z273" s="42"/>
      <c r="AA273" s="42"/>
      <c r="AB273" s="42"/>
      <c r="AC273" s="36"/>
      <c r="AD273" s="42"/>
    </row>
    <row r="274" spans="2:30" ht="14.25" customHeight="1" x14ac:dyDescent="0.3">
      <c r="B274" s="36"/>
      <c r="C274" s="36"/>
      <c r="D274" s="42"/>
      <c r="E274" s="42"/>
      <c r="F274" s="42"/>
      <c r="G274" s="42"/>
      <c r="H274" s="42"/>
      <c r="I274" s="36"/>
      <c r="J274" s="42"/>
      <c r="L274" s="36"/>
      <c r="M274" s="36"/>
      <c r="N274" s="42"/>
      <c r="O274" s="42"/>
      <c r="P274" s="42"/>
      <c r="Q274" s="42"/>
      <c r="R274" s="42"/>
      <c r="S274" s="36"/>
      <c r="T274" s="42"/>
      <c r="V274" s="36"/>
      <c r="W274" s="36"/>
      <c r="X274" s="42"/>
      <c r="Y274" s="42"/>
      <c r="Z274" s="42"/>
      <c r="AA274" s="42"/>
      <c r="AB274" s="42"/>
      <c r="AC274" s="36"/>
      <c r="AD274" s="42"/>
    </row>
    <row r="275" spans="2:30" ht="14.25" customHeight="1" x14ac:dyDescent="0.3">
      <c r="B275" s="36"/>
      <c r="C275" s="36"/>
      <c r="D275" s="42"/>
      <c r="E275" s="42"/>
      <c r="F275" s="42"/>
      <c r="G275" s="42"/>
      <c r="H275" s="42"/>
      <c r="I275" s="36"/>
      <c r="J275" s="42"/>
      <c r="L275" s="36"/>
      <c r="M275" s="36"/>
      <c r="N275" s="42"/>
      <c r="O275" s="42"/>
      <c r="P275" s="42"/>
      <c r="Q275" s="42"/>
      <c r="R275" s="42"/>
      <c r="S275" s="36"/>
      <c r="T275" s="42"/>
      <c r="V275" s="36"/>
      <c r="W275" s="36"/>
      <c r="X275" s="42"/>
      <c r="Y275" s="42"/>
      <c r="Z275" s="42"/>
      <c r="AA275" s="42"/>
      <c r="AB275" s="42"/>
      <c r="AC275" s="36"/>
      <c r="AD275" s="42"/>
    </row>
    <row r="276" spans="2:30" ht="14.25" customHeight="1" x14ac:dyDescent="0.3">
      <c r="B276" s="36"/>
      <c r="C276" s="36"/>
      <c r="D276" s="42"/>
      <c r="E276" s="42"/>
      <c r="F276" s="42"/>
      <c r="G276" s="42"/>
      <c r="H276" s="42"/>
      <c r="I276" s="36"/>
      <c r="J276" s="42"/>
      <c r="L276" s="36"/>
      <c r="M276" s="36"/>
      <c r="N276" s="42"/>
      <c r="O276" s="42"/>
      <c r="P276" s="42"/>
      <c r="Q276" s="42"/>
      <c r="R276" s="42"/>
      <c r="S276" s="36"/>
      <c r="T276" s="42"/>
      <c r="V276" s="36"/>
      <c r="W276" s="36"/>
      <c r="X276" s="42"/>
      <c r="Y276" s="42"/>
      <c r="Z276" s="42"/>
      <c r="AA276" s="42"/>
      <c r="AB276" s="42"/>
      <c r="AC276" s="36"/>
      <c r="AD276" s="42"/>
    </row>
    <row r="277" spans="2:30" ht="14.25" customHeight="1" x14ac:dyDescent="0.3">
      <c r="B277" s="36"/>
      <c r="C277" s="36"/>
      <c r="D277" s="42"/>
      <c r="E277" s="42"/>
      <c r="F277" s="42"/>
      <c r="G277" s="42"/>
      <c r="H277" s="42"/>
      <c r="I277" s="36"/>
      <c r="J277" s="42"/>
      <c r="L277" s="36"/>
      <c r="M277" s="36"/>
      <c r="N277" s="42"/>
      <c r="O277" s="42"/>
      <c r="P277" s="42"/>
      <c r="Q277" s="42"/>
      <c r="R277" s="42"/>
      <c r="S277" s="36"/>
      <c r="T277" s="42"/>
      <c r="V277" s="36"/>
      <c r="W277" s="36"/>
      <c r="X277" s="42"/>
      <c r="Y277" s="42"/>
      <c r="Z277" s="42"/>
      <c r="AA277" s="42"/>
      <c r="AB277" s="42"/>
      <c r="AC277" s="36"/>
      <c r="AD277" s="42"/>
    </row>
    <row r="278" spans="2:30" ht="14.25" customHeight="1" x14ac:dyDescent="0.3">
      <c r="B278" s="36"/>
      <c r="C278" s="36"/>
      <c r="D278" s="42"/>
      <c r="E278" s="42"/>
      <c r="F278" s="42"/>
      <c r="G278" s="42"/>
      <c r="H278" s="42"/>
      <c r="I278" s="36"/>
      <c r="J278" s="42"/>
      <c r="L278" s="36"/>
      <c r="M278" s="36"/>
      <c r="N278" s="42"/>
      <c r="O278" s="42"/>
      <c r="P278" s="42"/>
      <c r="Q278" s="42"/>
      <c r="R278" s="42"/>
      <c r="S278" s="36"/>
      <c r="T278" s="42"/>
      <c r="V278" s="36"/>
      <c r="W278" s="36"/>
      <c r="X278" s="42"/>
      <c r="Y278" s="42"/>
      <c r="Z278" s="42"/>
      <c r="AA278" s="42"/>
      <c r="AB278" s="42"/>
      <c r="AC278" s="36"/>
      <c r="AD278" s="42"/>
    </row>
    <row r="279" spans="2:30" ht="14.25" customHeight="1" x14ac:dyDescent="0.3">
      <c r="B279" s="36"/>
      <c r="C279" s="36"/>
      <c r="D279" s="42"/>
      <c r="E279" s="42"/>
      <c r="F279" s="42"/>
      <c r="G279" s="42"/>
      <c r="H279" s="42"/>
      <c r="I279" s="36"/>
      <c r="J279" s="42"/>
      <c r="L279" s="36"/>
      <c r="M279" s="36"/>
      <c r="N279" s="42"/>
      <c r="O279" s="42"/>
      <c r="P279" s="42"/>
      <c r="Q279" s="42"/>
      <c r="R279" s="42"/>
      <c r="S279" s="36"/>
      <c r="T279" s="42"/>
      <c r="V279" s="36"/>
      <c r="W279" s="36"/>
      <c r="X279" s="42"/>
      <c r="Y279" s="42"/>
      <c r="Z279" s="42"/>
      <c r="AA279" s="42"/>
      <c r="AB279" s="42"/>
      <c r="AC279" s="36"/>
      <c r="AD279" s="42"/>
    </row>
    <row r="280" spans="2:30" ht="14.25" customHeight="1" x14ac:dyDescent="0.3">
      <c r="B280" s="36"/>
      <c r="C280" s="36"/>
      <c r="D280" s="42"/>
      <c r="E280" s="42"/>
      <c r="F280" s="42"/>
      <c r="G280" s="42"/>
      <c r="H280" s="42"/>
      <c r="I280" s="36"/>
      <c r="J280" s="42"/>
      <c r="L280" s="36"/>
      <c r="M280" s="36"/>
      <c r="N280" s="42"/>
      <c r="O280" s="42"/>
      <c r="P280" s="42"/>
      <c r="Q280" s="42"/>
      <c r="R280" s="42"/>
      <c r="S280" s="36"/>
      <c r="T280" s="42"/>
      <c r="V280" s="36"/>
      <c r="W280" s="36"/>
      <c r="X280" s="42"/>
      <c r="Y280" s="42"/>
      <c r="Z280" s="42"/>
      <c r="AA280" s="42"/>
      <c r="AB280" s="42"/>
      <c r="AC280" s="36"/>
      <c r="AD280" s="42"/>
    </row>
    <row r="281" spans="2:30" ht="14.25" customHeight="1" x14ac:dyDescent="0.3">
      <c r="B281" s="36"/>
      <c r="C281" s="36"/>
      <c r="D281" s="42"/>
      <c r="E281" s="42"/>
      <c r="F281" s="42"/>
      <c r="G281" s="42"/>
      <c r="H281" s="42"/>
      <c r="I281" s="36"/>
      <c r="J281" s="42"/>
      <c r="L281" s="36"/>
      <c r="M281" s="36"/>
      <c r="N281" s="42"/>
      <c r="O281" s="42"/>
      <c r="P281" s="42"/>
      <c r="Q281" s="42"/>
      <c r="R281" s="42"/>
      <c r="S281" s="36"/>
      <c r="T281" s="42"/>
      <c r="V281" s="36"/>
      <c r="W281" s="36"/>
      <c r="X281" s="42"/>
      <c r="Y281" s="42"/>
      <c r="Z281" s="42"/>
      <c r="AA281" s="42"/>
      <c r="AB281" s="42"/>
      <c r="AC281" s="36"/>
      <c r="AD281" s="42"/>
    </row>
    <row r="282" spans="2:30" ht="14.25" customHeight="1" x14ac:dyDescent="0.3">
      <c r="B282" s="36"/>
      <c r="C282" s="36"/>
      <c r="D282" s="42"/>
      <c r="E282" s="42"/>
      <c r="F282" s="42"/>
      <c r="G282" s="42"/>
      <c r="H282" s="42"/>
      <c r="I282" s="36"/>
      <c r="J282" s="42"/>
      <c r="L282" s="36"/>
      <c r="M282" s="36"/>
      <c r="N282" s="42"/>
      <c r="O282" s="42"/>
      <c r="P282" s="42"/>
      <c r="Q282" s="42"/>
      <c r="R282" s="42"/>
      <c r="S282" s="36"/>
      <c r="T282" s="42"/>
      <c r="V282" s="36"/>
      <c r="W282" s="36"/>
      <c r="X282" s="42"/>
      <c r="Y282" s="42"/>
      <c r="Z282" s="42"/>
      <c r="AA282" s="42"/>
      <c r="AB282" s="42"/>
      <c r="AC282" s="36"/>
      <c r="AD282" s="42"/>
    </row>
    <row r="283" spans="2:30" ht="14.25" customHeight="1" x14ac:dyDescent="0.3">
      <c r="B283" s="36"/>
      <c r="C283" s="36"/>
      <c r="D283" s="42"/>
      <c r="E283" s="42"/>
      <c r="F283" s="42"/>
      <c r="G283" s="42"/>
      <c r="H283" s="42"/>
      <c r="I283" s="36"/>
      <c r="J283" s="42"/>
      <c r="L283" s="36"/>
      <c r="M283" s="36"/>
      <c r="N283" s="42"/>
      <c r="O283" s="42"/>
      <c r="P283" s="42"/>
      <c r="Q283" s="42"/>
      <c r="R283" s="42"/>
      <c r="S283" s="36"/>
      <c r="T283" s="42"/>
      <c r="V283" s="36"/>
      <c r="W283" s="36"/>
      <c r="X283" s="42"/>
      <c r="Y283" s="42"/>
      <c r="Z283" s="42"/>
      <c r="AA283" s="42"/>
      <c r="AB283" s="42"/>
      <c r="AC283" s="36"/>
      <c r="AD283" s="42"/>
    </row>
    <row r="284" spans="2:30" ht="14.25" customHeight="1" x14ac:dyDescent="0.3">
      <c r="B284" s="36"/>
      <c r="C284" s="36"/>
      <c r="D284" s="42"/>
      <c r="E284" s="42"/>
      <c r="F284" s="42"/>
      <c r="G284" s="42"/>
      <c r="H284" s="42"/>
      <c r="I284" s="36"/>
      <c r="J284" s="42"/>
      <c r="L284" s="36"/>
      <c r="M284" s="36"/>
      <c r="N284" s="42"/>
      <c r="O284" s="42"/>
      <c r="P284" s="42"/>
      <c r="Q284" s="42"/>
      <c r="R284" s="42"/>
      <c r="S284" s="36"/>
      <c r="T284" s="42"/>
      <c r="V284" s="36"/>
      <c r="W284" s="36"/>
      <c r="X284" s="42"/>
      <c r="Y284" s="42"/>
      <c r="Z284" s="42"/>
      <c r="AA284" s="42"/>
      <c r="AB284" s="42"/>
      <c r="AC284" s="36"/>
      <c r="AD284" s="42"/>
    </row>
    <row r="285" spans="2:30" ht="14.25" customHeight="1" x14ac:dyDescent="0.3">
      <c r="B285" s="36"/>
      <c r="C285" s="36"/>
      <c r="D285" s="42"/>
      <c r="E285" s="42"/>
      <c r="F285" s="42"/>
      <c r="G285" s="42"/>
      <c r="H285" s="42"/>
      <c r="I285" s="36"/>
      <c r="J285" s="42"/>
      <c r="L285" s="36"/>
      <c r="M285" s="36"/>
      <c r="N285" s="42"/>
      <c r="O285" s="42"/>
      <c r="P285" s="42"/>
      <c r="Q285" s="42"/>
      <c r="R285" s="42"/>
      <c r="S285" s="36"/>
      <c r="T285" s="42"/>
      <c r="V285" s="36"/>
      <c r="W285" s="36"/>
      <c r="X285" s="42"/>
      <c r="Y285" s="42"/>
      <c r="Z285" s="42"/>
      <c r="AA285" s="42"/>
      <c r="AB285" s="42"/>
      <c r="AC285" s="36"/>
      <c r="AD285" s="42"/>
    </row>
    <row r="286" spans="2:30" ht="14.25" customHeight="1" x14ac:dyDescent="0.3">
      <c r="B286" s="36"/>
      <c r="C286" s="36"/>
      <c r="D286" s="42"/>
      <c r="E286" s="42"/>
      <c r="F286" s="42"/>
      <c r="G286" s="42"/>
      <c r="H286" s="42"/>
      <c r="I286" s="36"/>
      <c r="J286" s="42"/>
      <c r="L286" s="36"/>
      <c r="M286" s="36"/>
      <c r="N286" s="42"/>
      <c r="O286" s="42"/>
      <c r="P286" s="42"/>
      <c r="Q286" s="42"/>
      <c r="R286" s="42"/>
      <c r="S286" s="36"/>
      <c r="T286" s="42"/>
      <c r="V286" s="36"/>
      <c r="W286" s="36"/>
      <c r="X286" s="42"/>
      <c r="Y286" s="42"/>
      <c r="Z286" s="42"/>
      <c r="AA286" s="42"/>
      <c r="AB286" s="42"/>
      <c r="AC286" s="36"/>
      <c r="AD286" s="42"/>
    </row>
    <row r="287" spans="2:30" ht="14.25" customHeight="1" x14ac:dyDescent="0.3">
      <c r="B287" s="36"/>
      <c r="C287" s="36"/>
      <c r="D287" s="42"/>
      <c r="E287" s="42"/>
      <c r="F287" s="42"/>
      <c r="G287" s="42"/>
      <c r="H287" s="42"/>
      <c r="I287" s="36"/>
      <c r="J287" s="42"/>
      <c r="L287" s="36"/>
      <c r="M287" s="36"/>
      <c r="N287" s="42"/>
      <c r="O287" s="42"/>
      <c r="P287" s="42"/>
      <c r="Q287" s="42"/>
      <c r="R287" s="42"/>
      <c r="S287" s="36"/>
      <c r="T287" s="42"/>
      <c r="V287" s="36"/>
      <c r="W287" s="36"/>
      <c r="X287" s="42"/>
      <c r="Y287" s="42"/>
      <c r="Z287" s="42"/>
      <c r="AA287" s="42"/>
      <c r="AB287" s="42"/>
      <c r="AC287" s="36"/>
      <c r="AD287" s="42"/>
    </row>
    <row r="288" spans="2:30" ht="14.25" customHeight="1" x14ac:dyDescent="0.3">
      <c r="B288" s="36"/>
      <c r="C288" s="36"/>
      <c r="D288" s="42"/>
      <c r="E288" s="42"/>
      <c r="F288" s="42"/>
      <c r="G288" s="42"/>
      <c r="H288" s="42"/>
      <c r="I288" s="36"/>
      <c r="J288" s="42"/>
      <c r="L288" s="36"/>
      <c r="M288" s="36"/>
      <c r="N288" s="42"/>
      <c r="O288" s="42"/>
      <c r="P288" s="42"/>
      <c r="Q288" s="42"/>
      <c r="R288" s="42"/>
      <c r="S288" s="36"/>
      <c r="T288" s="42"/>
      <c r="V288" s="36"/>
      <c r="W288" s="36"/>
      <c r="X288" s="42"/>
      <c r="Y288" s="42"/>
      <c r="Z288" s="42"/>
      <c r="AA288" s="42"/>
      <c r="AB288" s="42"/>
      <c r="AC288" s="36"/>
      <c r="AD288" s="42"/>
    </row>
    <row r="289" spans="2:30" ht="14.25" customHeight="1" x14ac:dyDescent="0.3">
      <c r="B289" s="36"/>
      <c r="C289" s="36"/>
      <c r="D289" s="42"/>
      <c r="E289" s="42"/>
      <c r="F289" s="42"/>
      <c r="G289" s="42"/>
      <c r="H289" s="42"/>
      <c r="I289" s="36"/>
      <c r="J289" s="42"/>
      <c r="L289" s="36"/>
      <c r="M289" s="36"/>
      <c r="N289" s="42"/>
      <c r="O289" s="42"/>
      <c r="P289" s="42"/>
      <c r="Q289" s="42"/>
      <c r="R289" s="42"/>
      <c r="S289" s="36"/>
      <c r="T289" s="42"/>
      <c r="V289" s="36"/>
      <c r="W289" s="36"/>
      <c r="X289" s="42"/>
      <c r="Y289" s="42"/>
      <c r="Z289" s="42"/>
      <c r="AA289" s="42"/>
      <c r="AB289" s="42"/>
      <c r="AC289" s="36"/>
      <c r="AD289" s="42"/>
    </row>
    <row r="290" spans="2:30" ht="14.25" customHeight="1" x14ac:dyDescent="0.3">
      <c r="B290" s="36"/>
      <c r="C290" s="36"/>
      <c r="D290" s="42"/>
      <c r="E290" s="42"/>
      <c r="F290" s="42"/>
      <c r="G290" s="42"/>
      <c r="H290" s="42"/>
      <c r="I290" s="36"/>
      <c r="J290" s="42"/>
      <c r="L290" s="36"/>
      <c r="M290" s="36"/>
      <c r="N290" s="42"/>
      <c r="O290" s="42"/>
      <c r="P290" s="42"/>
      <c r="Q290" s="42"/>
      <c r="R290" s="42"/>
      <c r="S290" s="36"/>
      <c r="T290" s="42"/>
      <c r="V290" s="36"/>
      <c r="W290" s="36"/>
      <c r="X290" s="42"/>
      <c r="Y290" s="42"/>
      <c r="Z290" s="42"/>
      <c r="AA290" s="42"/>
      <c r="AB290" s="42"/>
      <c r="AC290" s="36"/>
      <c r="AD290" s="42"/>
    </row>
    <row r="291" spans="2:30" ht="14.25" customHeight="1" x14ac:dyDescent="0.3">
      <c r="B291" s="36"/>
      <c r="C291" s="36"/>
      <c r="D291" s="42"/>
      <c r="E291" s="42"/>
      <c r="F291" s="42"/>
      <c r="G291" s="42"/>
      <c r="H291" s="42"/>
      <c r="I291" s="36"/>
      <c r="J291" s="42"/>
    </row>
    <row r="292" spans="2:30" ht="14.25" customHeight="1" x14ac:dyDescent="0.3">
      <c r="B292" s="36"/>
      <c r="C292" s="36"/>
      <c r="D292" s="42"/>
      <c r="E292" s="42"/>
      <c r="F292" s="42"/>
      <c r="G292" s="42"/>
      <c r="H292" s="42"/>
      <c r="I292" s="36"/>
      <c r="J292" s="42"/>
    </row>
    <row r="293" spans="2:30" ht="14.25" customHeight="1" x14ac:dyDescent="0.3">
      <c r="B293" s="36"/>
      <c r="C293" s="36"/>
      <c r="D293" s="42"/>
      <c r="E293" s="42"/>
      <c r="F293" s="42"/>
      <c r="G293" s="42"/>
      <c r="H293" s="42"/>
      <c r="I293" s="36"/>
      <c r="J293" s="42"/>
    </row>
  </sheetData>
  <mergeCells count="7">
    <mergeCell ref="B46:I46"/>
    <mergeCell ref="B1:AD1"/>
    <mergeCell ref="AF1:AG1"/>
    <mergeCell ref="B2:AD2"/>
    <mergeCell ref="B3:I3"/>
    <mergeCell ref="L3:S3"/>
    <mergeCell ref="V3:AC3"/>
  </mergeCells>
  <conditionalFormatting sqref="B5:E44">
    <cfRule type="expression" dxfId="25" priority="32">
      <formula>ISEVEN($B5)</formula>
    </cfRule>
  </conditionalFormatting>
  <conditionalFormatting sqref="B48:E84">
    <cfRule type="expression" dxfId="24" priority="8">
      <formula>ISEVEN($B48)</formula>
    </cfRule>
  </conditionalFormatting>
  <conditionalFormatting sqref="B5:I44">
    <cfRule type="expression" dxfId="23" priority="28">
      <formula>$I5="x"</formula>
    </cfRule>
    <cfRule type="expression" dxfId="22" priority="29">
      <formula>$I5="o"</formula>
    </cfRule>
  </conditionalFormatting>
  <conditionalFormatting sqref="B48:I84">
    <cfRule type="expression" dxfId="21" priority="4">
      <formula>$I48="x"</formula>
    </cfRule>
    <cfRule type="expression" dxfId="20" priority="5">
      <formula>$I48="o"</formula>
    </cfRule>
  </conditionalFormatting>
  <conditionalFormatting sqref="C5:C44">
    <cfRule type="expression" dxfId="19" priority="30">
      <formula>$C5=$AG$5</formula>
    </cfRule>
  </conditionalFormatting>
  <conditionalFormatting sqref="C48:C84">
    <cfRule type="expression" dxfId="18" priority="6">
      <formula>$C48=$AG$5</formula>
    </cfRule>
  </conditionalFormatting>
  <conditionalFormatting sqref="F5:F44">
    <cfRule type="colorScale" priority="31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F48:F84">
    <cfRule type="colorScale" priority="7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G5:G44">
    <cfRule type="expression" dxfId="17" priority="26">
      <formula>OR($I5="x",$I5="o")</formula>
    </cfRule>
    <cfRule type="colorScale" priority="27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G48:G84">
    <cfRule type="expression" dxfId="16" priority="2">
      <formula>OR($I48="x",$I48="o")</formula>
    </cfRule>
    <cfRule type="colorScale" priority="3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H5:H44">
    <cfRule type="expression" dxfId="15" priority="33">
      <formula>ISEVEN($B5)</formula>
    </cfRule>
  </conditionalFormatting>
  <conditionalFormatting sqref="H48:H84">
    <cfRule type="expression" dxfId="14" priority="9">
      <formula>ISEVEN($B48)</formula>
    </cfRule>
  </conditionalFormatting>
  <conditionalFormatting sqref="L5:O84">
    <cfRule type="expression" dxfId="13" priority="24">
      <formula>ISEVEN($L5)</formula>
    </cfRule>
  </conditionalFormatting>
  <conditionalFormatting sqref="L5:S84">
    <cfRule type="expression" dxfId="12" priority="20">
      <formula>$S5="x"</formula>
    </cfRule>
    <cfRule type="expression" dxfId="11" priority="21">
      <formula>$S5="o"</formula>
    </cfRule>
  </conditionalFormatting>
  <conditionalFormatting sqref="M5:M84">
    <cfRule type="expression" dxfId="10" priority="22">
      <formula>$M5=$AG$5</formula>
    </cfRule>
  </conditionalFormatting>
  <conditionalFormatting sqref="P5:P84">
    <cfRule type="colorScale" priority="23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Q5:Q84">
    <cfRule type="expression" dxfId="9" priority="18">
      <formula>OR($S5="x",$S5="o")</formula>
    </cfRule>
    <cfRule type="colorScale" priority="19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R5:R84">
    <cfRule type="expression" dxfId="8" priority="25">
      <formula>ISEVEN($L5)</formula>
    </cfRule>
  </conditionalFormatting>
  <conditionalFormatting sqref="V5:Y84">
    <cfRule type="expression" dxfId="7" priority="16">
      <formula>ISEVEN($V5)</formula>
    </cfRule>
  </conditionalFormatting>
  <conditionalFormatting sqref="V5:AC84">
    <cfRule type="expression" dxfId="6" priority="12">
      <formula>$AC5="x"</formula>
    </cfRule>
    <cfRule type="expression" dxfId="5" priority="13">
      <formula>$AC5="o"</formula>
    </cfRule>
  </conditionalFormatting>
  <conditionalFormatting sqref="W5:W84">
    <cfRule type="expression" dxfId="4" priority="14">
      <formula>$W5=$AG$5</formula>
    </cfRule>
  </conditionalFormatting>
  <conditionalFormatting sqref="Z5:Z84">
    <cfRule type="colorScale" priority="15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AA5:AA84">
    <cfRule type="expression" dxfId="3" priority="10">
      <formula>OR($AC5="x",$AC5="o")</formula>
    </cfRule>
    <cfRule type="colorScale" priority="11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AB5:AB84">
    <cfRule type="expression" dxfId="2" priority="17">
      <formula>ISEVEN($V5)</formula>
    </cfRule>
  </conditionalFormatting>
  <dataValidations count="1">
    <dataValidation type="list" allowBlank="1" showErrorMessage="1" errorTitle="Invalid entry" error="Only &quot;x&quot; (drafted by someone else) or &quot;o&quot; (drafted by you) allowed." sqref="J5:J44 T5:T84 AD5:AD84 J48:J84" xr:uid="{00000000-0002-0000-0100-000000000000}">
      <formula1>"x,o"</formula1>
      <formula2>0</formula2>
    </dataValidation>
  </dataValidations>
  <pageMargins left="0.25" right="0.25" top="0.75" bottom="0.75" header="0.511811023622047" footer="0.511811023622047"/>
  <pageSetup orientation="portrait" horizontalDpi="300" verticalDpi="300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G832"/>
  <sheetViews>
    <sheetView topLeftCell="M1" zoomScale="70" zoomScaleNormal="70" workbookViewId="0">
      <selection activeCell="W18" sqref="W18"/>
    </sheetView>
  </sheetViews>
  <sheetFormatPr defaultColWidth="11" defaultRowHeight="14.4" x14ac:dyDescent="0.3"/>
  <cols>
    <col min="1" max="1" width="8.5546875" customWidth="1"/>
    <col min="2" max="2" width="20.77734375" customWidth="1"/>
    <col min="3" max="3" width="12" customWidth="1"/>
    <col min="4" max="4" width="10.5546875" customWidth="1"/>
    <col min="5" max="5" width="16" customWidth="1"/>
    <col min="6" max="6" width="11.5546875" customWidth="1"/>
    <col min="7" max="7" width="10.88671875" customWidth="1"/>
    <col min="8" max="8" width="11.88671875" customWidth="1"/>
    <col min="9" max="9" width="22.33203125" customWidth="1"/>
    <col min="10" max="10" width="10.88671875" customWidth="1"/>
    <col min="11" max="12" width="10.5546875" customWidth="1"/>
    <col min="13" max="13" width="19.77734375" customWidth="1"/>
    <col min="14" max="14" width="5" customWidth="1"/>
    <col min="15" max="15" width="8.5546875" customWidth="1"/>
    <col min="16" max="16" width="20.109375" customWidth="1"/>
    <col min="17" max="17" width="12" customWidth="1"/>
    <col min="18" max="18" width="10.5546875" customWidth="1"/>
    <col min="19" max="19" width="16" customWidth="1"/>
    <col min="20" max="20" width="11.5546875" customWidth="1"/>
    <col min="21" max="21" width="10.88671875" customWidth="1"/>
    <col min="22" max="22" width="11.88671875" customWidth="1"/>
    <col min="23" max="23" width="22.33203125" customWidth="1"/>
    <col min="24" max="24" width="10.88671875" customWidth="1"/>
    <col min="25" max="25" width="13.88671875" customWidth="1"/>
    <col min="26" max="26" width="10.5546875" customWidth="1"/>
    <col min="27" max="27" width="19.77734375" style="48" customWidth="1"/>
    <col min="28" max="28" width="4.44140625" customWidth="1"/>
    <col min="29" max="29" width="8.5546875" customWidth="1"/>
    <col min="30" max="30" width="20.21875" customWidth="1"/>
    <col min="31" max="31" width="12" customWidth="1"/>
    <col min="32" max="32" width="10.5546875" style="48" customWidth="1"/>
    <col min="33" max="33" width="16" style="48" customWidth="1"/>
    <col min="34" max="34" width="11.5546875" style="48" customWidth="1"/>
    <col min="35" max="35" width="10.88671875" style="48" customWidth="1"/>
    <col min="36" max="36" width="11.88671875" style="48" customWidth="1"/>
    <col min="37" max="37" width="22.33203125" style="48" customWidth="1"/>
    <col min="38" max="38" width="10.88671875" style="48" customWidth="1"/>
    <col min="39" max="39" width="13.88671875" style="48" customWidth="1"/>
    <col min="40" max="40" width="10.5546875" customWidth="1"/>
    <col min="41" max="41" width="19.77734375" customWidth="1"/>
    <col min="42" max="42" width="7.6640625" customWidth="1"/>
    <col min="43" max="43" width="8.5546875" customWidth="1"/>
    <col min="44" max="44" width="16.6640625" customWidth="1"/>
    <col min="45" max="45" width="12" customWidth="1"/>
    <col min="46" max="46" width="10.5546875" style="48" customWidth="1"/>
    <col min="47" max="47" width="16" style="48" customWidth="1"/>
    <col min="48" max="48" width="11.5546875" style="48" customWidth="1"/>
    <col min="49" max="49" width="10.88671875" style="48" customWidth="1"/>
    <col min="50" max="50" width="11.88671875" style="48" customWidth="1"/>
    <col min="51" max="51" width="22.33203125" style="48" customWidth="1"/>
    <col min="52" max="52" width="10.88671875" style="48" customWidth="1"/>
    <col min="53" max="53" width="13.88671875" style="48" customWidth="1"/>
    <col min="54" max="54" width="10.5546875" customWidth="1"/>
    <col min="55" max="55" width="19.77734375" style="48" customWidth="1"/>
    <col min="56" max="56" width="10.44140625" style="48" customWidth="1"/>
    <col min="57" max="57" width="3.88671875" style="48" customWidth="1"/>
    <col min="58" max="58" width="7.77734375" style="48" bestFit="1" customWidth="1"/>
    <col min="59" max="59" width="6.33203125" style="48" bestFit="1" customWidth="1"/>
    <col min="60" max="60" width="5" style="49" bestFit="1" customWidth="1"/>
    <col min="61" max="61" width="6.6640625" style="49" bestFit="1" customWidth="1"/>
    <col min="62" max="62" width="4.109375" style="49" bestFit="1" customWidth="1"/>
    <col min="63" max="63" width="7.44140625" style="49" bestFit="1" customWidth="1"/>
    <col min="64" max="64" width="6" style="49" bestFit="1" customWidth="1"/>
    <col min="65" max="66" width="6.6640625" style="49" bestFit="1" customWidth="1"/>
    <col min="67" max="67" width="4.109375" style="49" bestFit="1" customWidth="1"/>
    <col min="68" max="68" width="8" style="49" bestFit="1" customWidth="1"/>
    <col min="69" max="69" width="6.6640625" style="49" bestFit="1" customWidth="1"/>
    <col min="70" max="70" width="6" style="49" bestFit="1" customWidth="1"/>
    <col min="71" max="71" width="6.88671875" style="49" bestFit="1" customWidth="1"/>
    <col min="72" max="72" width="4.88671875" style="49" bestFit="1" customWidth="1"/>
    <col min="73" max="73" width="7.21875" style="49" bestFit="1" customWidth="1"/>
    <col min="74" max="74" width="5.77734375" style="49" bestFit="1" customWidth="1"/>
    <col min="75" max="75" width="6.6640625" style="49" bestFit="1" customWidth="1"/>
    <col min="76" max="76" width="6.109375" style="49" bestFit="1" customWidth="1"/>
    <col min="77" max="77" width="6" style="49" bestFit="1" customWidth="1"/>
    <col min="78" max="78" width="13.33203125" style="49" customWidth="1"/>
    <col min="79" max="79" width="4.44140625" style="49" customWidth="1"/>
    <col min="80" max="80" width="13.33203125" style="49" customWidth="1"/>
    <col min="81" max="81" width="6" style="49" customWidth="1"/>
    <col min="82" max="82" width="13.33203125" style="49" customWidth="1"/>
    <col min="83" max="85" width="11" style="49"/>
    <col min="86" max="16384" width="11" style="48"/>
  </cols>
  <sheetData>
    <row r="1" spans="1:85" ht="14.25" customHeight="1" thickBot="1" x14ac:dyDescent="0.35">
      <c r="A1" s="48" t="s">
        <v>348</v>
      </c>
      <c r="B1" s="48">
        <f>Scoring!B43</f>
        <v>14</v>
      </c>
      <c r="C1" s="49">
        <f>MAX(LARGE(I3:I50, $B$1),Q1,AE1,AS1)</f>
        <v>262.3312847058823</v>
      </c>
      <c r="D1" s="48"/>
      <c r="E1" s="48"/>
      <c r="F1" s="48"/>
      <c r="G1" s="48"/>
      <c r="H1" s="48"/>
      <c r="I1" s="50"/>
      <c r="J1" s="50">
        <f>SUMIF(Table2[VBD],"&gt;0")</f>
        <v>213.8619483372554</v>
      </c>
      <c r="K1" s="50"/>
      <c r="L1" s="50"/>
      <c r="M1" s="50"/>
      <c r="N1" s="50"/>
      <c r="O1" s="48" t="s">
        <v>348</v>
      </c>
      <c r="P1" s="48">
        <f>Scoring!C43</f>
        <v>38</v>
      </c>
      <c r="Q1" s="50">
        <f>LARGE($W$3:$W$102,P1)</f>
        <v>114.15447794117647</v>
      </c>
      <c r="R1" s="48"/>
      <c r="S1" s="48"/>
      <c r="T1" s="48"/>
      <c r="U1" s="48"/>
      <c r="V1" s="48"/>
      <c r="W1" s="50"/>
      <c r="X1" s="50">
        <f>SUMIF(Table4[VBD],"&gt;0")</f>
        <v>2292.8675487546666</v>
      </c>
      <c r="Y1" s="50"/>
      <c r="Z1" s="50"/>
      <c r="AA1" s="50"/>
      <c r="AB1" s="48"/>
      <c r="AC1" s="48" t="s">
        <v>348</v>
      </c>
      <c r="AD1" s="48">
        <f>Scoring!D43</f>
        <v>39</v>
      </c>
      <c r="AE1" s="50">
        <f>LARGE(Table6[Zscore Projection],AD1)</f>
        <v>114.70389798957558</v>
      </c>
      <c r="AI1" s="50"/>
      <c r="AK1" s="50"/>
      <c r="AL1" s="50">
        <f>SUMIF(Table6[VBD],"&gt;0")</f>
        <v>1785.7717171735214</v>
      </c>
      <c r="AM1" s="50"/>
      <c r="AN1" s="50"/>
      <c r="AO1" s="50"/>
      <c r="AP1" s="48"/>
      <c r="AQ1" s="48" t="s">
        <v>348</v>
      </c>
      <c r="AR1" s="48">
        <f>Scoring!E43</f>
        <v>14</v>
      </c>
      <c r="AS1" s="50">
        <f>IF(AR1=0,AE1,LARGE($AY$3:$AY$202,AR1))</f>
        <v>107.91484619607844</v>
      </c>
      <c r="AZ1" s="50">
        <f>SUMIF(Table7[VBD],"&gt;0")</f>
        <v>297.37413982352939</v>
      </c>
      <c r="BA1" s="50"/>
      <c r="BB1" s="50"/>
      <c r="BC1" s="50"/>
      <c r="BD1" s="50"/>
    </row>
    <row r="2" spans="1:85" ht="14.25" customHeight="1" thickBot="1" x14ac:dyDescent="0.35">
      <c r="A2" s="51"/>
      <c r="B2" s="52" t="s">
        <v>349</v>
      </c>
      <c r="C2" s="51" t="s">
        <v>350</v>
      </c>
      <c r="D2" s="51" t="s">
        <v>351</v>
      </c>
      <c r="E2" s="51" t="s">
        <v>352</v>
      </c>
      <c r="F2" s="51" t="s">
        <v>353</v>
      </c>
      <c r="G2" s="51" t="s">
        <v>354</v>
      </c>
      <c r="H2" s="51" t="s">
        <v>355</v>
      </c>
      <c r="I2" s="51" t="s">
        <v>356</v>
      </c>
      <c r="J2" s="51" t="s">
        <v>357</v>
      </c>
      <c r="K2" s="51" t="s">
        <v>358</v>
      </c>
      <c r="L2" s="51" t="s">
        <v>359</v>
      </c>
      <c r="M2" s="51" t="s">
        <v>360</v>
      </c>
      <c r="N2" s="48"/>
      <c r="O2" s="51"/>
      <c r="P2" s="52" t="s">
        <v>349</v>
      </c>
      <c r="Q2" s="51" t="s">
        <v>350</v>
      </c>
      <c r="R2" s="51" t="s">
        <v>351</v>
      </c>
      <c r="S2" s="51" t="s">
        <v>352</v>
      </c>
      <c r="T2" s="51" t="s">
        <v>353</v>
      </c>
      <c r="U2" s="51" t="s">
        <v>354</v>
      </c>
      <c r="V2" s="51" t="s">
        <v>355</v>
      </c>
      <c r="W2" s="51" t="s">
        <v>356</v>
      </c>
      <c r="X2" s="51" t="s">
        <v>357</v>
      </c>
      <c r="Y2" s="51" t="s">
        <v>361</v>
      </c>
      <c r="Z2" s="51" t="s">
        <v>359</v>
      </c>
      <c r="AA2" s="51" t="s">
        <v>360</v>
      </c>
      <c r="AB2" s="48"/>
      <c r="AC2" s="53"/>
      <c r="AD2" s="53" t="s">
        <v>349</v>
      </c>
      <c r="AE2" s="53" t="s">
        <v>350</v>
      </c>
      <c r="AF2" s="53" t="s">
        <v>351</v>
      </c>
      <c r="AG2" s="53" t="s">
        <v>352</v>
      </c>
      <c r="AH2" s="53" t="s">
        <v>353</v>
      </c>
      <c r="AI2" s="53" t="s">
        <v>354</v>
      </c>
      <c r="AJ2" s="54" t="s">
        <v>355</v>
      </c>
      <c r="AK2" s="51" t="s">
        <v>356</v>
      </c>
      <c r="AL2" s="51" t="s">
        <v>357</v>
      </c>
      <c r="AM2" s="51" t="s">
        <v>361</v>
      </c>
      <c r="AN2" s="55" t="s">
        <v>359</v>
      </c>
      <c r="AO2" s="55" t="s">
        <v>360</v>
      </c>
      <c r="AP2" s="48"/>
      <c r="AQ2" s="53"/>
      <c r="AR2" s="53" t="s">
        <v>349</v>
      </c>
      <c r="AS2" s="53" t="s">
        <v>350</v>
      </c>
      <c r="AT2" s="53" t="s">
        <v>351</v>
      </c>
      <c r="AU2" s="53" t="s">
        <v>352</v>
      </c>
      <c r="AV2" s="53" t="s">
        <v>353</v>
      </c>
      <c r="AW2" s="53" t="s">
        <v>354</v>
      </c>
      <c r="AX2" s="54" t="s">
        <v>355</v>
      </c>
      <c r="AY2" s="51" t="s">
        <v>356</v>
      </c>
      <c r="AZ2" s="51" t="s">
        <v>357</v>
      </c>
      <c r="BA2" s="51" t="s">
        <v>361</v>
      </c>
      <c r="BB2" s="55" t="s">
        <v>359</v>
      </c>
      <c r="BC2" s="55" t="s">
        <v>360</v>
      </c>
      <c r="BD2" s="55" t="s">
        <v>362</v>
      </c>
      <c r="BF2" s="107" t="s">
        <v>1468</v>
      </c>
      <c r="BG2" s="108" t="s">
        <v>1470</v>
      </c>
      <c r="BH2" s="109" t="s">
        <v>1462</v>
      </c>
      <c r="BI2" s="109" t="s">
        <v>1463</v>
      </c>
      <c r="BJ2" s="110" t="s">
        <v>359</v>
      </c>
      <c r="BK2" s="111" t="s">
        <v>1467</v>
      </c>
      <c r="BL2" s="109" t="s">
        <v>1471</v>
      </c>
      <c r="BM2" s="109" t="s">
        <v>95</v>
      </c>
      <c r="BN2" s="109" t="s">
        <v>1461</v>
      </c>
      <c r="BO2" s="110" t="s">
        <v>359</v>
      </c>
      <c r="BP2" s="111" t="s">
        <v>1466</v>
      </c>
      <c r="BQ2" s="109" t="s">
        <v>1472</v>
      </c>
      <c r="BR2" s="109" t="s">
        <v>98</v>
      </c>
      <c r="BS2" s="109" t="s">
        <v>1464</v>
      </c>
      <c r="BT2" s="110" t="s">
        <v>359</v>
      </c>
      <c r="BU2" s="111" t="s">
        <v>1469</v>
      </c>
      <c r="BV2" s="109" t="s">
        <v>1473</v>
      </c>
      <c r="BW2" s="109" t="s">
        <v>119</v>
      </c>
      <c r="BX2" s="109" t="s">
        <v>1465</v>
      </c>
      <c r="BY2" s="110" t="s">
        <v>359</v>
      </c>
    </row>
    <row r="3" spans="1:85" s="62" customFormat="1" ht="14.25" customHeight="1" x14ac:dyDescent="0.3">
      <c r="A3" s="56" t="s">
        <v>363</v>
      </c>
      <c r="B3" s="56" t="str">
        <f>VLOOKUP(A3,ECR!E:L,8,FALSE())</f>
        <v>Josh Allen</v>
      </c>
      <c r="C3" s="46" t="str">
        <f>IFERROR(VLOOKUP(Table2[[#This Row],[PLAYER]],ECR!C:F,2,FALSE()),"-")</f>
        <v>BUF</v>
      </c>
      <c r="D3" s="46">
        <f>IFERROR(VLOOKUP(Table2[[#This Row],[PLAYER]],ECR!C:F,4,FALSE()),"-")</f>
        <v>7</v>
      </c>
      <c r="E3" s="46" t="str">
        <f>Table2[[#This Row],[Team]] &amp; "/" &amp; Table2[[#This Row],[Bye]]</f>
        <v>BUF/7</v>
      </c>
      <c r="F3" s="57">
        <f>IFERROR(VLOOKUP(Table2[[#This Row],[PLAYER]],QB!A:Q,15,FALSE())/17*(17-Table2[[#This Row],[Missed Games]]),0)</f>
        <v>304.17057176470593</v>
      </c>
      <c r="G3" s="57">
        <f>IFERROR(VLOOKUP(Table2[[#This Row],[PLAYER]],QB!A:Q,16,FALSE())/17*(17-Table2[[#This Row],[Missed Games]]),0)</f>
        <v>324.54665600000004</v>
      </c>
      <c r="H3" s="57">
        <f>IFERROR(VLOOKUP(Table2[[#This Row],[PLAYER]],QB!A:Q,17,FALSE())/17*(17-Table2[[#This Row],[Missed Games]]),0)</f>
        <v>347.51045741176466</v>
      </c>
      <c r="I3" s="58">
        <f>AVERAGE(AVERAGE(Table2[[#This Row],[LOW]],Table2[[#This Row],[HIGH]]),Table2[[#This Row],[AVG]],VLOOKUP(Table2[[#This Row],[PLAYER]],ECR!L:N,3,FALSE))</f>
        <v>324.97794219607846</v>
      </c>
      <c r="J3" s="58">
        <f>Table2[[#This Row],[Zscore Projection]]-$C$1</f>
        <v>62.646657490196162</v>
      </c>
      <c r="K3" s="59">
        <f>MAX(Table2[[#This Row],[VBD]]*Scoring!$B$48+1,1)</f>
        <v>31.628086508441406</v>
      </c>
      <c r="L3" s="45">
        <f>VLOOKUP(Table2[[#This Row],[VBD]],BH:BJ,3,FALSE)</f>
        <v>1</v>
      </c>
      <c r="M3" s="60">
        <f>VLOOKUP(INDEX(ECR!$E:$E,MATCH(B3,ECR!$C:$C,0)),RISK!A:B,2,FALSE())</f>
        <v>2.1180000000000003</v>
      </c>
      <c r="N3" s="61"/>
      <c r="O3" s="45" t="s">
        <v>96</v>
      </c>
      <c r="P3" s="56" t="str">
        <f>VLOOKUP(O3,ECR!E:L,8,FALSE())</f>
        <v>Jahmyr Gibbs</v>
      </c>
      <c r="Q3" s="46" t="str">
        <f>IFERROR(VLOOKUP(Table4[[#This Row],[PLAYER]],ECR!C:F,2,FALSE()),"-")</f>
        <v>DET</v>
      </c>
      <c r="R3" s="46">
        <f>IFERROR(VLOOKUP(Table4[[#This Row],[PLAYER]],ECR!C:F,4,FALSE()),"-")</f>
        <v>6</v>
      </c>
      <c r="S3" s="46" t="str">
        <f>Table4[[#This Row],[Team]] &amp; "/" &amp; Table4[[#This Row],[Bye]]</f>
        <v>DET/6</v>
      </c>
      <c r="T3" s="57">
        <f>IFERROR(VLOOKUP(Table4[[#This Row],[PLAYER]],RB!A:Q,13,FALSE())/17*(17-Table4[[#This Row],[Missed Games]]),0)</f>
        <v>269.75536199999988</v>
      </c>
      <c r="U3" s="57">
        <f>IFERROR(VLOOKUP(Table4[[#This Row],[PLAYER]],RB!A:Q,14,FALSE())/17*(17-Table4[[#This Row],[Missed Games]]),0)</f>
        <v>291.33477105882349</v>
      </c>
      <c r="V3" s="57">
        <f>IFERROR(VLOOKUP(Table4[[#This Row],[PLAYER]],RB!A:Q,15,FALSE())/17*(17-Table4[[#This Row],[Missed Games]]),0)</f>
        <v>313.02466941176465</v>
      </c>
      <c r="W3" s="58">
        <f>AVERAGE(AVERAGE(Table4[[#This Row],[LOW]],Table4[[#This Row],[HIGH]]),Table4[[#This Row],[AVG]],VLOOKUP(Table4[[#This Row],[PLAYER]],ECR!L:N,3,FALSE))</f>
        <v>291.35318594117643</v>
      </c>
      <c r="X3" s="58">
        <f>Table4[[#This Row],[Zscore Projection]]-$Q$1</f>
        <v>177.19870799999995</v>
      </c>
      <c r="Y3" s="59">
        <f>MAX(Table4[[#This Row],[VBD]]*Scoring!$B$48+1,1)</f>
        <v>87.632832065419947</v>
      </c>
      <c r="Z3" s="45">
        <f>VLOOKUP(Table4[[#This Row],[VBD]],BM:BO,3,FALSE)</f>
        <v>1</v>
      </c>
      <c r="AA3" s="60">
        <f>VLOOKUP(INDEX(ECR!$E:$E,MATCH(P3,ECR!$C:$C,0)),RISK!A:B,2,FALSE())</f>
        <v>2.551400000000001</v>
      </c>
      <c r="AB3" s="61"/>
      <c r="AC3" s="46" t="s">
        <v>100</v>
      </c>
      <c r="AD3" s="46" t="str">
        <f>VLOOKUP(AC3,ECR!E:L,8,FALSE())</f>
        <v>Ja'Marr Chase</v>
      </c>
      <c r="AE3" s="46" t="str">
        <f>IFERROR(VLOOKUP(Table6[[#This Row],[PLAYER]],ECR!C:F,2,FALSE()),"-")</f>
        <v>CIN</v>
      </c>
      <c r="AF3" s="46">
        <f>IFERROR(VLOOKUP(Table6[[#This Row],[PLAYER]],ECR!C:F,4,FALSE()),"-")</f>
        <v>6</v>
      </c>
      <c r="AG3" s="46" t="str">
        <f>Table6[[#This Row],[Team]] &amp; "/" &amp; Table6[[#This Row],[Bye]]</f>
        <v>CIN/6</v>
      </c>
      <c r="AH3" s="57">
        <f>IFERROR(VLOOKUP(Table6[[#This Row],[PLAYER]],WR!A:Q,13,FALSE())/17*(17-Table6[[#This Row],[Missed Games]]),0)</f>
        <v>235.99467941176471</v>
      </c>
      <c r="AI3" s="57">
        <f>IFERROR(VLOOKUP(Table6[[#This Row],[PLAYER]],WR!A:Q,14,FALSE())/17*(17-Table6[[#This Row],[Missed Games]]),0)</f>
        <v>245.44338888235291</v>
      </c>
      <c r="AJ3" s="57">
        <f>IFERROR(VLOOKUP(Table6[[#This Row],[PLAYER]],WR!A:Q,15,FALSE())/17*(17-Table6[[#This Row],[Missed Games]]),0)</f>
        <v>255.16868947058825</v>
      </c>
      <c r="AK3" s="58">
        <f>AVERAGE(AVERAGE(Table6[[#This Row],[LOW]],Table6[[#This Row],[HIGH]]),Table6[[#This Row],[AVG]],VLOOKUP(Table6[[#This Row],[PLAYER]],ECR!L:N,3,FALSE))</f>
        <v>246.79194561764703</v>
      </c>
      <c r="AL3" s="58">
        <f>Table6[[#This Row],[Zscore Projection]]-$AE$1</f>
        <v>132.08804762807145</v>
      </c>
      <c r="AM3" s="59">
        <f>MAX(Table6[[#This Row],[VBD]]*Scoring!$B$48+1,1)</f>
        <v>65.578132522342699</v>
      </c>
      <c r="AN3" s="45">
        <f>VLOOKUP(Table6[[#This Row],[VBD]],BR:BT,3,FALSE)</f>
        <v>1</v>
      </c>
      <c r="AO3" s="60">
        <f>VLOOKUP(INDEX(ECR!$E:$E,MATCH(AD3,ECR!$C:$C,0)),RISK!A:B,2,FALSE())</f>
        <v>1.8321000000000005</v>
      </c>
      <c r="AP3" s="61"/>
      <c r="AQ3" s="47" t="s">
        <v>120</v>
      </c>
      <c r="AR3" s="47" t="str">
        <f>VLOOKUP(AQ3,ECR!E:L,8,FALSE())</f>
        <v>Brock Bowers</v>
      </c>
      <c r="AS3" s="47" t="str">
        <f>IFERROR(VLOOKUP(Table7[[#This Row],[PLAYER]],ECR!C:F,2,FALSE()),"-")</f>
        <v>LV</v>
      </c>
      <c r="AT3" s="47">
        <f>IFERROR(VLOOKUP(Table7[[#This Row],[PLAYER]],ECR!C:F,4,FALSE()),"-")</f>
        <v>13</v>
      </c>
      <c r="AU3" s="47" t="str">
        <f>Table7[[#This Row],[Team]] &amp; "/" &amp; Table7[[#This Row],[Bye]]</f>
        <v>LV/13</v>
      </c>
      <c r="AV3" s="57">
        <f>IFERROR(VLOOKUP(Table7[[#This Row],[PLAYER]],TE!A:K,9,FALSE())/17*(17-Table7[[#This Row],[Missed Games]]),0)</f>
        <v>160.95980058823528</v>
      </c>
      <c r="AW3" s="57">
        <f>IFERROR(VLOOKUP(Table7[[#This Row],[PLAYER]],TE!A:K,10,FALSE())/17*(17-Table7[[#This Row],[Missed Games]]),0)</f>
        <v>173.5823917647059</v>
      </c>
      <c r="AX3" s="57">
        <f>IFERROR(VLOOKUP(Table7[[#This Row],[PLAYER]],TE!A:K,11,FALSE())/17*(17-Table7[[#This Row],[Missed Games]]),0)</f>
        <v>186.55319235294121</v>
      </c>
      <c r="AY3" s="58">
        <f>AVERAGE(AVERAGE(Table7[[#This Row],[LOW]],Table7[[#This Row],[HIGH]]),Table7[[#This Row],[AVG]],VLOOKUP(Table7[[#This Row],[PLAYER]],ECR!L:N,3,FALSE))</f>
        <v>173.64042666666668</v>
      </c>
      <c r="AZ3" s="58">
        <f>Table7[[#This Row],[Zscore Projection]]-$AS$1</f>
        <v>65.725580470588241</v>
      </c>
      <c r="BA3" s="59">
        <f>MAX(Table7[[#This Row],[VBD]]*Scoring!$B$48+1,1)</f>
        <v>33.133378620970063</v>
      </c>
      <c r="BB3" s="57">
        <f>VLOOKUP(Table7[[#This Row],[VBD]],BW:BY,3,FALSE)</f>
        <v>1</v>
      </c>
      <c r="BC3" s="60">
        <f>VLOOKUP(INDEX(ECR!$E:$E,MATCH(AR3,ECR!$C:$C,0)),RISK!A:B,2,FALSE())</f>
        <v>2.2010999999999985</v>
      </c>
      <c r="BD3" s="57"/>
      <c r="BE3" s="61"/>
      <c r="BF3" s="91">
        <v>1</v>
      </c>
      <c r="BG3" s="61">
        <f>IFERROR(LARGE($G$3:$G$52,BF3),"")</f>
        <v>324.54665600000004</v>
      </c>
      <c r="BH3" s="61">
        <f>IFERROR(LARGE($J$3:$J$52,1),"")</f>
        <v>62.646657490196162</v>
      </c>
      <c r="BI3" s="61">
        <f>BH3</f>
        <v>62.646657490196162</v>
      </c>
      <c r="BJ3" s="92">
        <v>1</v>
      </c>
      <c r="BK3" s="91">
        <v>1</v>
      </c>
      <c r="BL3" s="61">
        <f>IFERROR(LARGE($U$3:$U$102,BK3),"")</f>
        <v>291.33477105882349</v>
      </c>
      <c r="BM3" s="90">
        <f>IFERROR(LARGE($X$3:$X$102,1),"")</f>
        <v>177.19870799999995</v>
      </c>
      <c r="BN3" s="90">
        <f>BM3</f>
        <v>177.19870799999995</v>
      </c>
      <c r="BO3" s="92">
        <v>1</v>
      </c>
      <c r="BP3" s="103">
        <v>1</v>
      </c>
      <c r="BQ3" s="61">
        <f>IFERROR(LARGE($AI$3:$AI$102,BP3),"")</f>
        <v>249.35076352941175</v>
      </c>
      <c r="BR3" s="90">
        <f>IFERROR(LARGE($AL$3:$AL$102,1),"")</f>
        <v>133.72934497120869</v>
      </c>
      <c r="BS3" s="90">
        <f>BR3</f>
        <v>133.72934497120869</v>
      </c>
      <c r="BT3" s="92">
        <v>1</v>
      </c>
      <c r="BU3" s="91">
        <v>1</v>
      </c>
      <c r="BV3" s="61">
        <f>IFERROR(LARGE($AW$3:$AW$52,BU3),"")</f>
        <v>173.5823917647059</v>
      </c>
      <c r="BW3" s="90">
        <f>IFERROR(LARGE($AZ$3:$AZ$52,1),"")</f>
        <v>65.725580470588241</v>
      </c>
      <c r="BX3" s="90">
        <f>BW3</f>
        <v>65.725580470588241</v>
      </c>
      <c r="BY3" s="105">
        <v>1</v>
      </c>
      <c r="BZ3" s="90"/>
      <c r="CA3" s="90"/>
      <c r="CB3" s="90"/>
      <c r="CC3" s="90"/>
      <c r="CD3" s="90"/>
      <c r="CE3" s="90"/>
      <c r="CF3" s="90"/>
      <c r="CG3" s="90"/>
    </row>
    <row r="4" spans="1:85" s="62" customFormat="1" ht="14.25" customHeight="1" x14ac:dyDescent="0.3">
      <c r="A4" s="56" t="s">
        <v>364</v>
      </c>
      <c r="B4" s="56" t="str">
        <f>VLOOKUP(A4,ECR!E:L,8,FALSE())</f>
        <v>Lamar Jackson</v>
      </c>
      <c r="C4" s="46" t="str">
        <f>IFERROR(VLOOKUP(Table2[[#This Row],[PLAYER]],ECR!C:F,2,FALSE()),"-")</f>
        <v>BAL</v>
      </c>
      <c r="D4" s="46">
        <f>IFERROR(VLOOKUP(Table2[[#This Row],[PLAYER]],ECR!C:F,4,FALSE()),"-")</f>
        <v>13</v>
      </c>
      <c r="E4" s="46" t="str">
        <f>Table2[[#This Row],[Team]] &amp; "/" &amp; Table2[[#This Row],[Bye]]</f>
        <v>BAL/13</v>
      </c>
      <c r="F4" s="57">
        <f>IFERROR(VLOOKUP(Table2[[#This Row],[PLAYER]],QB!A:Q,15,FALSE())/17*(17-Table2[[#This Row],[Missed Games]]),0)</f>
        <v>261.35495152941172</v>
      </c>
      <c r="G4" s="57">
        <f>IFERROR(VLOOKUP(Table2[[#This Row],[PLAYER]],QB!A:Q,16,FALSE())/17*(17-Table2[[#This Row],[Missed Games]]),0)</f>
        <v>285.19295595294119</v>
      </c>
      <c r="H4" s="57">
        <f>IFERROR(VLOOKUP(Table2[[#This Row],[PLAYER]],QB!A:Q,17,FALSE())/17*(17-Table2[[#This Row],[Missed Games]]),0)</f>
        <v>317.03614230588232</v>
      </c>
      <c r="I4" s="58">
        <f>AVERAGE(AVERAGE(Table2[[#This Row],[LOW]],Table2[[#This Row],[HIGH]]),Table2[[#This Row],[AVG]],VLOOKUP(Table2[[#This Row],[PLAYER]],ECR!L:N,3,FALSE))</f>
        <v>286.78631303529409</v>
      </c>
      <c r="J4" s="58">
        <f>Table2[[#This Row],[Zscore Projection]]-$C$1</f>
        <v>24.455028329411789</v>
      </c>
      <c r="K4" s="59">
        <f>MAX(Table2[[#This Row],[VBD]]*Scoring!$B$48+1,1)</f>
        <v>12.95611630767093</v>
      </c>
      <c r="L4" s="45">
        <f>VLOOKUP(Table2[[#This Row],[VBD]],BH:BJ,3,FALSE)</f>
        <v>2</v>
      </c>
      <c r="M4" s="60">
        <f>VLOOKUP(INDEX(ECR!$E:$E,MATCH(B4,ECR!$C:$C,0)),RISK!A:B,2,FALSE())</f>
        <v>2.0584000000000007</v>
      </c>
      <c r="N4" s="61"/>
      <c r="O4" s="45" t="s">
        <v>97</v>
      </c>
      <c r="P4" s="56" t="str">
        <f>VLOOKUP(O4,ECR!E:L,8,FALSE())</f>
        <v>Bijan Robinson</v>
      </c>
      <c r="Q4" s="46" t="str">
        <f>IFERROR(VLOOKUP(Table4[[#This Row],[PLAYER]],ECR!C:F,2,FALSE()),"-")</f>
        <v>ATL</v>
      </c>
      <c r="R4" s="46">
        <f>IFERROR(VLOOKUP(Table4[[#This Row],[PLAYER]],ECR!C:F,4,FALSE()),"-")</f>
        <v>11</v>
      </c>
      <c r="S4" s="46" t="str">
        <f>Table4[[#This Row],[Team]] &amp; "/" &amp; Table4[[#This Row],[Bye]]</f>
        <v>ATL/11</v>
      </c>
      <c r="T4" s="57">
        <f>IFERROR(VLOOKUP(Table4[[#This Row],[PLAYER]],RB!A:Q,13,FALSE())/17*(17-Table4[[#This Row],[Missed Games]]),0)</f>
        <v>261.154</v>
      </c>
      <c r="U4" s="57">
        <f>IFERROR(VLOOKUP(Table4[[#This Row],[PLAYER]],RB!A:Q,14,FALSE())/17*(17-Table4[[#This Row],[Missed Games]]),0)</f>
        <v>270.572</v>
      </c>
      <c r="V4" s="57">
        <f>IFERROR(VLOOKUP(Table4[[#This Row],[PLAYER]],RB!A:Q,15,FALSE())/17*(17-Table4[[#This Row],[Missed Games]]),0)</f>
        <v>278.60449999999997</v>
      </c>
      <c r="W4" s="58">
        <f>AVERAGE(AVERAGE(Table4[[#This Row],[LOW]],Table4[[#This Row],[HIGH]]),Table4[[#This Row],[AVG]],VLOOKUP(Table4[[#This Row],[PLAYER]],ECR!L:N,3,FALSE))</f>
        <v>270.3410833333333</v>
      </c>
      <c r="X4" s="58">
        <f>Table4[[#This Row],[Zscore Projection]]-$Q$1</f>
        <v>156.18660539215682</v>
      </c>
      <c r="Y4" s="59">
        <f>MAX(Table4[[#This Row],[VBD]]*Scoring!$B$48+1,1)</f>
        <v>77.359969598687698</v>
      </c>
      <c r="Z4" s="45">
        <f>VLOOKUP(Table4[[#This Row],[VBD]],BM:BO,3,FALSE)</f>
        <v>1</v>
      </c>
      <c r="AA4" s="60">
        <f>VLOOKUP(INDEX(ECR!$E:$E,MATCH(P4,ECR!$C:$C,0)),RISK!A:B,2,FALSE())</f>
        <v>2.5500000000000007</v>
      </c>
      <c r="AB4" s="61"/>
      <c r="AC4" s="46" t="s">
        <v>99</v>
      </c>
      <c r="AD4" s="46" t="str">
        <f>VLOOKUP(AC4,ECR!E:L,8,FALSE())</f>
        <v>Puka Nacua</v>
      </c>
      <c r="AE4" s="46" t="str">
        <f>IFERROR(VLOOKUP(Table6[[#This Row],[PLAYER]],ECR!C:F,2,FALSE()),"-")</f>
        <v>LAR</v>
      </c>
      <c r="AF4" s="46">
        <f>IFERROR(VLOOKUP(Table6[[#This Row],[PLAYER]],ECR!C:F,4,FALSE()),"-")</f>
        <v>11</v>
      </c>
      <c r="AG4" s="46" t="str">
        <f>Table6[[#This Row],[Team]] &amp; "/" &amp; Table6[[#This Row],[Bye]]</f>
        <v>LAR/11</v>
      </c>
      <c r="AH4" s="57">
        <f>IFERROR(VLOOKUP(Table6[[#This Row],[PLAYER]],WR!A:Q,13,FALSE())/17*(17-Table6[[#This Row],[Missed Games]]),0)</f>
        <v>247.7517917647059</v>
      </c>
      <c r="AI4" s="57">
        <f>IFERROR(VLOOKUP(Table6[[#This Row],[PLAYER]],WR!A:Q,14,FALSE())/17*(17-Table6[[#This Row],[Missed Games]]),0)</f>
        <v>249.35076352941175</v>
      </c>
      <c r="AJ4" s="57">
        <f>IFERROR(VLOOKUP(Table6[[#This Row],[PLAYER]],WR!A:Q,15,FALSE())/17*(17-Table6[[#This Row],[Missed Games]]),0)</f>
        <v>253.25936117647058</v>
      </c>
      <c r="AK4" s="58">
        <f>AVERAGE(AVERAGE(Table6[[#This Row],[LOW]],Table6[[#This Row],[HIGH]]),Table6[[#This Row],[AVG]],VLOOKUP(Table6[[#This Row],[PLAYER]],ECR!L:N,3,FALSE))</f>
        <v>248.43324296078427</v>
      </c>
      <c r="AL4" s="58">
        <f>Table6[[#This Row],[Zscore Projection]]-$AE$1</f>
        <v>133.72934497120869</v>
      </c>
      <c r="AM4" s="59">
        <f>MAX(Table6[[#This Row],[VBD]]*Scoring!$B$48+1,1)</f>
        <v>66.380566347635764</v>
      </c>
      <c r="AN4" s="45">
        <f>VLOOKUP(Table6[[#This Row],[VBD]],BR:BT,3,FALSE)</f>
        <v>1</v>
      </c>
      <c r="AO4" s="60">
        <f>VLOOKUP(INDEX(ECR!$E:$E,MATCH(AD4,ECR!$C:$C,0)),RISK!A:B,2,FALSE())</f>
        <v>1.8986000000000001</v>
      </c>
      <c r="AP4" s="61"/>
      <c r="AQ4" s="47" t="s">
        <v>122</v>
      </c>
      <c r="AR4" s="47" t="str">
        <f>VLOOKUP(AQ4,ECR!E:L,8,FALSE())</f>
        <v>Trey McBride</v>
      </c>
      <c r="AS4" s="47" t="str">
        <f>IFERROR(VLOOKUP(Table7[[#This Row],[PLAYER]],ECR!C:F,2,FALSE()),"-")</f>
        <v>ARI</v>
      </c>
      <c r="AT4" s="47">
        <f>IFERROR(VLOOKUP(Table7[[#This Row],[PLAYER]],ECR!C:F,4,FALSE()),"-")</f>
        <v>14</v>
      </c>
      <c r="AU4" s="47" t="str">
        <f>Table7[[#This Row],[Team]] &amp; "/" &amp; Table7[[#This Row],[Bye]]</f>
        <v>ARI/14</v>
      </c>
      <c r="AV4" s="57">
        <f>IFERROR(VLOOKUP(Table7[[#This Row],[PLAYER]],TE!A:K,9,FALSE())/17*(16-Table7[[#This Row],[Missed Games]]),0)</f>
        <v>151.12761835294117</v>
      </c>
      <c r="AW4" s="57">
        <f>IFERROR(VLOOKUP(Table7[[#This Row],[PLAYER]],TE!A:K,10,FALSE())/17*(16-Table7[[#This Row],[Missed Games]]),0)</f>
        <v>164.73139035294122</v>
      </c>
      <c r="AX4" s="57">
        <f>IFERROR(VLOOKUP(Table7[[#This Row],[PLAYER]],TE!A:K,11,FALSE())/17*(16-Table7[[#This Row],[Missed Games]]),0)</f>
        <v>178.82509411764707</v>
      </c>
      <c r="AY4" s="58">
        <f>AVERAGE(AVERAGE(Table7[[#This Row],[LOW]],Table7[[#This Row],[HIGH]]),Table7[[#This Row],[AVG]],VLOOKUP(Table7[[#This Row],[PLAYER]],ECR!L:N,3,FALSE))</f>
        <v>164.81304564705886</v>
      </c>
      <c r="AZ4" s="58">
        <f>Table7[[#This Row],[Zscore Projection]]-$AS$1</f>
        <v>56.898199450980414</v>
      </c>
      <c r="BA4" s="59">
        <f>MAX(Table7[[#This Row],[VBD]]*Scoring!$B$48+1,1)</f>
        <v>28.817652924769387</v>
      </c>
      <c r="BB4" s="57">
        <f>VLOOKUP(Table7[[#This Row],[VBD]],BW:BY,3,FALSE)</f>
        <v>1</v>
      </c>
      <c r="BC4" s="60">
        <f>VLOOKUP(INDEX(ECR!$E:$E,MATCH(AR4,ECR!$C:$C,0)),RISK!A:B,2,FALSE())</f>
        <v>2.1185999999999989</v>
      </c>
      <c r="BD4" s="57"/>
      <c r="BE4" s="61"/>
      <c r="BF4" s="91">
        <v>2</v>
      </c>
      <c r="BG4" s="61">
        <f>IFERROR(LARGE($G$3:$G$52,BF4),"")</f>
        <v>285.97043623529402</v>
      </c>
      <c r="BH4" s="61">
        <f>IFERROR(LARGE($J$3:$J$52,2),"")</f>
        <v>24.455028329411789</v>
      </c>
      <c r="BI4" s="61">
        <f>IF(BH4="",BI3,IF((BI3-BH4)&gt;0.2*LARGE($J$3:$J$52,2),BH4,BI3))</f>
        <v>24.455028329411789</v>
      </c>
      <c r="BJ4" s="92">
        <f>MIN(IF(BH4="",BJ3,IF((BI3-BH4)&gt;0.2*LARGE($J$3:$J$52,2),BJ3+1,BJ3)),15)</f>
        <v>2</v>
      </c>
      <c r="BK4" s="91">
        <v>2</v>
      </c>
      <c r="BL4" s="61">
        <f t="shared" ref="BL4:BL67" si="0">IFERROR(LARGE($U$3:$U$102,BK4),"")</f>
        <v>270.572</v>
      </c>
      <c r="BM4" s="90">
        <f>IFERROR(LARGE($X$3:$X$102,2),"")</f>
        <v>156.18660539215682</v>
      </c>
      <c r="BN4" s="90">
        <f>IF(BM4="",BN3,IF((BN3-BM4)&gt;0.15*LARGE($X$3:$X$102,2),BM4,BN3))</f>
        <v>177.19870799999995</v>
      </c>
      <c r="BO4" s="92">
        <f>IF(BM4="",BO3,IF((BN3-BM4)&gt;0.15*LARGE($X$3:$X$102,2),BO3+1,BO3))</f>
        <v>1</v>
      </c>
      <c r="BP4" s="103">
        <v>2</v>
      </c>
      <c r="BQ4" s="61">
        <f t="shared" ref="BQ4:BQ67" si="1">IFERROR(LARGE($AI$3:$AI$102,BP4),"")</f>
        <v>245.44338888235291</v>
      </c>
      <c r="BR4" s="90">
        <f>IFERROR(LARGE($AL$3:$AL$102,2),"")</f>
        <v>132.08804762807145</v>
      </c>
      <c r="BS4" s="90">
        <f>IF(BR4="",BS3,IF((BS3-BR4)&gt;0.15*LARGE($AL$3:$AL$102,2),BR4,BS3))</f>
        <v>133.72934497120869</v>
      </c>
      <c r="BT4" s="92">
        <f>IF(BR4="",BT3,IF((BS3-BR4)&gt;0.15*LARGE($AL$3:$AL$102,2),BT3+1,BT3))</f>
        <v>1</v>
      </c>
      <c r="BU4" s="91">
        <v>2</v>
      </c>
      <c r="BV4" s="61">
        <f t="shared" ref="BV4:BV67" si="2">IFERROR(LARGE($AW$3:$AW$52,BU4),"")</f>
        <v>164.73139035294122</v>
      </c>
      <c r="BW4" s="90">
        <f>IFERROR(LARGE($AZ$3:$AZ$52,2),"")</f>
        <v>56.898199450980414</v>
      </c>
      <c r="BX4" s="90">
        <f t="shared" ref="BX4" si="3">IF(BW4="",BX3,IF((BX3-BW4)&gt;0.2*LARGE($AZ$3:$AZ$52,2),BW4,BX3))</f>
        <v>65.725580470588241</v>
      </c>
      <c r="BY4" s="105">
        <f>IF(BW4="",BY3,IF((BX3-BW4)&gt;0.2*LARGE($AZ$3:$AZ$52,2),BY3+1,BY3))</f>
        <v>1</v>
      </c>
      <c r="BZ4" s="90"/>
      <c r="CA4" s="90"/>
      <c r="CB4" s="90"/>
      <c r="CC4" s="90"/>
      <c r="CD4" s="90"/>
      <c r="CE4" s="90"/>
      <c r="CF4" s="90"/>
      <c r="CG4" s="90"/>
    </row>
    <row r="5" spans="1:85" s="62" customFormat="1" ht="14.25" customHeight="1" x14ac:dyDescent="0.3">
      <c r="A5" s="56" t="s">
        <v>365</v>
      </c>
      <c r="B5" s="56" t="str">
        <f>VLOOKUP(A5,ECR!E:L,8,FALSE())</f>
        <v>Drake Maye</v>
      </c>
      <c r="C5" s="46" t="str">
        <f>IFERROR(VLOOKUP(Table2[[#This Row],[PLAYER]],ECR!C:F,2,FALSE()),"-")</f>
        <v>NE</v>
      </c>
      <c r="D5" s="46">
        <f>IFERROR(VLOOKUP(Table2[[#This Row],[PLAYER]],ECR!C:F,4,FALSE()),"-")</f>
        <v>11</v>
      </c>
      <c r="E5" s="46" t="str">
        <f>Table2[[#This Row],[Team]] &amp; "/" &amp; Table2[[#This Row],[Bye]]</f>
        <v>NE/11</v>
      </c>
      <c r="F5" s="57">
        <f>IFERROR(VLOOKUP(Table2[[#This Row],[PLAYER]],QB!A:Q,15,FALSE())/17*(17-Table2[[#This Row],[Missed Games]]),0)</f>
        <v>265.40770494117652</v>
      </c>
      <c r="G5" s="57">
        <f>IFERROR(VLOOKUP(Table2[[#This Row],[PLAYER]],QB!A:Q,16,FALSE())/17*(17-Table2[[#This Row],[Missed Games]]),0)</f>
        <v>283.02630400000004</v>
      </c>
      <c r="H5" s="57">
        <f>IFERROR(VLOOKUP(Table2[[#This Row],[PLAYER]],QB!A:Q,17,FALSE())/17*(17-Table2[[#This Row],[Missed Games]]),0)</f>
        <v>295.09301618823537</v>
      </c>
      <c r="I5" s="58">
        <f>AVERAGE(AVERAGE(Table2[[#This Row],[LOW]],Table2[[#This Row],[HIGH]]),Table2[[#This Row],[AVG]],VLOOKUP(Table2[[#This Row],[PLAYER]],ECR!L:N,3,FALSE))</f>
        <v>282.82320683921574</v>
      </c>
      <c r="J5" s="58">
        <f>Table2[[#This Row],[Zscore Projection]]-$C$1</f>
        <v>20.491922133333446</v>
      </c>
      <c r="K5" s="59">
        <f>MAX(Table2[[#This Row],[VBD]]*Scoring!$B$48+1,1)</f>
        <v>11.018545106292416</v>
      </c>
      <c r="L5" s="45">
        <f>VLOOKUP(Table2[[#This Row],[VBD]],BH:BJ,3,FALSE)</f>
        <v>2</v>
      </c>
      <c r="M5" s="60">
        <f>VLOOKUP(INDEX(ECR!$E:$E,MATCH(B5,ECR!$C:$C,0)),RISK!A:B,2,FALSE())</f>
        <v>2.0091999999999999</v>
      </c>
      <c r="N5" s="61"/>
      <c r="O5" s="45" t="s">
        <v>103</v>
      </c>
      <c r="P5" s="56" t="str">
        <f>VLOOKUP(O5,ECR!E:L,8,FALSE())</f>
        <v>Jonathan Taylor</v>
      </c>
      <c r="Q5" s="46" t="str">
        <f>IFERROR(VLOOKUP(Table4[[#This Row],[PLAYER]],ECR!C:F,2,FALSE()),"-")</f>
        <v>IND</v>
      </c>
      <c r="R5" s="46">
        <f>IFERROR(VLOOKUP(Table4[[#This Row],[PLAYER]],ECR!C:F,4,FALSE()),"-")</f>
        <v>13</v>
      </c>
      <c r="S5" s="46" t="str">
        <f>Table4[[#This Row],[Team]] &amp; "/" &amp; Table4[[#This Row],[Bye]]</f>
        <v>IND/13</v>
      </c>
      <c r="T5" s="57">
        <f>IFERROR(VLOOKUP(Table4[[#This Row],[PLAYER]],RB!A:Q,13,FALSE())/17*(17-Table4[[#This Row],[Missed Games]]),0)</f>
        <v>225.84812588235295</v>
      </c>
      <c r="U5" s="57">
        <f>IFERROR(VLOOKUP(Table4[[#This Row],[PLAYER]],RB!A:Q,14,FALSE())/17*(17-Table4[[#This Row],[Missed Games]]),0)</f>
        <v>246.8264162352942</v>
      </c>
      <c r="V5" s="57">
        <f>IFERROR(VLOOKUP(Table4[[#This Row],[PLAYER]],RB!A:Q,15,FALSE())/17*(17-Table4[[#This Row],[Missed Games]]),0)</f>
        <v>273.2277816470588</v>
      </c>
      <c r="W5" s="58">
        <f>AVERAGE(AVERAGE(Table4[[#This Row],[LOW]],Table4[[#This Row],[HIGH]]),Table4[[#This Row],[AVG]],VLOOKUP(Table4[[#This Row],[PLAYER]],ECR!L:N,3,FALSE))</f>
        <v>249.19215376470592</v>
      </c>
      <c r="X5" s="58">
        <f>Table4[[#This Row],[Zscore Projection]]-$Q$1</f>
        <v>135.03767582352947</v>
      </c>
      <c r="Y5" s="59">
        <f>MAX(Table4[[#This Row],[VBD]]*Scoring!$B$48+1,1)</f>
        <v>67.020212134528947</v>
      </c>
      <c r="Z5" s="45">
        <f>VLOOKUP(Table4[[#This Row],[VBD]],BM:BO,3,FALSE)</f>
        <v>2</v>
      </c>
      <c r="AA5" s="60">
        <f>VLOOKUP(INDEX(ECR!$E:$E,MATCH(P5,ECR!$C:$C,0)),RISK!A:B,2,FALSE())</f>
        <v>2.5497999999999994</v>
      </c>
      <c r="AB5" s="61"/>
      <c r="AC5" s="46" t="s">
        <v>101</v>
      </c>
      <c r="AD5" s="46" t="str">
        <f>VLOOKUP(AC5,ECR!E:L,8,FALSE())</f>
        <v>Jaxon Smith-Njigba</v>
      </c>
      <c r="AE5" s="46" t="str">
        <f>IFERROR(VLOOKUP(Table6[[#This Row],[PLAYER]],ECR!C:F,2,FALSE()),"-")</f>
        <v>SEA</v>
      </c>
      <c r="AF5" s="46">
        <f>IFERROR(VLOOKUP(Table6[[#This Row],[PLAYER]],ECR!C:F,4,FALSE()),"-")</f>
        <v>11</v>
      </c>
      <c r="AG5" s="46" t="str">
        <f>Table6[[#This Row],[Team]] &amp; "/" &amp; Table6[[#This Row],[Bye]]</f>
        <v>SEA/11</v>
      </c>
      <c r="AH5" s="57">
        <f>IFERROR(VLOOKUP(Table6[[#This Row],[PLAYER]],WR!A:Q,13,FALSE())/17*(17-Table6[[#This Row],[Missed Games]]),0)</f>
        <v>223.51597411764703</v>
      </c>
      <c r="AI5" s="57">
        <f>IFERROR(VLOOKUP(Table6[[#This Row],[PLAYER]],WR!A:Q,14,FALSE())/17*(17-Table6[[#This Row],[Missed Games]]),0)</f>
        <v>239.22364941176477</v>
      </c>
      <c r="AJ5" s="57">
        <f>IFERROR(VLOOKUP(Table6[[#This Row],[PLAYER]],WR!A:Q,15,FALSE())/17*(17-Table6[[#This Row],[Missed Games]]),0)</f>
        <v>259.98148382352935</v>
      </c>
      <c r="AK5" s="58">
        <f>AVERAGE(AVERAGE(Table6[[#This Row],[LOW]],Table6[[#This Row],[HIGH]]),Table6[[#This Row],[AVG]],VLOOKUP(Table6[[#This Row],[PLAYER]],ECR!L:N,3,FALSE))</f>
        <v>240.06534259803925</v>
      </c>
      <c r="AL5" s="58">
        <f>Table6[[#This Row],[Zscore Projection]]-$AE$1</f>
        <v>125.36144460846367</v>
      </c>
      <c r="AM5" s="59">
        <f>MAX(Table6[[#This Row],[VBD]]*Scoring!$B$48+1,1)</f>
        <v>62.28948173958176</v>
      </c>
      <c r="AN5" s="45">
        <f>VLOOKUP(Table6[[#This Row],[VBD]],BR:BT,3,FALSE)</f>
        <v>1</v>
      </c>
      <c r="AO5" s="60">
        <f>VLOOKUP(INDEX(ECR!$E:$E,MATCH(AD5,ECR!$C:$C,0)),RISK!A:B,2,FALSE())</f>
        <v>1.964500000000001</v>
      </c>
      <c r="AP5" s="61"/>
      <c r="AQ5" s="47" t="s">
        <v>138</v>
      </c>
      <c r="AR5" s="47" t="str">
        <f>VLOOKUP(AQ5,ECR!E:L,8,FALSE())</f>
        <v>Colston Loveland</v>
      </c>
      <c r="AS5" s="47" t="str">
        <f>IFERROR(VLOOKUP(Table7[[#This Row],[PLAYER]],ECR!C:F,2,FALSE()),"-")</f>
        <v>CHI</v>
      </c>
      <c r="AT5" s="47">
        <f>IFERROR(VLOOKUP(Table7[[#This Row],[PLAYER]],ECR!C:F,4,FALSE()),"-")</f>
        <v>10</v>
      </c>
      <c r="AU5" s="47" t="str">
        <f>Table7[[#This Row],[Team]] &amp; "/" &amp; Table7[[#This Row],[Bye]]</f>
        <v>CHI/10</v>
      </c>
      <c r="AV5" s="57">
        <f>IFERROR(VLOOKUP(Table7[[#This Row],[PLAYER]],TE!A:K,9,FALSE())/17*(16-Table7[[#This Row],[Missed Games]]),0)</f>
        <v>128.43586764705881</v>
      </c>
      <c r="AW5" s="57">
        <f>IFERROR(VLOOKUP(Table7[[#This Row],[PLAYER]],TE!A:K,10,FALSE())/17*(16-Table7[[#This Row],[Missed Games]]),0)</f>
        <v>141.38614235294119</v>
      </c>
      <c r="AX5" s="57">
        <f>IFERROR(VLOOKUP(Table7[[#This Row],[PLAYER]],TE!A:K,11,FALSE())/17*(16-Table7[[#This Row],[Missed Games]]),0)</f>
        <v>158.88296470588236</v>
      </c>
      <c r="AY5" s="58">
        <f>AVERAGE(AVERAGE(Table7[[#This Row],[LOW]],Table7[[#This Row],[HIGH]]),Table7[[#This Row],[AVG]],VLOOKUP(Table7[[#This Row],[PLAYER]],ECR!L:N,3,FALSE))</f>
        <v>142.14390029411766</v>
      </c>
      <c r="AZ5" s="58">
        <f>Table7[[#This Row],[Zscore Projection]]-$AS$1</f>
        <v>34.229054098039214</v>
      </c>
      <c r="BA5" s="59">
        <f>MAX(Table7[[#This Row],[VBD]]*Scoring!$B$48+1,1)</f>
        <v>17.734658671628726</v>
      </c>
      <c r="BB5" s="57">
        <f>VLOOKUP(Table7[[#This Row],[VBD]],BW:BY,3,FALSE)</f>
        <v>2</v>
      </c>
      <c r="BC5" s="60">
        <f>VLOOKUP(INDEX(ECR!$E:$E,MATCH(AR5,ECR!$C:$C,0)),RISK!A:B,2,FALSE())</f>
        <v>2.0484999999999989</v>
      </c>
      <c r="BD5" s="57"/>
      <c r="BE5" s="61"/>
      <c r="BF5" s="91">
        <v>3</v>
      </c>
      <c r="BG5" s="61">
        <f>IFERROR(LARGE($G$3:$G$52,BF5),"")</f>
        <v>285.19295595294119</v>
      </c>
      <c r="BH5" s="61">
        <f>IFERROR(LARGE($J$3:$J$52,3),"")</f>
        <v>21.981363607843207</v>
      </c>
      <c r="BI5" s="61">
        <f t="shared" ref="BI5:BI52" si="4">IF(BH5="",BI4,IF((BI4-BH5)&gt;0.2*LARGE($J$3:$J$52,2),BH5,BI4))</f>
        <v>24.455028329411789</v>
      </c>
      <c r="BJ5" s="92">
        <f t="shared" ref="BJ5:BJ52" si="5">MIN(IF(BH5="",BJ4,IF((BI4-BH5)&gt;0.2*LARGE($J$3:$J$52,2),BJ4+1,BJ4)),15)</f>
        <v>2</v>
      </c>
      <c r="BK5" s="91">
        <v>3</v>
      </c>
      <c r="BL5" s="61">
        <f t="shared" si="0"/>
        <v>251.21209129411764</v>
      </c>
      <c r="BM5" s="90">
        <f>IFERROR(LARGE($X$3:$X$102,3),"")</f>
        <v>135.03767582352947</v>
      </c>
      <c r="BN5" s="90">
        <f t="shared" ref="BN5:BN68" si="6">IF(BM5="",BN4,IF((BN4-BM5)&gt;0.15*LARGE($X$3:$X$102,2),BM5,BN4))</f>
        <v>135.03767582352947</v>
      </c>
      <c r="BO5" s="92">
        <f t="shared" ref="BO5:BO68" si="7">IF(BM5="",BO4,IF((BN4-BM5)&gt;0.15*LARGE($X$3:$X$102,2),BO4+1,BO4))</f>
        <v>2</v>
      </c>
      <c r="BP5" s="103">
        <v>3</v>
      </c>
      <c r="BQ5" s="61">
        <f t="shared" si="1"/>
        <v>239.22364941176477</v>
      </c>
      <c r="BR5" s="90">
        <f>IFERROR(LARGE($AL$3:$AL$102,3),"")</f>
        <v>125.36144460846367</v>
      </c>
      <c r="BS5" s="90">
        <f t="shared" ref="BS5:BS68" si="8">IF(BR5="",BS4,IF((BS4-BR5)&gt;0.15*LARGE($AL$3:$AL$102,2),BR5,BS4))</f>
        <v>133.72934497120869</v>
      </c>
      <c r="BT5" s="92">
        <f t="shared" ref="BT5:BT68" si="9">IF(BR5="",BT4,IF((BS4-BR5)&gt;0.15*LARGE($AL$3:$AL$102,2),BT4+1,BT4))</f>
        <v>1</v>
      </c>
      <c r="BU5" s="91">
        <v>3</v>
      </c>
      <c r="BV5" s="61">
        <f t="shared" si="2"/>
        <v>141.38614235294119</v>
      </c>
      <c r="BW5" s="90">
        <f>IFERROR(LARGE($AZ$3:$AZ$52,3),"")</f>
        <v>34.229054098039214</v>
      </c>
      <c r="BX5" s="90">
        <f t="shared" ref="BX5:BX52" si="10">IF(BW5="",BX4,IF((BX4-BW5)&gt;0.2*LARGE($AZ$3:$AZ$52,2),BW5,BX4))</f>
        <v>34.229054098039214</v>
      </c>
      <c r="BY5" s="105">
        <f t="shared" ref="BY5:BY52" si="11">IF(BW5="",BY4,IF((BX4-BW5)&gt;0.2*LARGE($AZ$3:$AZ$52,2),BY4+1,BY4))</f>
        <v>2</v>
      </c>
      <c r="BZ5" s="90"/>
      <c r="CA5" s="90"/>
      <c r="CB5" s="90"/>
      <c r="CC5" s="90"/>
      <c r="CD5" s="90"/>
      <c r="CE5" s="90"/>
      <c r="CF5" s="90"/>
      <c r="CG5" s="90"/>
    </row>
    <row r="6" spans="1:85" s="62" customFormat="1" ht="14.25" customHeight="1" x14ac:dyDescent="0.3">
      <c r="A6" s="56" t="s">
        <v>366</v>
      </c>
      <c r="B6" s="56" t="str">
        <f>VLOOKUP(A6,ECR!E:L,8,FALSE())</f>
        <v>Joe Burrow</v>
      </c>
      <c r="C6" s="46" t="str">
        <f>IFERROR(VLOOKUP(Table2[[#This Row],[PLAYER]],ECR!C:F,2,FALSE()),"-")</f>
        <v>CIN</v>
      </c>
      <c r="D6" s="46">
        <f>IFERROR(VLOOKUP(Table2[[#This Row],[PLAYER]],ECR!C:F,4,FALSE()),"-")</f>
        <v>6</v>
      </c>
      <c r="E6" s="46" t="str">
        <f>Table2[[#This Row],[Team]] &amp; "/" &amp; Table2[[#This Row],[Bye]]</f>
        <v>CIN/6</v>
      </c>
      <c r="F6" s="57">
        <f>IFERROR(VLOOKUP(Table2[[#This Row],[PLAYER]],QB!A:Q,15,FALSE())/17*(17-Table2[[#This Row],[Missed Games]]),0)</f>
        <v>264.80387011764708</v>
      </c>
      <c r="G6" s="57">
        <f>IFERROR(VLOOKUP(Table2[[#This Row],[PLAYER]],QB!A:Q,16,FALSE())/17*(17-Table2[[#This Row],[Missed Games]]),0)</f>
        <v>275.04698456470578</v>
      </c>
      <c r="H6" s="57">
        <f>IFERROR(VLOOKUP(Table2[[#This Row],[PLAYER]],QB!A:Q,17,FALSE())/17*(17-Table2[[#This Row],[Missed Games]]),0)</f>
        <v>288.33845552941176</v>
      </c>
      <c r="I6" s="58">
        <f>AVERAGE(AVERAGE(Table2[[#This Row],[LOW]],Table2[[#This Row],[HIGH]]),Table2[[#This Row],[AVG]],VLOOKUP(Table2[[#This Row],[PLAYER]],ECR!L:N,3,FALSE))</f>
        <v>278.52257971764703</v>
      </c>
      <c r="J6" s="58">
        <f>Table2[[#This Row],[Zscore Projection]]-$C$1</f>
        <v>16.191295011764737</v>
      </c>
      <c r="K6" s="59">
        <f>MAX(Table2[[#This Row],[VBD]]*Scoring!$B$48+1,1)</f>
        <v>8.9159591935393028</v>
      </c>
      <c r="L6" s="45">
        <f>VLOOKUP(Table2[[#This Row],[VBD]],BH:BJ,3,FALSE)</f>
        <v>3</v>
      </c>
      <c r="M6" s="60">
        <f>VLOOKUP(INDEX(ECR!$E:$E,MATCH(B6,ECR!$C:$C,0)),RISK!A:B,2,FALSE())</f>
        <v>1.9704000000000015</v>
      </c>
      <c r="N6" s="61"/>
      <c r="O6" s="45" t="s">
        <v>102</v>
      </c>
      <c r="P6" s="56" t="str">
        <f>VLOOKUP(O6,ECR!E:L,8,FALSE())</f>
        <v>Christian McCaffrey</v>
      </c>
      <c r="Q6" s="46" t="str">
        <f>IFERROR(VLOOKUP(Table4[[#This Row],[PLAYER]],ECR!C:F,2,FALSE()),"-")</f>
        <v>SF</v>
      </c>
      <c r="R6" s="46">
        <f>IFERROR(VLOOKUP(Table4[[#This Row],[PLAYER]],ECR!C:F,4,FALSE()),"-")</f>
        <v>8</v>
      </c>
      <c r="S6" s="46" t="str">
        <f>Table4[[#This Row],[Team]] &amp; "/" &amp; Table4[[#This Row],[Bye]]</f>
        <v>SF/8</v>
      </c>
      <c r="T6" s="57">
        <f>IFERROR(VLOOKUP(Table4[[#This Row],[PLAYER]],RB!A:Q,13,FALSE())/17*(17-Table4[[#This Row],[Missed Games]]),0)</f>
        <v>234.24703058823533</v>
      </c>
      <c r="U6" s="57">
        <f>IFERROR(VLOOKUP(Table4[[#This Row],[PLAYER]],RB!A:Q,14,FALSE())/17*(17-Table4[[#This Row],[Missed Games]]),0)</f>
        <v>251.21209129411764</v>
      </c>
      <c r="V6" s="57">
        <f>IFERROR(VLOOKUP(Table4[[#This Row],[PLAYER]],RB!A:Q,15,FALSE())/17*(17-Table4[[#This Row],[Missed Games]]),0)</f>
        <v>263.06043529411767</v>
      </c>
      <c r="W6" s="58">
        <f>AVERAGE(AVERAGE(Table4[[#This Row],[LOW]],Table4[[#This Row],[HIGH]]),Table4[[#This Row],[AVG]],VLOOKUP(Table4[[#This Row],[PLAYER]],ECR!L:N,3,FALSE))</f>
        <v>248.8974134901961</v>
      </c>
      <c r="X6" s="58">
        <f>Table4[[#This Row],[Zscore Projection]]-$Q$1</f>
        <v>134.74293554901965</v>
      </c>
      <c r="Y6" s="59">
        <f>MAX(Table4[[#This Row],[VBD]]*Scoring!$B$48+1,1)</f>
        <v>66.876112976060327</v>
      </c>
      <c r="Z6" s="45">
        <f>VLOOKUP(Table4[[#This Row],[VBD]],BM:BO,3,FALSE)</f>
        <v>2</v>
      </c>
      <c r="AA6" s="60">
        <f>VLOOKUP(INDEX(ECR!$E:$E,MATCH(P6,ECR!$C:$C,0)),RISK!A:B,2,FALSE())</f>
        <v>2.5508000000000006</v>
      </c>
      <c r="AB6" s="61"/>
      <c r="AC6" s="46" t="s">
        <v>104</v>
      </c>
      <c r="AD6" s="46" t="str">
        <f>VLOOKUP(AC6,ECR!E:L,8,FALSE())</f>
        <v>Amon-Ra St. Brown</v>
      </c>
      <c r="AE6" s="46" t="str">
        <f>IFERROR(VLOOKUP(Table6[[#This Row],[PLAYER]],ECR!C:F,2,FALSE()),"-")</f>
        <v>DET</v>
      </c>
      <c r="AF6" s="46">
        <f>IFERROR(VLOOKUP(Table6[[#This Row],[PLAYER]],ECR!C:F,4,FALSE()),"-")</f>
        <v>6</v>
      </c>
      <c r="AG6" s="46" t="str">
        <f>Table6[[#This Row],[Team]] &amp; "/" &amp; Table6[[#This Row],[Bye]]</f>
        <v>DET/6</v>
      </c>
      <c r="AH6" s="57">
        <f>IFERROR(VLOOKUP(Table6[[#This Row],[PLAYER]],WR!A:Q,13,FALSE())/17*(17-Table6[[#This Row],[Missed Games]]),0)</f>
        <v>223.40822</v>
      </c>
      <c r="AI6" s="57">
        <f>IFERROR(VLOOKUP(Table6[[#This Row],[PLAYER]],WR!A:Q,14,FALSE())/17*(17-Table6[[#This Row],[Missed Games]]),0)</f>
        <v>230.047944</v>
      </c>
      <c r="AJ6" s="57">
        <f>IFERROR(VLOOKUP(Table6[[#This Row],[PLAYER]],WR!A:Q,15,FALSE())/17*(17-Table6[[#This Row],[Missed Games]]),0)</f>
        <v>237.86767200000003</v>
      </c>
      <c r="AK6" s="58">
        <f>AVERAGE(AVERAGE(Table6[[#This Row],[LOW]],Table6[[#This Row],[HIGH]]),Table6[[#This Row],[AVG]],VLOOKUP(Table6[[#This Row],[PLAYER]],ECR!L:N,3,FALSE))</f>
        <v>230.24461133333332</v>
      </c>
      <c r="AL6" s="58">
        <f>Table6[[#This Row],[Zscore Projection]]-$AE$1</f>
        <v>115.54071334375774</v>
      </c>
      <c r="AM6" s="59">
        <f>MAX(Table6[[#This Row],[VBD]]*Scoring!$B$48+1,1)</f>
        <v>57.488104957450325</v>
      </c>
      <c r="AN6" s="45">
        <f>VLOOKUP(Table6[[#This Row],[VBD]],BR:BT,3,FALSE)</f>
        <v>1</v>
      </c>
      <c r="AO6" s="60">
        <f>VLOOKUP(INDEX(ECR!$E:$E,MATCH(AD6,ECR!$C:$C,0)),RISK!A:B,2,FALSE())</f>
        <v>2.0297999999999998</v>
      </c>
      <c r="AP6" s="61"/>
      <c r="AQ6" s="47" t="s">
        <v>151</v>
      </c>
      <c r="AR6" s="47" t="str">
        <f>VLOOKUP(AQ6,ECR!E:L,8,FALSE())</f>
        <v>Tyler Warren</v>
      </c>
      <c r="AS6" s="47" t="str">
        <f>IFERROR(VLOOKUP(Table7[[#This Row],[PLAYER]],ECR!C:F,2,FALSE()),"-")</f>
        <v>IND</v>
      </c>
      <c r="AT6" s="47">
        <f>IFERROR(VLOOKUP(Table7[[#This Row],[PLAYER]],ECR!C:F,4,FALSE()),"-")</f>
        <v>13</v>
      </c>
      <c r="AU6" s="47" t="str">
        <f>Table7[[#This Row],[Team]] &amp; "/" &amp; Table7[[#This Row],[Bye]]</f>
        <v>IND/13</v>
      </c>
      <c r="AV6" s="57">
        <f>IFERROR(VLOOKUP(Table7[[#This Row],[PLAYER]],TE!A:K,9,FALSE())/17*(16-Table7[[#This Row],[Missed Games]]),0)</f>
        <v>123.11614588235295</v>
      </c>
      <c r="AW6" s="57">
        <f>IFERROR(VLOOKUP(Table7[[#This Row],[PLAYER]],TE!A:K,10,FALSE())/17*(16-Table7[[#This Row],[Missed Games]]),0)</f>
        <v>131.54638800000001</v>
      </c>
      <c r="AX6" s="57">
        <f>IFERROR(VLOOKUP(Table7[[#This Row],[PLAYER]],TE!A:K,11,FALSE())/17*(16-Table7[[#This Row],[Missed Games]]),0)</f>
        <v>139.02070823529411</v>
      </c>
      <c r="AY6" s="58">
        <f>AVERAGE(AVERAGE(Table7[[#This Row],[LOW]],Table7[[#This Row],[HIGH]]),Table7[[#This Row],[AVG]],VLOOKUP(Table7[[#This Row],[PLAYER]],ECR!L:N,3,FALSE))</f>
        <v>131.38706768627449</v>
      </c>
      <c r="AZ6" s="58">
        <f>Table7[[#This Row],[Zscore Projection]]-$AS$1</f>
        <v>23.472221490196048</v>
      </c>
      <c r="BA6" s="59">
        <f>MAX(Table7[[#This Row],[VBD]]*Scoring!$B$48+1,1)</f>
        <v>12.475619915707828</v>
      </c>
      <c r="BB6" s="57">
        <f>VLOOKUP(Table7[[#This Row],[VBD]],BW:BY,3,FALSE)</f>
        <v>2</v>
      </c>
      <c r="BC6" s="60">
        <f>VLOOKUP(INDEX(ECR!$E:$E,MATCH(AR6,ECR!$C:$C,0)),RISK!A:B,2,FALSE())</f>
        <v>1.9908000000000001</v>
      </c>
      <c r="BD6" s="57"/>
      <c r="BE6" s="61"/>
      <c r="BF6" s="91">
        <v>4</v>
      </c>
      <c r="BG6" s="61">
        <f t="shared" ref="BG6:BG69" si="12">IFERROR(LARGE($G$3:$G$52,BF6),"")</f>
        <v>283.94959176470581</v>
      </c>
      <c r="BH6" s="61">
        <f>IFERROR(LARGE($J$3:$J$52,4),"")</f>
        <v>20.491922133333446</v>
      </c>
      <c r="BI6" s="61">
        <f t="shared" si="4"/>
        <v>24.455028329411789</v>
      </c>
      <c r="BJ6" s="92">
        <f t="shared" si="5"/>
        <v>2</v>
      </c>
      <c r="BK6" s="91">
        <v>4</v>
      </c>
      <c r="BL6" s="61">
        <f t="shared" si="0"/>
        <v>246.8264162352942</v>
      </c>
      <c r="BM6" s="90">
        <f>IFERROR(LARGE($X$3:$X$102,4),"")</f>
        <v>134.74293554901965</v>
      </c>
      <c r="BN6" s="90">
        <f t="shared" si="6"/>
        <v>135.03767582352947</v>
      </c>
      <c r="BO6" s="92">
        <f t="shared" si="7"/>
        <v>2</v>
      </c>
      <c r="BP6" s="103">
        <v>4</v>
      </c>
      <c r="BQ6" s="61">
        <f t="shared" si="1"/>
        <v>230.047944</v>
      </c>
      <c r="BR6" s="90">
        <f>IFERROR(LARGE($AL$3:$AL$102,4),"")</f>
        <v>115.54071334375774</v>
      </c>
      <c r="BS6" s="90">
        <f t="shared" si="8"/>
        <v>133.72934497120869</v>
      </c>
      <c r="BT6" s="92">
        <f t="shared" si="9"/>
        <v>1</v>
      </c>
      <c r="BU6" s="91">
        <v>4</v>
      </c>
      <c r="BV6" s="61">
        <f t="shared" si="2"/>
        <v>131.54638800000001</v>
      </c>
      <c r="BW6" s="90">
        <f>IFERROR(LARGE($AZ$3:$AZ$52,4),"")</f>
        <v>23.472221490196048</v>
      </c>
      <c r="BX6" s="90">
        <f t="shared" si="10"/>
        <v>34.229054098039214</v>
      </c>
      <c r="BY6" s="105">
        <f t="shared" si="11"/>
        <v>2</v>
      </c>
      <c r="BZ6" s="90"/>
      <c r="CA6" s="90"/>
      <c r="CB6" s="90"/>
      <c r="CC6" s="90"/>
      <c r="CD6" s="90"/>
      <c r="CE6" s="90"/>
      <c r="CF6" s="90"/>
      <c r="CG6" s="90"/>
    </row>
    <row r="7" spans="1:85" s="62" customFormat="1" ht="14.25" customHeight="1" x14ac:dyDescent="0.3">
      <c r="A7" s="56" t="s">
        <v>367</v>
      </c>
      <c r="B7" s="56" t="str">
        <f>VLOOKUP(A7,ECR!E:L,8,FALSE())</f>
        <v>Jalen Hurts</v>
      </c>
      <c r="C7" s="46" t="str">
        <f>IFERROR(VLOOKUP(Table2[[#This Row],[PLAYER]],ECR!C:F,2,FALSE()),"-")</f>
        <v>PHI</v>
      </c>
      <c r="D7" s="46">
        <f>IFERROR(VLOOKUP(Table2[[#This Row],[PLAYER]],ECR!C:F,4,FALSE()),"-")</f>
        <v>10</v>
      </c>
      <c r="E7" s="46" t="str">
        <f>Table2[[#This Row],[Team]] &amp; "/" &amp; Table2[[#This Row],[Bye]]</f>
        <v>PHI/10</v>
      </c>
      <c r="F7" s="57">
        <f>IFERROR(VLOOKUP(Table2[[#This Row],[PLAYER]],QB!A:Q,15,FALSE())/17*(17-Table2[[#This Row],[Missed Games]]),0)</f>
        <v>266.63289176470596</v>
      </c>
      <c r="G7" s="57">
        <f>IFERROR(VLOOKUP(Table2[[#This Row],[PLAYER]],QB!A:Q,16,FALSE())/17*(17-Table2[[#This Row],[Missed Games]]),0)</f>
        <v>283.94959176470581</v>
      </c>
      <c r="H7" s="57">
        <f>IFERROR(VLOOKUP(Table2[[#This Row],[PLAYER]],QB!A:Q,17,FALSE())/17*(17-Table2[[#This Row],[Missed Games]]),0)</f>
        <v>305.2912065882353</v>
      </c>
      <c r="I7" s="58">
        <f>AVERAGE(AVERAGE(Table2[[#This Row],[LOW]],Table2[[#This Row],[HIGH]]),Table2[[#This Row],[AVG]],VLOOKUP(Table2[[#This Row],[PLAYER]],ECR!L:N,3,FALSE))</f>
        <v>284.3126483137255</v>
      </c>
      <c r="J7" s="58">
        <f>Table2[[#This Row],[Zscore Projection]]-$C$1</f>
        <v>21.981363607843207</v>
      </c>
      <c r="K7" s="59">
        <f>MAX(Table2[[#This Row],[VBD]]*Scoring!$B$48+1,1)</f>
        <v>11.746736268569263</v>
      </c>
      <c r="L7" s="45">
        <f>VLOOKUP(Table2[[#This Row],[VBD]],BH:BJ,3,FALSE)</f>
        <v>2</v>
      </c>
      <c r="M7" s="60">
        <f>VLOOKUP(INDEX(ECR!$E:$E,MATCH(B7,ECR!$C:$C,0)),RISK!A:B,2,FALSE())</f>
        <v>1.9420000000000002</v>
      </c>
      <c r="N7" s="61"/>
      <c r="O7" s="45" t="s">
        <v>107</v>
      </c>
      <c r="P7" s="56" t="str">
        <f>VLOOKUP(O7,ECR!E:L,8,FALSE())</f>
        <v>James Cook III</v>
      </c>
      <c r="Q7" s="46" t="str">
        <f>IFERROR(VLOOKUP(Table4[[#This Row],[PLAYER]],ECR!C:F,2,FALSE()),"-")</f>
        <v>BUF</v>
      </c>
      <c r="R7" s="46">
        <f>IFERROR(VLOOKUP(Table4[[#This Row],[PLAYER]],ECR!C:F,4,FALSE()),"-")</f>
        <v>7</v>
      </c>
      <c r="S7" s="46" t="str">
        <f>Table4[[#This Row],[Team]] &amp; "/" &amp; Table4[[#This Row],[Bye]]</f>
        <v>BUF/7</v>
      </c>
      <c r="T7" s="57">
        <f>IFERROR(VLOOKUP(Table4[[#This Row],[PLAYER]],RB!A:Q,13,FALSE())/17*(17-Table4[[#This Row],[Missed Games]]),0)</f>
        <v>202.76789411764705</v>
      </c>
      <c r="U7" s="57">
        <f>IFERROR(VLOOKUP(Table4[[#This Row],[PLAYER]],RB!A:Q,14,FALSE())/17*(17-Table4[[#This Row],[Missed Games]]),0)</f>
        <v>215.82118352941174</v>
      </c>
      <c r="V7" s="57">
        <f>IFERROR(VLOOKUP(Table4[[#This Row],[PLAYER]],RB!A:Q,15,FALSE())/17*(17-Table4[[#This Row],[Missed Games]]),0)</f>
        <v>226.12954294117642</v>
      </c>
      <c r="W7" s="58">
        <f>AVERAGE(AVERAGE(Table4[[#This Row],[LOW]],Table4[[#This Row],[HIGH]]),Table4[[#This Row],[AVG]],VLOOKUP(Table4[[#This Row],[PLAYER]],ECR!L:N,3,FALSE))</f>
        <v>218.43560237254903</v>
      </c>
      <c r="X7" s="58">
        <f>Table4[[#This Row],[Zscore Projection]]-$Q$1</f>
        <v>104.28112443137256</v>
      </c>
      <c r="Y7" s="59">
        <f>MAX(Table4[[#This Row],[VBD]]*Scoring!$B$48+1,1)</f>
        <v>51.983267555518871</v>
      </c>
      <c r="Z7" s="45">
        <f>VLOOKUP(Table4[[#This Row],[VBD]],BM:BO,3,FALSE)</f>
        <v>3</v>
      </c>
      <c r="AA7" s="60">
        <f>VLOOKUP(INDEX(ECR!$E:$E,MATCH(P7,ECR!$C:$C,0)),RISK!A:B,2,FALSE())</f>
        <v>2.5530000000000008</v>
      </c>
      <c r="AB7" s="61"/>
      <c r="AC7" s="46" t="s">
        <v>113</v>
      </c>
      <c r="AD7" s="46" t="str">
        <f>VLOOKUP(AC7,ECR!E:L,8,FALSE())</f>
        <v>CeeDee Lamb</v>
      </c>
      <c r="AE7" s="46" t="str">
        <f>IFERROR(VLOOKUP(Table6[[#This Row],[PLAYER]],ECR!C:F,2,FALSE()),"-")</f>
        <v>DAL</v>
      </c>
      <c r="AF7" s="46">
        <f>IFERROR(VLOOKUP(Table6[[#This Row],[PLAYER]],ECR!C:F,4,FALSE()),"-")</f>
        <v>14</v>
      </c>
      <c r="AG7" s="46" t="str">
        <f>Table6[[#This Row],[Team]] &amp; "/" &amp; Table6[[#This Row],[Bye]]</f>
        <v>DAL/14</v>
      </c>
      <c r="AH7" s="57">
        <f>IFERROR(VLOOKUP(Table6[[#This Row],[PLAYER]],WR!A:Q,13,FALSE())/17*(17-Table6[[#This Row],[Missed Games]]),0)</f>
        <v>171.67628823529409</v>
      </c>
      <c r="AI7" s="57">
        <f>IFERROR(VLOOKUP(Table6[[#This Row],[PLAYER]],WR!A:Q,14,FALSE())/17*(17-Table6[[#This Row],[Missed Games]]),0)</f>
        <v>196.15637999999998</v>
      </c>
      <c r="AJ7" s="57">
        <f>IFERROR(VLOOKUP(Table6[[#This Row],[PLAYER]],WR!A:Q,15,FALSE())/17*(17-Table6[[#This Row],[Missed Games]]),0)</f>
        <v>213.96406852941175</v>
      </c>
      <c r="AK7" s="58">
        <f>AVERAGE(AVERAGE(Table6[[#This Row],[LOW]],Table6[[#This Row],[HIGH]]),Table6[[#This Row],[AVG]],VLOOKUP(Table6[[#This Row],[PLAYER]],ECR!L:N,3,FALSE))</f>
        <v>195.04431279411764</v>
      </c>
      <c r="AL7" s="58">
        <f>Table6[[#This Row],[Zscore Projection]]-$AE$1</f>
        <v>80.340414804542064</v>
      </c>
      <c r="AM7" s="59">
        <f>MAX(Table6[[#This Row],[VBD]]*Scoring!$B$48+1,1)</f>
        <v>40.278602775298296</v>
      </c>
      <c r="AN7" s="45">
        <f>VLOOKUP(Table6[[#This Row],[VBD]],BR:BT,3,FALSE)</f>
        <v>2</v>
      </c>
      <c r="AO7" s="60">
        <f>VLOOKUP(INDEX(ECR!$E:$E,MATCH(AD7,ECR!$C:$C,0)),RISK!A:B,2,FALSE())</f>
        <v>2.0945</v>
      </c>
      <c r="AP7" s="61"/>
      <c r="AQ7" s="47" t="s">
        <v>158</v>
      </c>
      <c r="AR7" s="47" t="str">
        <f>VLOOKUP(AQ7,ECR!E:L,8,FALSE())</f>
        <v>Tucker Kraft</v>
      </c>
      <c r="AS7" s="47" t="str">
        <f>IFERROR(VLOOKUP(Table7[[#This Row],[PLAYER]],ECR!C:F,2,FALSE()),"-")</f>
        <v>GB</v>
      </c>
      <c r="AT7" s="47">
        <f>IFERROR(VLOOKUP(Table7[[#This Row],[PLAYER]],ECR!C:F,4,FALSE()),"-")</f>
        <v>11</v>
      </c>
      <c r="AU7" s="47" t="str">
        <f>Table7[[#This Row],[Team]] &amp; "/" &amp; Table7[[#This Row],[Bye]]</f>
        <v>GB/11</v>
      </c>
      <c r="AV7" s="57">
        <f>IFERROR(VLOOKUP(Table7[[#This Row],[PLAYER]],TE!A:K,9,FALSE())/17*(16-Table7[[#This Row],[Missed Games]]),0)</f>
        <v>102.76319705882355</v>
      </c>
      <c r="AW7" s="57">
        <f>IFERROR(VLOOKUP(Table7[[#This Row],[PLAYER]],TE!A:K,10,FALSE())/17*(16-Table7[[#This Row],[Missed Games]]),0)</f>
        <v>119.11602117647061</v>
      </c>
      <c r="AX7" s="57">
        <f>IFERROR(VLOOKUP(Table7[[#This Row],[PLAYER]],TE!A:K,11,FALSE())/17*(16-Table7[[#This Row],[Missed Games]]),0)</f>
        <v>142.28114411764707</v>
      </c>
      <c r="AY7" s="58">
        <f>AVERAGE(AVERAGE(Table7[[#This Row],[LOW]],Table7[[#This Row],[HIGH]]),Table7[[#This Row],[AVG]],VLOOKUP(Table7[[#This Row],[PLAYER]],ECR!L:N,3,FALSE))</f>
        <v>124.0043118039216</v>
      </c>
      <c r="AZ7" s="58">
        <f>Table7[[#This Row],[Zscore Projection]]-$AS$1</f>
        <v>16.089465607843152</v>
      </c>
      <c r="BA7" s="59">
        <f>MAX(Table7[[#This Row],[VBD]]*Scoring!$B$48+1,1)</f>
        <v>8.8661745774502272</v>
      </c>
      <c r="BB7" s="57">
        <f>VLOOKUP(Table7[[#This Row],[VBD]],BW:BY,3,FALSE)</f>
        <v>3</v>
      </c>
      <c r="BC7" s="60">
        <f>VLOOKUP(INDEX(ECR!$E:$E,MATCH(AR7,ECR!$C:$C,0)),RISK!A:B,2,FALSE())</f>
        <v>1.9454999999999991</v>
      </c>
      <c r="BD7" s="57"/>
      <c r="BE7" s="61"/>
      <c r="BF7" s="91">
        <v>5</v>
      </c>
      <c r="BG7" s="61">
        <f t="shared" si="12"/>
        <v>283.02630400000004</v>
      </c>
      <c r="BH7" s="61">
        <f>IFERROR(LARGE($J$3:$J$52,5),"")</f>
        <v>19.828913286274485</v>
      </c>
      <c r="BI7" s="61">
        <f t="shared" si="4"/>
        <v>24.455028329411789</v>
      </c>
      <c r="BJ7" s="92">
        <f t="shared" si="5"/>
        <v>2</v>
      </c>
      <c r="BK7" s="91">
        <v>5</v>
      </c>
      <c r="BL7" s="61">
        <f t="shared" si="0"/>
        <v>225.03690505882358</v>
      </c>
      <c r="BM7" s="90">
        <f>IFERROR(LARGE($X$3:$X$102,5),"")</f>
        <v>104.28112443137256</v>
      </c>
      <c r="BN7" s="90">
        <f t="shared" si="6"/>
        <v>104.28112443137256</v>
      </c>
      <c r="BO7" s="92">
        <f t="shared" si="7"/>
        <v>3</v>
      </c>
      <c r="BP7" s="103">
        <v>5</v>
      </c>
      <c r="BQ7" s="61">
        <f t="shared" si="1"/>
        <v>196.15637999999998</v>
      </c>
      <c r="BR7" s="90">
        <f>IFERROR(LARGE($AL$3:$AL$102,5),"")</f>
        <v>81.148745559444023</v>
      </c>
      <c r="BS7" s="90">
        <f t="shared" si="8"/>
        <v>81.148745559444023</v>
      </c>
      <c r="BT7" s="92">
        <f t="shared" si="9"/>
        <v>2</v>
      </c>
      <c r="BU7" s="91">
        <v>5</v>
      </c>
      <c r="BV7" s="61">
        <f t="shared" si="2"/>
        <v>130.37474364705884</v>
      </c>
      <c r="BW7" s="90">
        <f>IFERROR(LARGE($AZ$3:$AZ$52,5),"")</f>
        <v>21.637128039215682</v>
      </c>
      <c r="BX7" s="90">
        <f t="shared" si="10"/>
        <v>21.637128039215682</v>
      </c>
      <c r="BY7" s="105">
        <f t="shared" si="11"/>
        <v>3</v>
      </c>
      <c r="BZ7" s="90"/>
      <c r="CA7" s="90"/>
      <c r="CB7" s="90"/>
      <c r="CC7" s="90"/>
      <c r="CD7" s="90"/>
      <c r="CE7" s="90"/>
      <c r="CF7" s="90"/>
      <c r="CG7" s="90"/>
    </row>
    <row r="8" spans="1:85" s="62" customFormat="1" ht="14.25" customHeight="1" x14ac:dyDescent="0.3">
      <c r="A8" s="56" t="s">
        <v>368</v>
      </c>
      <c r="B8" s="56" t="str">
        <f>VLOOKUP(A8,ECR!E:L,8,FALSE())</f>
        <v>Jayden Daniels</v>
      </c>
      <c r="C8" s="46" t="str">
        <f>IFERROR(VLOOKUP(Table2[[#This Row],[PLAYER]],ECR!C:F,2,FALSE()),"-")</f>
        <v>WAS</v>
      </c>
      <c r="D8" s="46">
        <f>IFERROR(VLOOKUP(Table2[[#This Row],[PLAYER]],ECR!C:F,4,FALSE()),"-")</f>
        <v>7</v>
      </c>
      <c r="E8" s="46" t="str">
        <f>Table2[[#This Row],[Team]] &amp; "/" &amp; Table2[[#This Row],[Bye]]</f>
        <v>WAS/7</v>
      </c>
      <c r="F8" s="57">
        <f>IFERROR(VLOOKUP(Table2[[#This Row],[PLAYER]],QB!A:Q,15,FALSE())/17*(17-Table2[[#This Row],[Missed Games]]),0)</f>
        <v>261.29368470588236</v>
      </c>
      <c r="G8" s="57">
        <f>IFERROR(VLOOKUP(Table2[[#This Row],[PLAYER]],QB!A:Q,16,FALSE())/17*(17-Table2[[#This Row],[Missed Games]]),0)</f>
        <v>285.97043623529402</v>
      </c>
      <c r="H8" s="57">
        <f>IFERROR(VLOOKUP(Table2[[#This Row],[PLAYER]],QB!A:Q,17,FALSE())/17*(17-Table2[[#This Row],[Missed Games]]),0)</f>
        <v>309.6326616470588</v>
      </c>
      <c r="I8" s="58">
        <f>AVERAGE(AVERAGE(Table2[[#This Row],[LOW]],Table2[[#This Row],[HIGH]]),Table2[[#This Row],[AVG]],VLOOKUP(Table2[[#This Row],[PLAYER]],ECR!L:N,3,FALSE))</f>
        <v>282.16019799215678</v>
      </c>
      <c r="J8" s="58">
        <f>Table2[[#This Row],[Zscore Projection]]-$C$1</f>
        <v>19.828913286274485</v>
      </c>
      <c r="K8" s="59">
        <f>MAX(Table2[[#This Row],[VBD]]*Scoring!$B$48+1,1)</f>
        <v>10.694398645218069</v>
      </c>
      <c r="L8" s="45">
        <f>VLOOKUP(Table2[[#This Row],[VBD]],BH:BJ,3,FALSE)</f>
        <v>2</v>
      </c>
      <c r="M8" s="60">
        <f>VLOOKUP(INDEX(ECR!$E:$E,MATCH(B8,ECR!$C:$C,0)),RISK!A:B,2,FALSE())</f>
        <v>1.9240000000000013</v>
      </c>
      <c r="N8" s="61"/>
      <c r="O8" s="45" t="s">
        <v>108</v>
      </c>
      <c r="P8" s="56" t="str">
        <f>VLOOKUP(O8,ECR!E:L,8,FALSE())</f>
        <v>Chase Brown</v>
      </c>
      <c r="Q8" s="46" t="str">
        <f>IFERROR(VLOOKUP(Table4[[#This Row],[PLAYER]],ECR!C:F,2,FALSE()),"-")</f>
        <v>CIN</v>
      </c>
      <c r="R8" s="46">
        <f>IFERROR(VLOOKUP(Table4[[#This Row],[PLAYER]],ECR!C:F,4,FALSE()),"-")</f>
        <v>6</v>
      </c>
      <c r="S8" s="46" t="str">
        <f>Table4[[#This Row],[Team]] &amp; "/" &amp; Table4[[#This Row],[Bye]]</f>
        <v>CIN/6</v>
      </c>
      <c r="T8" s="57">
        <f>IFERROR(VLOOKUP(Table4[[#This Row],[PLAYER]],RB!A:Q,13,FALSE())/17*(17-Table4[[#This Row],[Missed Games]]),0)</f>
        <v>188.95627294117648</v>
      </c>
      <c r="U8" s="57">
        <f>IFERROR(VLOOKUP(Table4[[#This Row],[PLAYER]],RB!A:Q,14,FALSE())/17*(17-Table4[[#This Row],[Missed Games]]),0)</f>
        <v>209.41520752941176</v>
      </c>
      <c r="V8" s="57">
        <f>IFERROR(VLOOKUP(Table4[[#This Row],[PLAYER]],RB!A:Q,15,FALSE())/17*(17-Table4[[#This Row],[Missed Games]]),0)</f>
        <v>231.35248705882356</v>
      </c>
      <c r="W8" s="58">
        <f>AVERAGE(AVERAGE(Table4[[#This Row],[LOW]],Table4[[#This Row],[HIGH]]),Table4[[#This Row],[AVG]],VLOOKUP(Table4[[#This Row],[PLAYER]],ECR!L:N,3,FALSE))</f>
        <v>213.43188870588236</v>
      </c>
      <c r="X8" s="58">
        <f>Table4[[#This Row],[Zscore Projection]]-$Q$1</f>
        <v>99.277410764705891</v>
      </c>
      <c r="Y8" s="59">
        <f>MAX(Table4[[#This Row],[VBD]]*Scoring!$B$48+1,1)</f>
        <v>49.536941108331796</v>
      </c>
      <c r="Z8" s="45">
        <f>VLOOKUP(Table4[[#This Row],[VBD]],BM:BO,3,FALSE)</f>
        <v>3</v>
      </c>
      <c r="AA8" s="60">
        <f>VLOOKUP(INDEX(ECR!$E:$E,MATCH(P8,ECR!$C:$C,0)),RISK!A:B,2,FALSE())</f>
        <v>2.5564</v>
      </c>
      <c r="AB8" s="61"/>
      <c r="AC8" s="46" t="s">
        <v>114</v>
      </c>
      <c r="AD8" s="46" t="str">
        <f>VLOOKUP(AC8,ECR!E:L,8,FALSE())</f>
        <v>Justin Jefferson</v>
      </c>
      <c r="AE8" s="46" t="str">
        <f>IFERROR(VLOOKUP(Table6[[#This Row],[PLAYER]],ECR!C:F,2,FALSE()),"-")</f>
        <v>MIN</v>
      </c>
      <c r="AF8" s="46">
        <f>IFERROR(VLOOKUP(Table6[[#This Row],[PLAYER]],ECR!C:F,4,FALSE()),"-")</f>
        <v>6</v>
      </c>
      <c r="AG8" s="46" t="str">
        <f>Table6[[#This Row],[Team]] &amp; "/" &amp; Table6[[#This Row],[Bye]]</f>
        <v>MIN/6</v>
      </c>
      <c r="AH8" s="57">
        <f>IFERROR(VLOOKUP(Table6[[#This Row],[PLAYER]],WR!A:Q,13,FALSE())/17*(17-Table6[[#This Row],[Missed Games]]),0)</f>
        <v>186.39052352941175</v>
      </c>
      <c r="AI8" s="57">
        <f>IFERROR(VLOOKUP(Table6[[#This Row],[PLAYER]],WR!A:Q,14,FALSE())/17*(17-Table6[[#This Row],[Missed Games]]),0)</f>
        <v>194.98107505882354</v>
      </c>
      <c r="AJ8" s="57">
        <f>IFERROR(VLOOKUP(Table6[[#This Row],[PLAYER]],WR!A:Q,15,FALSE())/17*(17-Table6[[#This Row],[Missed Games]]),0)</f>
        <v>208.80103752941176</v>
      </c>
      <c r="AK8" s="58">
        <f>AVERAGE(AVERAGE(Table6[[#This Row],[LOW]],Table6[[#This Row],[HIGH]]),Table6[[#This Row],[AVG]],VLOOKUP(Table6[[#This Row],[PLAYER]],ECR!L:N,3,FALSE))</f>
        <v>195.8526435490196</v>
      </c>
      <c r="AL8" s="58">
        <f>Table6[[#This Row],[Zscore Projection]]-$AE$1</f>
        <v>81.148745559444023</v>
      </c>
      <c r="AM8" s="59">
        <f>MAX(Table6[[#This Row],[VBD]]*Scoring!$B$48+1,1)</f>
        <v>40.673797431812019</v>
      </c>
      <c r="AN8" s="45">
        <f>VLOOKUP(Table6[[#This Row],[VBD]],BR:BT,3,FALSE)</f>
        <v>2</v>
      </c>
      <c r="AO8" s="60">
        <f>VLOOKUP(INDEX(ECR!$E:$E,MATCH(AD8,ECR!$C:$C,0)),RISK!A:B,2,FALSE())</f>
        <v>2.1585999999999999</v>
      </c>
      <c r="AP8" s="61"/>
      <c r="AQ8" s="47" t="s">
        <v>157</v>
      </c>
      <c r="AR8" s="47" t="str">
        <f>VLOOKUP(AQ8,ECR!E:L,8,FALSE())</f>
        <v>Harold Fannin Jr.</v>
      </c>
      <c r="AS8" s="47" t="str">
        <f>IFERROR(VLOOKUP(Table7[[#This Row],[PLAYER]],ECR!C:F,2,FALSE()),"-")</f>
        <v>CLE</v>
      </c>
      <c r="AT8" s="47">
        <f>IFERROR(VLOOKUP(Table7[[#This Row],[PLAYER]],ECR!C:F,4,FALSE()),"-")</f>
        <v>11</v>
      </c>
      <c r="AU8" s="47" t="str">
        <f>Table7[[#This Row],[Team]] &amp; "/" &amp; Table7[[#This Row],[Bye]]</f>
        <v>CLE/11</v>
      </c>
      <c r="AV8" s="57">
        <f>IFERROR(VLOOKUP(Table7[[#This Row],[PLAYER]],TE!A:K,9,FALSE())/17*(16-Table7[[#This Row],[Missed Games]]),0)</f>
        <v>112.53346588235296</v>
      </c>
      <c r="AW8" s="57">
        <f>IFERROR(VLOOKUP(Table7[[#This Row],[PLAYER]],TE!A:K,10,FALSE())/17*(16-Table7[[#This Row],[Missed Games]]),0)</f>
        <v>130.37474364705884</v>
      </c>
      <c r="AX8" s="57">
        <f>IFERROR(VLOOKUP(Table7[[#This Row],[PLAYER]],TE!A:K,11,FALSE())/17*(16-Table7[[#This Row],[Missed Games]]),0)</f>
        <v>152.47538823529413</v>
      </c>
      <c r="AY8" s="58">
        <f>AVERAGE(AVERAGE(Table7[[#This Row],[LOW]],Table7[[#This Row],[HIGH]]),Table7[[#This Row],[AVG]],VLOOKUP(Table7[[#This Row],[PLAYER]],ECR!L:N,3,FALSE))</f>
        <v>129.55197423529413</v>
      </c>
      <c r="AZ8" s="58">
        <f>Table7[[#This Row],[Zscore Projection]]-$AS$1</f>
        <v>21.637128039215682</v>
      </c>
      <c r="BA8" s="59">
        <f>MAX(Table7[[#This Row],[VBD]]*Scoring!$B$48+1,1)</f>
        <v>11.578438753624331</v>
      </c>
      <c r="BB8" s="57">
        <f>VLOOKUP(Table7[[#This Row],[VBD]],BW:BY,3,FALSE)</f>
        <v>3</v>
      </c>
      <c r="BC8" s="60">
        <f>VLOOKUP(INDEX(ECR!$E:$E,MATCH(AR8,ECR!$C:$C,0)),RISK!A:B,2,FALSE())</f>
        <v>1.9125999999999994</v>
      </c>
      <c r="BD8" s="57"/>
      <c r="BE8" s="61"/>
      <c r="BF8" s="91">
        <v>6</v>
      </c>
      <c r="BG8" s="61">
        <f t="shared" si="12"/>
        <v>275.04698456470578</v>
      </c>
      <c r="BH8" s="61">
        <f>IFERROR(LARGE($J$3:$J$52,6),"")</f>
        <v>16.191295011764737</v>
      </c>
      <c r="BI8" s="61">
        <f t="shared" si="4"/>
        <v>16.191295011764737</v>
      </c>
      <c r="BJ8" s="92">
        <f t="shared" si="5"/>
        <v>3</v>
      </c>
      <c r="BK8" s="91">
        <v>6</v>
      </c>
      <c r="BL8" s="61">
        <f t="shared" si="0"/>
        <v>220.72607858823531</v>
      </c>
      <c r="BM8" s="90">
        <f>IFERROR(LARGE($X$3:$X$102,6),"")</f>
        <v>103.98851174509805</v>
      </c>
      <c r="BN8" s="90">
        <f t="shared" si="6"/>
        <v>104.28112443137256</v>
      </c>
      <c r="BO8" s="92">
        <f t="shared" si="7"/>
        <v>3</v>
      </c>
      <c r="BP8" s="103">
        <v>6</v>
      </c>
      <c r="BQ8" s="61">
        <f t="shared" si="1"/>
        <v>194.98107505882354</v>
      </c>
      <c r="BR8" s="90">
        <f>IFERROR(LARGE($AL$3:$AL$102,6),"")</f>
        <v>80.340414804542064</v>
      </c>
      <c r="BS8" s="90">
        <f t="shared" si="8"/>
        <v>81.148745559444023</v>
      </c>
      <c r="BT8" s="92">
        <f t="shared" si="9"/>
        <v>2</v>
      </c>
      <c r="BU8" s="91">
        <v>6</v>
      </c>
      <c r="BV8" s="61">
        <f t="shared" si="2"/>
        <v>125.77675200000002</v>
      </c>
      <c r="BW8" s="90">
        <f>IFERROR(LARGE($AZ$3:$AZ$52,6),"")</f>
        <v>16.213926892156849</v>
      </c>
      <c r="BX8" s="90">
        <f t="shared" si="10"/>
        <v>21.637128039215682</v>
      </c>
      <c r="BY8" s="105">
        <f t="shared" si="11"/>
        <v>3</v>
      </c>
      <c r="BZ8" s="90"/>
      <c r="CA8" s="90"/>
      <c r="CB8" s="90"/>
      <c r="CC8" s="90"/>
      <c r="CD8" s="90"/>
      <c r="CE8" s="90"/>
      <c r="CF8" s="90"/>
      <c r="CG8" s="90"/>
    </row>
    <row r="9" spans="1:85" s="62" customFormat="1" ht="14.25" customHeight="1" x14ac:dyDescent="0.3">
      <c r="A9" s="56" t="s">
        <v>369</v>
      </c>
      <c r="B9" s="56" t="str">
        <f>VLOOKUP(A9,ECR!E:L,8,FALSE())</f>
        <v>Caleb Williams</v>
      </c>
      <c r="C9" s="46" t="str">
        <f>IFERROR(VLOOKUP(Table2[[#This Row],[PLAYER]],ECR!C:F,2,FALSE()),"-")</f>
        <v>CHI</v>
      </c>
      <c r="D9" s="46">
        <f>IFERROR(VLOOKUP(Table2[[#This Row],[PLAYER]],ECR!C:F,4,FALSE()),"-")</f>
        <v>10</v>
      </c>
      <c r="E9" s="46" t="str">
        <f>Table2[[#This Row],[Team]] &amp; "/" &amp; Table2[[#This Row],[Bye]]</f>
        <v>CHI/10</v>
      </c>
      <c r="F9" s="57">
        <f>IFERROR(VLOOKUP(Table2[[#This Row],[PLAYER]],QB!A:Q,15,FALSE())/17*(17-Table2[[#This Row],[Missed Games]]),0)</f>
        <v>253.93506781176467</v>
      </c>
      <c r="G9" s="57">
        <f>IFERROR(VLOOKUP(Table2[[#This Row],[PLAYER]],QB!A:Q,16,FALSE())/17*(17-Table2[[#This Row],[Missed Games]]),0)</f>
        <v>267.65049656470586</v>
      </c>
      <c r="H9" s="57">
        <f>IFERROR(VLOOKUP(Table2[[#This Row],[PLAYER]],QB!A:Q,17,FALSE())/17*(17-Table2[[#This Row],[Missed Games]]),0)</f>
        <v>283.32324423529406</v>
      </c>
      <c r="I9" s="58">
        <f>AVERAGE(AVERAGE(Table2[[#This Row],[LOW]],Table2[[#This Row],[HIGH]]),Table2[[#This Row],[AVG]],VLOOKUP(Table2[[#This Row],[PLAYER]],ECR!L:N,3,FALSE))</f>
        <v>269.32574444705875</v>
      </c>
      <c r="J9" s="58">
        <f>Table2[[#This Row],[Zscore Projection]]-$C$1</f>
        <v>6.9944597411764562</v>
      </c>
      <c r="K9" s="59">
        <f>MAX(Table2[[#This Row],[VBD]]*Scoring!$B$48+1,1)</f>
        <v>4.4196065139802307</v>
      </c>
      <c r="L9" s="45">
        <f>VLOOKUP(Table2[[#This Row],[VBD]],BH:BJ,3,FALSE)</f>
        <v>4</v>
      </c>
      <c r="M9" s="60">
        <f>VLOOKUP(INDEX(ECR!$E:$E,MATCH(B9,ECR!$C:$C,0)),RISK!A:B,2,FALSE())</f>
        <v>1.9164000000000012</v>
      </c>
      <c r="N9" s="61"/>
      <c r="O9" s="45" t="s">
        <v>109</v>
      </c>
      <c r="P9" s="56" t="str">
        <f>VLOOKUP(O9,ECR!E:L,8,FALSE())</f>
        <v>Saquon Barkley</v>
      </c>
      <c r="Q9" s="46" t="str">
        <f>IFERROR(VLOOKUP(Table4[[#This Row],[PLAYER]],ECR!C:F,2,FALSE()),"-")</f>
        <v>PHI</v>
      </c>
      <c r="R9" s="46">
        <f>IFERROR(VLOOKUP(Table4[[#This Row],[PLAYER]],ECR!C:F,4,FALSE()),"-")</f>
        <v>10</v>
      </c>
      <c r="S9" s="46" t="str">
        <f>Table4[[#This Row],[Team]] &amp; "/" &amp; Table4[[#This Row],[Bye]]</f>
        <v>PHI/10</v>
      </c>
      <c r="T9" s="57">
        <f>IFERROR(VLOOKUP(Table4[[#This Row],[PLAYER]],RB!A:Q,13,FALSE())/17*(17-Table4[[#This Row],[Missed Games]]),0)</f>
        <v>192.63324705882351</v>
      </c>
      <c r="U9" s="57">
        <f>IFERROR(VLOOKUP(Table4[[#This Row],[PLAYER]],RB!A:Q,14,FALSE())/17*(17-Table4[[#This Row],[Missed Games]]),0)</f>
        <v>206.99580529411764</v>
      </c>
      <c r="V9" s="57">
        <f>IFERROR(VLOOKUP(Table4[[#This Row],[PLAYER]],RB!A:Q,15,FALSE())/17*(17-Table4[[#This Row],[Missed Games]]),0)</f>
        <v>222.43704176470587</v>
      </c>
      <c r="W9" s="58">
        <f>AVERAGE(AVERAGE(Table4[[#This Row],[LOW]],Table4[[#This Row],[HIGH]]),Table4[[#This Row],[AVG]],VLOOKUP(Table4[[#This Row],[PLAYER]],ECR!L:N,3,FALSE))</f>
        <v>210.11737774509803</v>
      </c>
      <c r="X9" s="58">
        <f>Table4[[#This Row],[Zscore Projection]]-$Q$1</f>
        <v>95.962899803921559</v>
      </c>
      <c r="Y9" s="59">
        <f>MAX(Table4[[#This Row],[VBD]]*Scoring!$B$48+1,1)</f>
        <v>47.916469522023036</v>
      </c>
      <c r="Z9" s="45">
        <f>VLOOKUP(Table4[[#This Row],[VBD]],BM:BO,3,FALSE)</f>
        <v>3</v>
      </c>
      <c r="AA9" s="60">
        <f>VLOOKUP(INDEX(ECR!$E:$E,MATCH(P9,ECR!$C:$C,0)),RISK!A:B,2,FALSE())</f>
        <v>2.5609999999999999</v>
      </c>
      <c r="AB9" s="61"/>
      <c r="AC9" s="46" t="s">
        <v>110</v>
      </c>
      <c r="AD9" s="46" t="str">
        <f>VLOOKUP(AC9,ECR!E:L,8,FALSE())</f>
        <v>A.J. Brown</v>
      </c>
      <c r="AE9" s="46" t="str">
        <f>IFERROR(VLOOKUP(Table6[[#This Row],[PLAYER]],ECR!C:F,2,FALSE()),"-")</f>
        <v>NE</v>
      </c>
      <c r="AF9" s="46">
        <f>IFERROR(VLOOKUP(Table6[[#This Row],[PLAYER]],ECR!C:F,4,FALSE()),"-")</f>
        <v>11</v>
      </c>
      <c r="AG9" s="46" t="str">
        <f>Table6[[#This Row],[Team]] &amp; "/" &amp; Table6[[#This Row],[Bye]]</f>
        <v>NE/11</v>
      </c>
      <c r="AH9" s="57">
        <f>IFERROR(VLOOKUP(Table6[[#This Row],[PLAYER]],WR!A:Q,13,FALSE())/17*(17-Table6[[#This Row],[Missed Games]]),0)</f>
        <v>173.24914529411765</v>
      </c>
      <c r="AI9" s="57">
        <f>IFERROR(VLOOKUP(Table6[[#This Row],[PLAYER]],WR!A:Q,14,FALSE())/17*(17-Table6[[#This Row],[Missed Games]]),0)</f>
        <v>185.09754394117644</v>
      </c>
      <c r="AJ9" s="57">
        <f>IFERROR(VLOOKUP(Table6[[#This Row],[PLAYER]],WR!A:Q,15,FALSE())/17*(17-Table6[[#This Row],[Missed Games]]),0)</f>
        <v>202.10951470588233</v>
      </c>
      <c r="AK9" s="58">
        <f>AVERAGE(AVERAGE(Table6[[#This Row],[LOW]],Table6[[#This Row],[HIGH]]),Table6[[#This Row],[AVG]],VLOOKUP(Table6[[#This Row],[PLAYER]],ECR!L:N,3,FALSE))</f>
        <v>188.45386680392153</v>
      </c>
      <c r="AL9" s="58">
        <f>Table6[[#This Row],[Zscore Projection]]-$AE$1</f>
        <v>73.749968814345948</v>
      </c>
      <c r="AM9" s="59">
        <f>MAX(Table6[[#This Row],[VBD]]*Scoring!$B$48+1,1)</f>
        <v>37.056519459065086</v>
      </c>
      <c r="AN9" s="45">
        <f>VLOOKUP(Table6[[#This Row],[VBD]],BR:BT,3,FALSE)</f>
        <v>2</v>
      </c>
      <c r="AO9" s="60">
        <f>VLOOKUP(INDEX(ECR!$E:$E,MATCH(AD9,ECR!$C:$C,0)),RISK!A:B,2,FALSE())</f>
        <v>2.2221000000000011</v>
      </c>
      <c r="AP9" s="61"/>
      <c r="AQ9" s="47" t="s">
        <v>168</v>
      </c>
      <c r="AR9" s="47" t="str">
        <f>VLOOKUP(AQ9,ECR!E:L,8,FALSE())</f>
        <v>Sam LaPorta</v>
      </c>
      <c r="AS9" s="47" t="str">
        <f>IFERROR(VLOOKUP(Table7[[#This Row],[PLAYER]],ECR!C:F,2,FALSE()),"-")</f>
        <v>DET</v>
      </c>
      <c r="AT9" s="47">
        <f>IFERROR(VLOOKUP(Table7[[#This Row],[PLAYER]],ECR!C:F,4,FALSE()),"-")</f>
        <v>6</v>
      </c>
      <c r="AU9" s="47" t="str">
        <f>Table7[[#This Row],[Team]] &amp; "/" &amp; Table7[[#This Row],[Bye]]</f>
        <v>DET/6</v>
      </c>
      <c r="AV9" s="57">
        <f>IFERROR(VLOOKUP(Table7[[#This Row],[PLAYER]],TE!A:K,9,FALSE())/17*(16-Table7[[#This Row],[Missed Games]]),0)</f>
        <v>111.36942235294117</v>
      </c>
      <c r="AW9" s="57">
        <f>IFERROR(VLOOKUP(Table7[[#This Row],[PLAYER]],TE!A:K,10,FALSE())/17*(16-Table7[[#This Row],[Missed Games]]),0)</f>
        <v>123.85906323529413</v>
      </c>
      <c r="AX9" s="57">
        <f>IFERROR(VLOOKUP(Table7[[#This Row],[PLAYER]],TE!A:K,11,FALSE())/17*(16-Table7[[#This Row],[Missed Games]]),0)</f>
        <v>137.96696323529412</v>
      </c>
      <c r="AY9" s="58">
        <f>AVERAGE(AVERAGE(Table7[[#This Row],[LOW]],Table7[[#This Row],[HIGH]]),Table7[[#This Row],[AVG]],VLOOKUP(Table7[[#This Row],[PLAYER]],ECR!L:N,3,FALSE))</f>
        <v>124.12877308823529</v>
      </c>
      <c r="AZ9" s="58">
        <f>Table7[[#This Row],[Zscore Projection]]-$AS$1</f>
        <v>16.213926892156849</v>
      </c>
      <c r="BA9" s="59">
        <f>MAX(Table7[[#This Row],[VBD]]*Scoring!$B$48+1,1)</f>
        <v>8.9270239688723976</v>
      </c>
      <c r="BB9" s="57">
        <f>VLOOKUP(Table7[[#This Row],[VBD]],BW:BY,3,FALSE)</f>
        <v>3</v>
      </c>
      <c r="BC9" s="60">
        <f>VLOOKUP(INDEX(ECR!$E:$E,MATCH(AR9,ECR!$C:$C,0)),RISK!A:B,2,FALSE())</f>
        <v>1.8920999999999992</v>
      </c>
      <c r="BD9" s="57"/>
      <c r="BE9" s="61"/>
      <c r="BF9" s="91">
        <v>7</v>
      </c>
      <c r="BG9" s="61">
        <f t="shared" si="12"/>
        <v>271.69758075294118</v>
      </c>
      <c r="BH9" s="61">
        <f>IFERROR(LARGE($J$3:$J$52,7),"")</f>
        <v>9.7413921960784364</v>
      </c>
      <c r="BI9" s="61">
        <f t="shared" si="4"/>
        <v>9.7413921960784364</v>
      </c>
      <c r="BJ9" s="92">
        <f t="shared" si="5"/>
        <v>4</v>
      </c>
      <c r="BK9" s="91">
        <v>7</v>
      </c>
      <c r="BL9" s="61">
        <f t="shared" si="0"/>
        <v>215.82118352941174</v>
      </c>
      <c r="BM9" s="90">
        <f>IFERROR(LARGE($X$3:$X$102,7),"")</f>
        <v>101.43904003921573</v>
      </c>
      <c r="BN9" s="90">
        <f t="shared" si="6"/>
        <v>104.28112443137256</v>
      </c>
      <c r="BO9" s="92">
        <f t="shared" si="7"/>
        <v>3</v>
      </c>
      <c r="BP9" s="103">
        <v>7</v>
      </c>
      <c r="BQ9" s="61">
        <f t="shared" si="1"/>
        <v>192.58472647058824</v>
      </c>
      <c r="BR9" s="90">
        <f>IFERROR(LARGE($AL$3:$AL$102,7),"")</f>
        <v>75.674121363365572</v>
      </c>
      <c r="BS9" s="90">
        <f t="shared" si="8"/>
        <v>81.148745559444023</v>
      </c>
      <c r="BT9" s="92">
        <f t="shared" si="9"/>
        <v>2</v>
      </c>
      <c r="BU9" s="91">
        <v>7</v>
      </c>
      <c r="BV9" s="61">
        <f t="shared" si="2"/>
        <v>123.85906323529413</v>
      </c>
      <c r="BW9" s="90">
        <f>IFERROR(LARGE($AZ$3:$AZ$52,7),"")</f>
        <v>16.094213803921576</v>
      </c>
      <c r="BX9" s="90">
        <f t="shared" si="10"/>
        <v>21.637128039215682</v>
      </c>
      <c r="BY9" s="105">
        <f t="shared" si="11"/>
        <v>3</v>
      </c>
      <c r="BZ9" s="90"/>
      <c r="CA9" s="90"/>
      <c r="CB9" s="90"/>
      <c r="CC9" s="90"/>
      <c r="CD9" s="90"/>
      <c r="CE9" s="90"/>
      <c r="CF9" s="90"/>
      <c r="CG9" s="90"/>
    </row>
    <row r="10" spans="1:85" s="62" customFormat="1" ht="14.25" customHeight="1" x14ac:dyDescent="0.3">
      <c r="A10" s="56" t="s">
        <v>370</v>
      </c>
      <c r="B10" s="56" t="str">
        <f>VLOOKUP(A10,ECR!E:L,8,FALSE())</f>
        <v>Justin Herbert</v>
      </c>
      <c r="C10" s="46" t="str">
        <f>IFERROR(VLOOKUP(Table2[[#This Row],[PLAYER]],ECR!C:F,2,FALSE()),"-")</f>
        <v>LAC</v>
      </c>
      <c r="D10" s="46">
        <f>IFERROR(VLOOKUP(Table2[[#This Row],[PLAYER]],ECR!C:F,4,FALSE()),"-")</f>
        <v>7</v>
      </c>
      <c r="E10" s="46" t="str">
        <f>Table2[[#This Row],[Team]] &amp; "/" &amp; Table2[[#This Row],[Bye]]</f>
        <v>LAC/7</v>
      </c>
      <c r="F10" s="57">
        <f>IFERROR(VLOOKUP(Table2[[#This Row],[PLAYER]],QB!A:Q,15,FALSE())/17*(17-Table2[[#This Row],[Missed Games]]),0)</f>
        <v>250.95338305882353</v>
      </c>
      <c r="G10" s="57">
        <f>IFERROR(VLOOKUP(Table2[[#This Row],[PLAYER]],QB!A:Q,16,FALSE())/17*(17-Table2[[#This Row],[Missed Games]]),0)</f>
        <v>265.58530748235296</v>
      </c>
      <c r="H10" s="57">
        <f>IFERROR(VLOOKUP(Table2[[#This Row],[PLAYER]],QB!A:Q,17,FALSE())/17*(17-Table2[[#This Row],[Missed Games]]),0)</f>
        <v>285.18679905882351</v>
      </c>
      <c r="I10" s="58">
        <f>AVERAGE(AVERAGE(Table2[[#This Row],[LOW]],Table2[[#This Row],[HIGH]]),Table2[[#This Row],[AVG]],VLOOKUP(Table2[[#This Row],[PLAYER]],ECR!L:N,3,FALSE))</f>
        <v>268.37936578823525</v>
      </c>
      <c r="J10" s="58">
        <f>Table2[[#This Row],[Zscore Projection]]-$C$1</f>
        <v>6.0480810823529509</v>
      </c>
      <c r="K10" s="59">
        <f>MAX(Table2[[#This Row],[VBD]]*Scoring!$B$48+1,1)</f>
        <v>3.9569199382962017</v>
      </c>
      <c r="L10" s="45">
        <f>VLOOKUP(Table2[[#This Row],[VBD]],BH:BJ,3,FALSE)</f>
        <v>4</v>
      </c>
      <c r="M10" s="60">
        <f>VLOOKUP(INDEX(ECR!$E:$E,MATCH(B10,ECR!$C:$C,0)),RISK!A:B,2,FALSE())</f>
        <v>1.9192</v>
      </c>
      <c r="N10" s="61"/>
      <c r="O10" s="45" t="s">
        <v>106</v>
      </c>
      <c r="P10" s="56" t="str">
        <f>VLOOKUP(O10,ECR!E:L,8,FALSE())</f>
        <v>De'Von Achane</v>
      </c>
      <c r="Q10" s="46" t="str">
        <f>IFERROR(VLOOKUP(Table4[[#This Row],[PLAYER]],ECR!C:F,2,FALSE()),"-")</f>
        <v>MIA</v>
      </c>
      <c r="R10" s="46">
        <f>IFERROR(VLOOKUP(Table4[[#This Row],[PLAYER]],ECR!C:F,4,FALSE()),"-")</f>
        <v>6</v>
      </c>
      <c r="S10" s="46" t="str">
        <f>Table4[[#This Row],[Team]] &amp; "/" &amp; Table4[[#This Row],[Bye]]</f>
        <v>MIA/6</v>
      </c>
      <c r="T10" s="57">
        <f>IFERROR(VLOOKUP(Table4[[#This Row],[PLAYER]],RB!A:Q,13,FALSE())/17*(17-Table4[[#This Row],[Missed Games]]),0)</f>
        <v>193.57468235294118</v>
      </c>
      <c r="U10" s="57">
        <f>IFERROR(VLOOKUP(Table4[[#This Row],[PLAYER]],RB!A:Q,14,FALSE())/17*(17-Table4[[#This Row],[Missed Games]]),0)</f>
        <v>220.72607858823531</v>
      </c>
      <c r="V10" s="57">
        <f>IFERROR(VLOOKUP(Table4[[#This Row],[PLAYER]],RB!A:Q,15,FALSE())/17*(17-Table4[[#This Row],[Missed Games]]),0)</f>
        <v>255.00068352941176</v>
      </c>
      <c r="W10" s="58">
        <f>AVERAGE(AVERAGE(Table4[[#This Row],[LOW]],Table4[[#This Row],[HIGH]]),Table4[[#This Row],[AVG]],VLOOKUP(Table4[[#This Row],[PLAYER]],ECR!L:N,3,FALSE))</f>
        <v>218.14298968627452</v>
      </c>
      <c r="X10" s="58">
        <f>Table4[[#This Row],[Zscore Projection]]-$Q$1</f>
        <v>103.98851174509805</v>
      </c>
      <c r="Y10" s="59">
        <f>MAX(Table4[[#This Row],[VBD]]*Scoring!$B$48+1,1)</f>
        <v>51.840208579545802</v>
      </c>
      <c r="Z10" s="45">
        <f>VLOOKUP(Table4[[#This Row],[VBD]],BM:BO,3,FALSE)</f>
        <v>3</v>
      </c>
      <c r="AA10" s="60">
        <f>VLOOKUP(INDEX(ECR!$E:$E,MATCH(P10,ECR!$C:$C,0)),RISK!A:B,2,FALSE())</f>
        <v>2.5668000000000006</v>
      </c>
      <c r="AB10" s="61"/>
      <c r="AC10" s="46" t="s">
        <v>123</v>
      </c>
      <c r="AD10" s="46" t="str">
        <f>VLOOKUP(AC10,ECR!E:L,8,FALSE())</f>
        <v>Drake London</v>
      </c>
      <c r="AE10" s="46" t="str">
        <f>IFERROR(VLOOKUP(Table6[[#This Row],[PLAYER]],ECR!C:F,2,FALSE()),"-")</f>
        <v>ATL</v>
      </c>
      <c r="AF10" s="46">
        <f>IFERROR(VLOOKUP(Table6[[#This Row],[PLAYER]],ECR!C:F,4,FALSE()),"-")</f>
        <v>11</v>
      </c>
      <c r="AG10" s="46" t="str">
        <f>Table6[[#This Row],[Team]] &amp; "/" &amp; Table6[[#This Row],[Bye]]</f>
        <v>ATL/11</v>
      </c>
      <c r="AH10" s="57">
        <f>IFERROR(VLOOKUP(Table6[[#This Row],[PLAYER]],WR!A:Q,13,FALSE())/17*(17-Table6[[#This Row],[Missed Games]]),0)</f>
        <v>183.48739411764706</v>
      </c>
      <c r="AI10" s="57">
        <f>IFERROR(VLOOKUP(Table6[[#This Row],[PLAYER]],WR!A:Q,14,FALSE())/17*(17-Table6[[#This Row],[Missed Games]]),0)</f>
        <v>192.58472647058824</v>
      </c>
      <c r="AJ10" s="57">
        <f>IFERROR(VLOOKUP(Table6[[#This Row],[PLAYER]],WR!A:Q,15,FALSE())/17*(17-Table6[[#This Row],[Missed Games]]),0)</f>
        <v>202.93716176470588</v>
      </c>
      <c r="AK10" s="58">
        <f>AVERAGE(AVERAGE(Table6[[#This Row],[LOW]],Table6[[#This Row],[HIGH]]),Table6[[#This Row],[AVG]],VLOOKUP(Table6[[#This Row],[PLAYER]],ECR!L:N,3,FALSE))</f>
        <v>190.37801935294115</v>
      </c>
      <c r="AL10" s="58">
        <f>Table6[[#This Row],[Zscore Projection]]-$AE$1</f>
        <v>75.674121363365572</v>
      </c>
      <c r="AM10" s="59">
        <f>MAX(Table6[[#This Row],[VBD]]*Scoring!$B$48+1,1)</f>
        <v>37.997241807037661</v>
      </c>
      <c r="AN10" s="45">
        <f>VLOOKUP(Table6[[#This Row],[VBD]],BR:BT,3,FALSE)</f>
        <v>2</v>
      </c>
      <c r="AO10" s="60">
        <f>VLOOKUP(INDEX(ECR!$E:$E,MATCH(AD10,ECR!$C:$C,0)),RISK!A:B,2,FALSE())</f>
        <v>2.2850000000000001</v>
      </c>
      <c r="AP10" s="61"/>
      <c r="AQ10" s="47" t="s">
        <v>155</v>
      </c>
      <c r="AR10" s="47" t="str">
        <f>VLOOKUP(AQ10,ECR!E:L,8,FALSE())</f>
        <v>Kyle Pitts Sr.</v>
      </c>
      <c r="AS10" s="47" t="str">
        <f>IFERROR(VLOOKUP(Table7[[#This Row],[PLAYER]],ECR!C:F,2,FALSE()),"-")</f>
        <v>ATL</v>
      </c>
      <c r="AT10" s="47">
        <f>IFERROR(VLOOKUP(Table7[[#This Row],[PLAYER]],ECR!C:F,4,FALSE()),"-")</f>
        <v>11</v>
      </c>
      <c r="AU10" s="47" t="str">
        <f>Table7[[#This Row],[Team]] &amp; "/" &amp; Table7[[#This Row],[Bye]]</f>
        <v>ATL/11</v>
      </c>
      <c r="AV10" s="57">
        <f>IFERROR(VLOOKUP(Table7[[#This Row],[PLAYER]],TE!A:K,9,FALSE())/17*(16-Table7[[#This Row],[Missed Games]]),0)</f>
        <v>114.33960000000003</v>
      </c>
      <c r="AW10" s="57">
        <f>IFERROR(VLOOKUP(Table7[[#This Row],[PLAYER]],TE!A:K,10,FALSE())/17*(16-Table7[[#This Row],[Missed Games]]),0)</f>
        <v>123.79732000000001</v>
      </c>
      <c r="AX10" s="57">
        <f>IFERROR(VLOOKUP(Table7[[#This Row],[PLAYER]],TE!A:K,11,FALSE())/17*(16-Table7[[#This Row],[Missed Games]]),0)</f>
        <v>134.52548000000002</v>
      </c>
      <c r="AY10" s="58">
        <f>AVERAGE(AVERAGE(Table7[[#This Row],[LOW]],Table7[[#This Row],[HIGH]]),Table7[[#This Row],[AVG]],VLOOKUP(Table7[[#This Row],[PLAYER]],ECR!L:N,3,FALSE))</f>
        <v>124.00906000000002</v>
      </c>
      <c r="AZ10" s="58">
        <f>Table7[[#This Row],[Zscore Projection]]-$AS$1</f>
        <v>16.094213803921576</v>
      </c>
      <c r="BA10" s="59">
        <f>MAX(Table7[[#This Row],[VBD]]*Scoring!$B$48+1,1)</f>
        <v>8.8684959807951973</v>
      </c>
      <c r="BB10" s="57">
        <f>VLOOKUP(Table7[[#This Row],[VBD]],BW:BY,3,FALSE)</f>
        <v>3</v>
      </c>
      <c r="BC10" s="60">
        <f>VLOOKUP(INDEX(ECR!$E:$E,MATCH(AR10,ECR!$C:$C,0)),RISK!A:B,2,FALSE())</f>
        <v>1.8839999999999986</v>
      </c>
      <c r="BD10" s="57"/>
      <c r="BE10" s="61"/>
      <c r="BF10" s="91">
        <v>8</v>
      </c>
      <c r="BG10" s="61">
        <f t="shared" si="12"/>
        <v>271.48269882352935</v>
      </c>
      <c r="BH10" s="61">
        <f>IFERROR(LARGE($J$3:$J$52,8),"")</f>
        <v>8.0687444705882854</v>
      </c>
      <c r="BI10" s="61">
        <f t="shared" si="4"/>
        <v>9.7413921960784364</v>
      </c>
      <c r="BJ10" s="92">
        <f t="shared" si="5"/>
        <v>4</v>
      </c>
      <c r="BK10" s="91">
        <v>8</v>
      </c>
      <c r="BL10" s="61">
        <f t="shared" si="0"/>
        <v>209.41520752941176</v>
      </c>
      <c r="BM10" s="90">
        <f>IFERROR(LARGE($X$3:$X$102,8),"")</f>
        <v>99.277410764705891</v>
      </c>
      <c r="BN10" s="90">
        <f t="shared" si="6"/>
        <v>104.28112443137256</v>
      </c>
      <c r="BO10" s="92">
        <f t="shared" si="7"/>
        <v>3</v>
      </c>
      <c r="BP10" s="103">
        <v>8</v>
      </c>
      <c r="BQ10" s="61">
        <f t="shared" si="1"/>
        <v>185.33705364705884</v>
      </c>
      <c r="BR10" s="90">
        <f>IFERROR(LARGE($AL$3:$AL$102,8),"")</f>
        <v>73.749968814345948</v>
      </c>
      <c r="BS10" s="90">
        <f t="shared" si="8"/>
        <v>81.148745559444023</v>
      </c>
      <c r="BT10" s="92">
        <f t="shared" si="9"/>
        <v>2</v>
      </c>
      <c r="BU10" s="91">
        <v>8</v>
      </c>
      <c r="BV10" s="61">
        <f t="shared" si="2"/>
        <v>123.79732000000001</v>
      </c>
      <c r="BW10" s="90">
        <f>IFERROR(LARGE($AZ$3:$AZ$52,8),"")</f>
        <v>16.089465607843152</v>
      </c>
      <c r="BX10" s="90">
        <f t="shared" si="10"/>
        <v>21.637128039215682</v>
      </c>
      <c r="BY10" s="105">
        <f t="shared" si="11"/>
        <v>3</v>
      </c>
      <c r="BZ10" s="90"/>
      <c r="CA10" s="90"/>
      <c r="CB10" s="90"/>
      <c r="CC10" s="90"/>
      <c r="CD10" s="90"/>
      <c r="CE10" s="90"/>
      <c r="CF10" s="90"/>
      <c r="CG10" s="90"/>
    </row>
    <row r="11" spans="1:85" s="62" customFormat="1" ht="14.25" customHeight="1" x14ac:dyDescent="0.3">
      <c r="A11" s="56" t="s">
        <v>371</v>
      </c>
      <c r="B11" s="56" t="str">
        <f>VLOOKUP(A11,ECR!E:L,8,FALSE())</f>
        <v>Trevor Lawrence</v>
      </c>
      <c r="C11" s="46" t="str">
        <f>IFERROR(VLOOKUP(Table2[[#This Row],[PLAYER]],ECR!C:F,2,FALSE()),"-")</f>
        <v>JAC</v>
      </c>
      <c r="D11" s="46">
        <f>IFERROR(VLOOKUP(Table2[[#This Row],[PLAYER]],ECR!C:F,4,FALSE()),"-")</f>
        <v>7</v>
      </c>
      <c r="E11" s="46" t="str">
        <f>Table2[[#This Row],[Team]] &amp; "/" &amp; Table2[[#This Row],[Bye]]</f>
        <v>JAC/7</v>
      </c>
      <c r="F11" s="57">
        <f>IFERROR(VLOOKUP(Table2[[#This Row],[PLAYER]],QB!A:Q,15,FALSE())/17*(17-Table2[[#This Row],[Missed Games]]),0)</f>
        <v>252.834328</v>
      </c>
      <c r="G11" s="57">
        <f>IFERROR(VLOOKUP(Table2[[#This Row],[PLAYER]],QB!A:Q,16,FALSE())/17*(17-Table2[[#This Row],[Missed Games]]),0)</f>
        <v>271.48269882352935</v>
      </c>
      <c r="H11" s="57">
        <f>IFERROR(VLOOKUP(Table2[[#This Row],[PLAYER]],QB!A:Q,17,FALSE())/17*(17-Table2[[#This Row],[Missed Games]]),0)</f>
        <v>296.4151451764705</v>
      </c>
      <c r="I11" s="58">
        <f>AVERAGE(AVERAGE(Table2[[#This Row],[LOW]],Table2[[#This Row],[HIGH]]),Table2[[#This Row],[AVG]],VLOOKUP(Table2[[#This Row],[PLAYER]],ECR!L:N,3,FALSE))</f>
        <v>272.07267690196073</v>
      </c>
      <c r="J11" s="58">
        <f>Table2[[#This Row],[Zscore Projection]]-$C$1</f>
        <v>9.7413921960784364</v>
      </c>
      <c r="K11" s="59">
        <f>MAX(Table2[[#This Row],[VBD]]*Scoring!$B$48+1,1)</f>
        <v>5.7625877396705159</v>
      </c>
      <c r="L11" s="45">
        <f>VLOOKUP(Table2[[#This Row],[VBD]],BH:BJ,3,FALSE)</f>
        <v>4</v>
      </c>
      <c r="M11" s="60">
        <f>VLOOKUP(INDEX(ECR!$E:$E,MATCH(B11,ECR!$C:$C,0)),RISK!A:B,2,FALSE())</f>
        <v>1.9324000000000012</v>
      </c>
      <c r="N11" s="61"/>
      <c r="O11" s="45" t="s">
        <v>116</v>
      </c>
      <c r="P11" s="56" t="str">
        <f>VLOOKUP(O11,ECR!E:L,8,FALSE())</f>
        <v>Kenneth Walker III</v>
      </c>
      <c r="Q11" s="46" t="str">
        <f>IFERROR(VLOOKUP(Table4[[#This Row],[PLAYER]],ECR!C:F,2,FALSE()),"-")</f>
        <v>KC</v>
      </c>
      <c r="R11" s="46">
        <f>IFERROR(VLOOKUP(Table4[[#This Row],[PLAYER]],ECR!C:F,4,FALSE()),"-")</f>
        <v>5</v>
      </c>
      <c r="S11" s="46" t="str">
        <f>Table4[[#This Row],[Team]] &amp; "/" &amp; Table4[[#This Row],[Bye]]</f>
        <v>KC/5</v>
      </c>
      <c r="T11" s="57">
        <f>IFERROR(VLOOKUP(Table4[[#This Row],[PLAYER]],RB!A:Q,13,FALSE())/17*(17-Table4[[#This Row],[Missed Games]]),0)</f>
        <v>184.06133999999997</v>
      </c>
      <c r="U11" s="57">
        <f>IFERROR(VLOOKUP(Table4[[#This Row],[PLAYER]],RB!A:Q,14,FALSE())/17*(17-Table4[[#This Row],[Missed Games]]),0)</f>
        <v>200.64298399999998</v>
      </c>
      <c r="V11" s="57">
        <f>IFERROR(VLOOKUP(Table4[[#This Row],[PLAYER]],RB!A:Q,15,FALSE())/17*(17-Table4[[#This Row],[Missed Games]]),0)</f>
        <v>212.048168</v>
      </c>
      <c r="W11" s="58">
        <f>AVERAGE(AVERAGE(Table4[[#This Row],[LOW]],Table4[[#This Row],[HIGH]]),Table4[[#This Row],[AVG]],VLOOKUP(Table4[[#This Row],[PLAYER]],ECR!L:N,3,FALSE))</f>
        <v>201.89784776470586</v>
      </c>
      <c r="X11" s="58">
        <f>Table4[[#This Row],[Zscore Projection]]-$Q$1</f>
        <v>87.743369823529392</v>
      </c>
      <c r="Y11" s="59">
        <f>MAX(Table4[[#This Row],[VBD]]*Scoring!$B$48+1,1)</f>
        <v>43.897923515197753</v>
      </c>
      <c r="Z11" s="45">
        <f>VLOOKUP(Table4[[#This Row],[VBD]],BM:BO,3,FALSE)</f>
        <v>3</v>
      </c>
      <c r="AA11" s="60">
        <f>VLOOKUP(INDEX(ECR!$E:$E,MATCH(P11,ECR!$C:$C,0)),RISK!A:B,2,FALSE())</f>
        <v>2.5738000000000003</v>
      </c>
      <c r="AB11" s="61"/>
      <c r="AC11" s="46" t="s">
        <v>126</v>
      </c>
      <c r="AD11" s="46" t="str">
        <f>VLOOKUP(AC11,ECR!E:L,8,FALSE())</f>
        <v>Nico Collins</v>
      </c>
      <c r="AE11" s="46" t="str">
        <f>IFERROR(VLOOKUP(Table6[[#This Row],[PLAYER]],ECR!C:F,2,FALSE()),"-")</f>
        <v>HOU</v>
      </c>
      <c r="AF11" s="46">
        <f>IFERROR(VLOOKUP(Table6[[#This Row],[PLAYER]],ECR!C:F,4,FALSE()),"-")</f>
        <v>8</v>
      </c>
      <c r="AG11" s="46" t="str">
        <f>Table6[[#This Row],[Team]] &amp; "/" &amp; Table6[[#This Row],[Bye]]</f>
        <v>HOU/8</v>
      </c>
      <c r="AH11" s="57">
        <f>IFERROR(VLOOKUP(Table6[[#This Row],[PLAYER]],WR!A:Q,13,FALSE())/17*(17-Table6[[#This Row],[Missed Games]]),0)</f>
        <v>169.71274294117643</v>
      </c>
      <c r="AI11" s="57">
        <f>IFERROR(VLOOKUP(Table6[[#This Row],[PLAYER]],WR!A:Q,14,FALSE())/17*(17-Table6[[#This Row],[Missed Games]]),0)</f>
        <v>180.57297941176472</v>
      </c>
      <c r="AJ11" s="57">
        <f>IFERROR(VLOOKUP(Table6[[#This Row],[PLAYER]],WR!A:Q,15,FALSE())/17*(17-Table6[[#This Row],[Missed Games]]),0)</f>
        <v>196.51856470588234</v>
      </c>
      <c r="AK11" s="58">
        <f>AVERAGE(AVERAGE(Table6[[#This Row],[LOW]],Table6[[#This Row],[HIGH]]),Table6[[#This Row],[AVG]],VLOOKUP(Table6[[#This Row],[PLAYER]],ECR!L:N,3,FALSE))</f>
        <v>182.92872572549018</v>
      </c>
      <c r="AL11" s="58">
        <f>Table6[[#This Row],[Zscore Projection]]-$AE$1</f>
        <v>68.224827735914602</v>
      </c>
      <c r="AM11" s="59">
        <f>MAX(Table6[[#This Row],[VBD]]*Scoring!$B$48+1,1)</f>
        <v>34.35526602111397</v>
      </c>
      <c r="AN11" s="45">
        <f>VLOOKUP(Table6[[#This Row],[VBD]],BR:BT,3,FALSE)</f>
        <v>2</v>
      </c>
      <c r="AO11" s="60">
        <f>VLOOKUP(INDEX(ECR!$E:$E,MATCH(AD11,ECR!$C:$C,0)),RISK!A:B,2,FALSE())</f>
        <v>2.3473000000000006</v>
      </c>
      <c r="AP11" s="61"/>
      <c r="AQ11" s="47" t="s">
        <v>164</v>
      </c>
      <c r="AR11" s="47" t="str">
        <f>VLOOKUP(AQ11,ECR!E:L,8,FALSE())</f>
        <v>George Kittle</v>
      </c>
      <c r="AS11" s="47" t="str">
        <f>IFERROR(VLOOKUP(Table7[[#This Row],[PLAYER]],ECR!C:F,2,FALSE()),"-")</f>
        <v>SF</v>
      </c>
      <c r="AT11" s="47">
        <f>IFERROR(VLOOKUP(Table7[[#This Row],[PLAYER]],ECR!C:F,4,FALSE()),"-")</f>
        <v>8</v>
      </c>
      <c r="AU11" s="47" t="str">
        <f>Table7[[#This Row],[Team]] &amp; "/" &amp; Table7[[#This Row],[Bye]]</f>
        <v>SF/8</v>
      </c>
      <c r="AV11" s="57">
        <f>IFERROR(VLOOKUP(Table7[[#This Row],[PLAYER]],TE!A:K,9,FALSE())/17*(16-Table7[[#This Row],[Missed Games]]),0)</f>
        <v>102.26832</v>
      </c>
      <c r="AW11" s="57">
        <f>IFERROR(VLOOKUP(Table7[[#This Row],[PLAYER]],TE!A:K,10,FALSE())/17*(16-Table7[[#This Row],[Missed Games]]),0)</f>
        <v>125.77675200000002</v>
      </c>
      <c r="AX11" s="57">
        <f>IFERROR(VLOOKUP(Table7[[#This Row],[PLAYER]],TE!A:K,11,FALSE())/17*(16-Table7[[#This Row],[Missed Games]]),0)</f>
        <v>146.92770000000002</v>
      </c>
      <c r="AY11" s="58">
        <f>AVERAGE(AVERAGE(Table7[[#This Row],[LOW]],Table7[[#This Row],[HIGH]]),Table7[[#This Row],[AVG]],VLOOKUP(Table7[[#This Row],[PLAYER]],ECR!L:N,3,FALSE))</f>
        <v>123.71520850980393</v>
      </c>
      <c r="AZ11" s="58">
        <f>Table7[[#This Row],[Zscore Projection]]-$AS$1</f>
        <v>15.800362313725486</v>
      </c>
      <c r="BA11" s="59">
        <f>MAX(Table7[[#This Row],[VBD]]*Scoring!$B$48+1,1)</f>
        <v>8.7248313509022353</v>
      </c>
      <c r="BB11" s="57">
        <f>VLOOKUP(Table7[[#This Row],[VBD]],BW:BY,3,FALSE)</f>
        <v>3</v>
      </c>
      <c r="BC11" s="60">
        <f>VLOOKUP(INDEX(ECR!$E:$E,MATCH(AR11,ECR!$C:$C,0)),RISK!A:B,2,FALSE())</f>
        <v>1.8882999999999992</v>
      </c>
      <c r="BD11" s="57"/>
      <c r="BE11" s="61"/>
      <c r="BF11" s="91">
        <v>9</v>
      </c>
      <c r="BG11" s="61">
        <f t="shared" si="12"/>
        <v>270.11059529411762</v>
      </c>
      <c r="BH11" s="61">
        <f>IFERROR(LARGE($J$3:$J$52,9),"")</f>
        <v>7.5448580078432315</v>
      </c>
      <c r="BI11" s="61">
        <f t="shared" si="4"/>
        <v>9.7413921960784364</v>
      </c>
      <c r="BJ11" s="92">
        <f t="shared" si="5"/>
        <v>4</v>
      </c>
      <c r="BK11" s="91">
        <v>9</v>
      </c>
      <c r="BL11" s="61">
        <f t="shared" si="0"/>
        <v>206.99580529411764</v>
      </c>
      <c r="BM11" s="90">
        <f>IFERROR(LARGE($X$3:$X$102,9),"")</f>
        <v>95.962899803921559</v>
      </c>
      <c r="BN11" s="90">
        <f t="shared" si="6"/>
        <v>104.28112443137256</v>
      </c>
      <c r="BO11" s="92">
        <f t="shared" si="7"/>
        <v>3</v>
      </c>
      <c r="BP11" s="103">
        <v>9</v>
      </c>
      <c r="BQ11" s="61">
        <f t="shared" si="1"/>
        <v>185.09754394117644</v>
      </c>
      <c r="BR11" s="90">
        <f>IFERROR(LARGE($AL$3:$AL$102,9),"")</f>
        <v>69.631037755522442</v>
      </c>
      <c r="BS11" s="90">
        <f t="shared" si="8"/>
        <v>81.148745559444023</v>
      </c>
      <c r="BT11" s="92">
        <f t="shared" si="9"/>
        <v>2</v>
      </c>
      <c r="BU11" s="91">
        <v>9</v>
      </c>
      <c r="BV11" s="61">
        <f t="shared" si="2"/>
        <v>120.77086352941177</v>
      </c>
      <c r="BW11" s="90">
        <f>IFERROR(LARGE($AZ$3:$AZ$52,9),"")</f>
        <v>15.800362313725486</v>
      </c>
      <c r="BX11" s="90">
        <f t="shared" si="10"/>
        <v>21.637128039215682</v>
      </c>
      <c r="BY11" s="105">
        <f t="shared" si="11"/>
        <v>3</v>
      </c>
      <c r="BZ11" s="90"/>
      <c r="CA11" s="90"/>
      <c r="CB11" s="90"/>
      <c r="CC11" s="90"/>
      <c r="CD11" s="90"/>
      <c r="CE11" s="90"/>
      <c r="CF11" s="90"/>
      <c r="CG11" s="90"/>
    </row>
    <row r="12" spans="1:85" s="62" customFormat="1" ht="14.25" customHeight="1" x14ac:dyDescent="0.3">
      <c r="A12" s="56" t="s">
        <v>372</v>
      </c>
      <c r="B12" s="56" t="str">
        <f>VLOOKUP(A12,ECR!E:L,8,FALSE())</f>
        <v>Dak Prescott</v>
      </c>
      <c r="C12" s="46" t="str">
        <f>IFERROR(VLOOKUP(Table2[[#This Row],[PLAYER]],ECR!C:F,2,FALSE()),"-")</f>
        <v>DAL</v>
      </c>
      <c r="D12" s="46">
        <f>IFERROR(VLOOKUP(Table2[[#This Row],[PLAYER]],ECR!C:F,4,FALSE()),"-")</f>
        <v>14</v>
      </c>
      <c r="E12" s="46" t="str">
        <f>Table2[[#This Row],[Team]] &amp; "/" &amp; Table2[[#This Row],[Bye]]</f>
        <v>DAL/14</v>
      </c>
      <c r="F12" s="57">
        <f>IFERROR(VLOOKUP(Table2[[#This Row],[PLAYER]],QB!A:Q,15,FALSE())/17*(17-Table2[[#This Row],[Missed Games]]),0)</f>
        <v>253.11441505882357</v>
      </c>
      <c r="G12" s="57">
        <f>IFERROR(VLOOKUP(Table2[[#This Row],[PLAYER]],QB!A:Q,16,FALSE())/17*(17-Table2[[#This Row],[Missed Games]]),0)</f>
        <v>270.11059529411762</v>
      </c>
      <c r="H12" s="57">
        <f>IFERROR(VLOOKUP(Table2[[#This Row],[PLAYER]],QB!A:Q,17,FALSE())/17*(17-Table2[[#This Row],[Missed Games]]),0)</f>
        <v>289.30496941176466</v>
      </c>
      <c r="I12" s="58">
        <f>AVERAGE(AVERAGE(Table2[[#This Row],[LOW]],Table2[[#This Row],[HIGH]]),Table2[[#This Row],[AVG]],VLOOKUP(Table2[[#This Row],[PLAYER]],ECR!L:N,3,FALSE))</f>
        <v>270.40002917647058</v>
      </c>
      <c r="J12" s="58">
        <f>Table2[[#This Row],[Zscore Projection]]-$C$1</f>
        <v>8.0687444705882854</v>
      </c>
      <c r="K12" s="59">
        <f>MAX(Table2[[#This Row],[VBD]]*Scoring!$B$48+1,1)</f>
        <v>4.9448266445557874</v>
      </c>
      <c r="L12" s="45">
        <f>VLOOKUP(Table2[[#This Row],[VBD]],BH:BJ,3,FALSE)</f>
        <v>4</v>
      </c>
      <c r="M12" s="60">
        <f>VLOOKUP(INDEX(ECR!$E:$E,MATCH(B12,ECR!$C:$C,0)),RISK!A:B,2,FALSE())</f>
        <v>1.9560000000000013</v>
      </c>
      <c r="N12" s="61"/>
      <c r="O12" s="45" t="s">
        <v>105</v>
      </c>
      <c r="P12" s="56" t="str">
        <f>VLOOKUP(O12,ECR!E:L,8,FALSE())</f>
        <v>Omarion Hampton</v>
      </c>
      <c r="Q12" s="46" t="str">
        <f>IFERROR(VLOOKUP(Table4[[#This Row],[PLAYER]],ECR!C:F,2,FALSE()),"-")</f>
        <v>LAC</v>
      </c>
      <c r="R12" s="46">
        <f>IFERROR(VLOOKUP(Table4[[#This Row],[PLAYER]],ECR!C:F,4,FALSE()),"-")</f>
        <v>7</v>
      </c>
      <c r="S12" s="46" t="str">
        <f>Table4[[#This Row],[Team]] &amp; "/" &amp; Table4[[#This Row],[Bye]]</f>
        <v>LAC/7</v>
      </c>
      <c r="T12" s="57">
        <f>IFERROR(VLOOKUP(Table4[[#This Row],[PLAYER]],RB!A:Q,13,FALSE())/17*(17-Table4[[#This Row],[Missed Games]]),0)</f>
        <v>173.86411764705883</v>
      </c>
      <c r="U12" s="57">
        <f>IFERROR(VLOOKUP(Table4[[#This Row],[PLAYER]],RB!A:Q,14,FALSE())/17*(17-Table4[[#This Row],[Missed Games]]),0)</f>
        <v>194.43097058823528</v>
      </c>
      <c r="V12" s="57">
        <f>IFERROR(VLOOKUP(Table4[[#This Row],[PLAYER]],RB!A:Q,15,FALSE())/17*(17-Table4[[#This Row],[Missed Games]]),0)</f>
        <v>208.21288235294116</v>
      </c>
      <c r="W12" s="58">
        <f>AVERAGE(AVERAGE(Table4[[#This Row],[LOW]],Table4[[#This Row],[HIGH]]),Table4[[#This Row],[AVG]],VLOOKUP(Table4[[#This Row],[PLAYER]],ECR!L:N,3,FALSE))</f>
        <v>195.3708181960784</v>
      </c>
      <c r="X12" s="58">
        <f>Table4[[#This Row],[Zscore Projection]]-$Q$1</f>
        <v>81.216340254901937</v>
      </c>
      <c r="Y12" s="59">
        <f>MAX(Table4[[#This Row],[VBD]]*Scoring!$B$48+1,1)</f>
        <v>40.706844624797867</v>
      </c>
      <c r="Z12" s="45">
        <f>VLOOKUP(Table4[[#This Row],[VBD]],BM:BO,3,FALSE)</f>
        <v>3</v>
      </c>
      <c r="AA12" s="60">
        <f>VLOOKUP(INDEX(ECR!$E:$E,MATCH(P12,ECR!$C:$C,0)),RISK!A:B,2,FALSE())</f>
        <v>2.5820000000000007</v>
      </c>
      <c r="AB12" s="61"/>
      <c r="AC12" s="46" t="s">
        <v>128</v>
      </c>
      <c r="AD12" s="46" t="str">
        <f>VLOOKUP(AC12,ECR!E:L,8,FALSE())</f>
        <v>George Pickens</v>
      </c>
      <c r="AE12" s="46" t="str">
        <f>IFERROR(VLOOKUP(Table6[[#This Row],[PLAYER]],ECR!C:F,2,FALSE()),"-")</f>
        <v>DAL</v>
      </c>
      <c r="AF12" s="46">
        <f>IFERROR(VLOOKUP(Table6[[#This Row],[PLAYER]],ECR!C:F,4,FALSE()),"-")</f>
        <v>14</v>
      </c>
      <c r="AG12" s="46" t="str">
        <f>Table6[[#This Row],[Team]] &amp; "/" &amp; Table6[[#This Row],[Bye]]</f>
        <v>DAL/14</v>
      </c>
      <c r="AH12" s="57">
        <f>IFERROR(VLOOKUP(Table6[[#This Row],[PLAYER]],WR!A:Q,13,FALSE())/17*(17-Table6[[#This Row],[Missed Games]]),0)</f>
        <v>160.7584882352941</v>
      </c>
      <c r="AI12" s="57">
        <f>IFERROR(VLOOKUP(Table6[[#This Row],[PLAYER]],WR!A:Q,14,FALSE())/17*(17-Table6[[#This Row],[Missed Games]]),0)</f>
        <v>180.8940682352941</v>
      </c>
      <c r="AJ12" s="57">
        <f>IFERROR(VLOOKUP(Table6[[#This Row],[PLAYER]],WR!A:Q,15,FALSE())/17*(17-Table6[[#This Row],[Missed Games]]),0)</f>
        <v>210.1962294117647</v>
      </c>
      <c r="AK12" s="58">
        <f>AVERAGE(AVERAGE(Table6[[#This Row],[LOW]],Table6[[#This Row],[HIGH]]),Table6[[#This Row],[AVG]],VLOOKUP(Table6[[#This Row],[PLAYER]],ECR!L:N,3,FALSE))</f>
        <v>183.66790701960784</v>
      </c>
      <c r="AL12" s="58">
        <f>Table6[[#This Row],[Zscore Projection]]-$AE$1</f>
        <v>68.964009030032258</v>
      </c>
      <c r="AM12" s="59">
        <f>MAX(Table6[[#This Row],[VBD]]*Scoring!$B$48+1,1)</f>
        <v>34.716653356506924</v>
      </c>
      <c r="AN12" s="45">
        <f>VLOOKUP(Table6[[#This Row],[VBD]],BR:BT,3,FALSE)</f>
        <v>2</v>
      </c>
      <c r="AO12" s="60">
        <f>VLOOKUP(INDEX(ECR!$E:$E,MATCH(AD12,ECR!$C:$C,0)),RISK!A:B,2,FALSE())</f>
        <v>2.4090000000000007</v>
      </c>
      <c r="AP12" s="61"/>
      <c r="AQ12" s="47" t="s">
        <v>171</v>
      </c>
      <c r="AR12" s="47" t="str">
        <f>VLOOKUP(AQ12,ECR!E:L,8,FALSE())</f>
        <v>Travis Kelce</v>
      </c>
      <c r="AS12" s="47" t="str">
        <f>IFERROR(VLOOKUP(Table7[[#This Row],[PLAYER]],ECR!C:F,2,FALSE()),"-")</f>
        <v>KC</v>
      </c>
      <c r="AT12" s="47">
        <f>IFERROR(VLOOKUP(Table7[[#This Row],[PLAYER]],ECR!C:F,4,FALSE()),"-")</f>
        <v>5</v>
      </c>
      <c r="AU12" s="47" t="str">
        <f>Table7[[#This Row],[Team]] &amp; "/" &amp; Table7[[#This Row],[Bye]]</f>
        <v>KC/5</v>
      </c>
      <c r="AV12" s="57">
        <f>IFERROR(VLOOKUP(Table7[[#This Row],[PLAYER]],TE!A:K,9,FALSE())/17*(16-Table7[[#This Row],[Missed Games]]),0)</f>
        <v>113.20772352941177</v>
      </c>
      <c r="AW12" s="57">
        <f>IFERROR(VLOOKUP(Table7[[#This Row],[PLAYER]],TE!A:K,10,FALSE())/17*(16-Table7[[#This Row],[Missed Games]]),0)</f>
        <v>119.50072647058825</v>
      </c>
      <c r="AX12" s="57">
        <f>IFERROR(VLOOKUP(Table7[[#This Row],[PLAYER]],TE!A:K,11,FALSE())/17*(16-Table7[[#This Row],[Missed Games]]),0)</f>
        <v>129.59108823529414</v>
      </c>
      <c r="AY12" s="58">
        <f>AVERAGE(AVERAGE(Table7[[#This Row],[LOW]],Table7[[#This Row],[HIGH]]),Table7[[#This Row],[AVG]],VLOOKUP(Table7[[#This Row],[PLAYER]],ECR!L:N,3,FALSE))</f>
        <v>120.13361960784316</v>
      </c>
      <c r="AZ12" s="58">
        <f>Table7[[#This Row],[Zscore Projection]]-$AS$1</f>
        <v>12.218773411764715</v>
      </c>
      <c r="BA12" s="59">
        <f>MAX(Table7[[#This Row],[VBD]]*Scoring!$B$48+1,1)</f>
        <v>6.9737847807944018</v>
      </c>
      <c r="BB12" s="57">
        <f>VLOOKUP(Table7[[#This Row],[VBD]],BW:BY,3,FALSE)</f>
        <v>3</v>
      </c>
      <c r="BC12" s="60">
        <f>VLOOKUP(INDEX(ECR!$E:$E,MATCH(AR12,ECR!$C:$C,0)),RISK!A:B,2,FALSE())</f>
        <v>1.9049999999999994</v>
      </c>
      <c r="BD12" s="57"/>
      <c r="BE12" s="61"/>
      <c r="BF12" s="91">
        <v>10</v>
      </c>
      <c r="BG12" s="61">
        <f t="shared" si="12"/>
        <v>269.87979999999993</v>
      </c>
      <c r="BH12" s="61">
        <f>IFERROR(LARGE($J$3:$J$52,10),"")</f>
        <v>7.5426700313726087</v>
      </c>
      <c r="BI12" s="61">
        <f t="shared" si="4"/>
        <v>9.7413921960784364</v>
      </c>
      <c r="BJ12" s="92">
        <f t="shared" si="5"/>
        <v>4</v>
      </c>
      <c r="BK12" s="91">
        <v>10</v>
      </c>
      <c r="BL12" s="61">
        <f t="shared" si="0"/>
        <v>200.64298399999998</v>
      </c>
      <c r="BM12" s="90">
        <f>IFERROR(LARGE($X$3:$X$102,10),"")</f>
        <v>87.743369823529392</v>
      </c>
      <c r="BN12" s="90">
        <f t="shared" si="6"/>
        <v>104.28112443137256</v>
      </c>
      <c r="BO12" s="92">
        <f t="shared" si="7"/>
        <v>3</v>
      </c>
      <c r="BP12" s="103">
        <v>10</v>
      </c>
      <c r="BQ12" s="61">
        <f t="shared" si="1"/>
        <v>184.632294</v>
      </c>
      <c r="BR12" s="90">
        <f>IFERROR(LARGE($AL$3:$AL$102,10),"")</f>
        <v>68.964009030032258</v>
      </c>
      <c r="BS12" s="90">
        <f t="shared" si="8"/>
        <v>81.148745559444023</v>
      </c>
      <c r="BT12" s="92">
        <f t="shared" si="9"/>
        <v>2</v>
      </c>
      <c r="BU12" s="91">
        <v>10</v>
      </c>
      <c r="BV12" s="61">
        <f t="shared" si="2"/>
        <v>119.50072647058825</v>
      </c>
      <c r="BW12" s="90">
        <f>IFERROR(LARGE($AZ$3:$AZ$52,10),"")</f>
        <v>12.218773411764715</v>
      </c>
      <c r="BX12" s="90">
        <f t="shared" si="10"/>
        <v>21.637128039215682</v>
      </c>
      <c r="BY12" s="105">
        <f t="shared" si="11"/>
        <v>3</v>
      </c>
      <c r="BZ12" s="90"/>
      <c r="CA12" s="90"/>
      <c r="CB12" s="90"/>
      <c r="CC12" s="90"/>
      <c r="CD12" s="90"/>
      <c r="CE12" s="90"/>
      <c r="CF12" s="90"/>
      <c r="CG12" s="90"/>
    </row>
    <row r="13" spans="1:85" s="62" customFormat="1" ht="14.25" customHeight="1" x14ac:dyDescent="0.3">
      <c r="A13" s="56" t="s">
        <v>373</v>
      </c>
      <c r="B13" s="56" t="str">
        <f>VLOOKUP(A13,ECR!E:L,8,FALSE())</f>
        <v>Brock Purdy</v>
      </c>
      <c r="C13" s="46" t="str">
        <f>IFERROR(VLOOKUP(Table2[[#This Row],[PLAYER]],ECR!C:F,2,FALSE()),"-")</f>
        <v>SF</v>
      </c>
      <c r="D13" s="46">
        <f>IFERROR(VLOOKUP(Table2[[#This Row],[PLAYER]],ECR!C:F,4,FALSE()),"-")</f>
        <v>8</v>
      </c>
      <c r="E13" s="46" t="str">
        <f>Table2[[#This Row],[Team]] &amp; "/" &amp; Table2[[#This Row],[Bye]]</f>
        <v>SF/8</v>
      </c>
      <c r="F13" s="57">
        <f>IFERROR(VLOOKUP(Table2[[#This Row],[PLAYER]],QB!A:Q,15,FALSE())/17*(17-Table2[[#This Row],[Missed Games]]),0)</f>
        <v>254.91394705882348</v>
      </c>
      <c r="G13" s="57">
        <f>IFERROR(VLOOKUP(Table2[[#This Row],[PLAYER]],QB!A:Q,16,FALSE())/17*(17-Table2[[#This Row],[Missed Games]]),0)</f>
        <v>269.87979999999993</v>
      </c>
      <c r="H13" s="57">
        <f>IFERROR(VLOOKUP(Table2[[#This Row],[PLAYER]],QB!A:Q,17,FALSE())/17*(17-Table2[[#This Row],[Missed Games]]),0)</f>
        <v>289.26918823529411</v>
      </c>
      <c r="I13" s="58">
        <f>AVERAGE(AVERAGE(Table2[[#This Row],[LOW]],Table2[[#This Row],[HIGH]]),Table2[[#This Row],[AVG]],VLOOKUP(Table2[[#This Row],[PLAYER]],ECR!L:N,3,FALSE))</f>
        <v>269.87395473725491</v>
      </c>
      <c r="J13" s="58">
        <f>Table2[[#This Row],[Zscore Projection]]-$C$1</f>
        <v>7.5426700313726087</v>
      </c>
      <c r="K13" s="59">
        <f>MAX(Table2[[#This Row],[VBD]]*Scoring!$B$48+1,1)</f>
        <v>4.6876277120078047</v>
      </c>
      <c r="L13" s="45">
        <f>VLOOKUP(Table2[[#This Row],[VBD]],BH:BJ,3,FALSE)</f>
        <v>4</v>
      </c>
      <c r="M13" s="60">
        <f>VLOOKUP(INDEX(ECR!$E:$E,MATCH(B13,ECR!$C:$C,0)),RISK!A:B,2,FALSE())</f>
        <v>1.9900000000000002</v>
      </c>
      <c r="N13" s="61"/>
      <c r="O13" s="45" t="s">
        <v>111</v>
      </c>
      <c r="P13" s="56" t="str">
        <f>VLOOKUP(O13,ECR!E:L,8,FALSE())</f>
        <v>Derrick Henry</v>
      </c>
      <c r="Q13" s="46" t="str">
        <f>IFERROR(VLOOKUP(Table4[[#This Row],[PLAYER]],ECR!C:F,2,FALSE()),"-")</f>
        <v>BAL</v>
      </c>
      <c r="R13" s="46">
        <f>IFERROR(VLOOKUP(Table4[[#This Row],[PLAYER]],ECR!C:F,4,FALSE()),"-")</f>
        <v>13</v>
      </c>
      <c r="S13" s="46" t="str">
        <f>Table4[[#This Row],[Team]] &amp; "/" &amp; Table4[[#This Row],[Bye]]</f>
        <v>BAL/13</v>
      </c>
      <c r="T13" s="57">
        <f>IFERROR(VLOOKUP(Table4[[#This Row],[PLAYER]],RB!A:Q,13,FALSE())/17*(17-Table4[[#This Row],[Missed Games]]),0)</f>
        <v>204.15291070588236</v>
      </c>
      <c r="U13" s="57">
        <f>IFERROR(VLOOKUP(Table4[[#This Row],[PLAYER]],RB!A:Q,14,FALSE())/17*(17-Table4[[#This Row],[Missed Games]]),0)</f>
        <v>225.03690505882358</v>
      </c>
      <c r="V13" s="57">
        <f>IFERROR(VLOOKUP(Table4[[#This Row],[PLAYER]],RB!A:Q,15,FALSE())/17*(17-Table4[[#This Row],[Missed Games]]),0)</f>
        <v>247.0651117647059</v>
      </c>
      <c r="W13" s="58">
        <f>AVERAGE(AVERAGE(Table4[[#This Row],[LOW]],Table4[[#This Row],[HIGH]]),Table4[[#This Row],[AVG]],VLOOKUP(Table4[[#This Row],[PLAYER]],ECR!L:N,3,FALSE))</f>
        <v>215.59351798039219</v>
      </c>
      <c r="X13" s="58">
        <f>Table4[[#This Row],[Zscore Projection]]-$Q$1</f>
        <v>101.43904003921573</v>
      </c>
      <c r="Y13" s="59">
        <f>MAX(Table4[[#This Row],[VBD]]*Scoring!$B$48+1,1)</f>
        <v>50.593766341652945</v>
      </c>
      <c r="Z13" s="45">
        <f>VLOOKUP(Table4[[#This Row],[VBD]],BM:BO,3,FALSE)</f>
        <v>3</v>
      </c>
      <c r="AA13" s="60">
        <f>VLOOKUP(INDEX(ECR!$E:$E,MATCH(P13,ECR!$C:$C,0)),RISK!A:B,2,FALSE())</f>
        <v>2.5914000000000001</v>
      </c>
      <c r="AB13" s="61"/>
      <c r="AC13" s="46" t="s">
        <v>129</v>
      </c>
      <c r="AD13" s="46" t="str">
        <f>VLOOKUP(AC13,ECR!E:L,8,FALSE())</f>
        <v>Chris Olave</v>
      </c>
      <c r="AE13" s="46" t="str">
        <f>IFERROR(VLOOKUP(Table6[[#This Row],[PLAYER]],ECR!C:F,2,FALSE()),"-")</f>
        <v>NO</v>
      </c>
      <c r="AF13" s="46">
        <f>IFERROR(VLOOKUP(Table6[[#This Row],[PLAYER]],ECR!C:F,4,FALSE()),"-")</f>
        <v>8</v>
      </c>
      <c r="AG13" s="46" t="str">
        <f>Table6[[#This Row],[Team]] &amp; "/" &amp; Table6[[#This Row],[Bye]]</f>
        <v>NO/8</v>
      </c>
      <c r="AH13" s="57">
        <f>IFERROR(VLOOKUP(Table6[[#This Row],[PLAYER]],WR!A:Q,13,FALSE())/17*(17-Table6[[#This Row],[Missed Games]]),0)</f>
        <v>169.82889</v>
      </c>
      <c r="AI13" s="57">
        <f>IFERROR(VLOOKUP(Table6[[#This Row],[PLAYER]],WR!A:Q,14,FALSE())/17*(17-Table6[[#This Row],[Missed Games]]),0)</f>
        <v>184.632294</v>
      </c>
      <c r="AJ13" s="57">
        <f>IFERROR(VLOOKUP(Table6[[#This Row],[PLAYER]],WR!A:Q,15,FALSE())/17*(17-Table6[[#This Row],[Missed Games]]),0)</f>
        <v>205.12799999999999</v>
      </c>
      <c r="AK13" s="58">
        <f>AVERAGE(AVERAGE(Table6[[#This Row],[LOW]],Table6[[#This Row],[HIGH]]),Table6[[#This Row],[AVG]],VLOOKUP(Table6[[#This Row],[PLAYER]],ECR!L:N,3,FALSE))</f>
        <v>184.33493574509802</v>
      </c>
      <c r="AL13" s="58">
        <f>Table6[[#This Row],[Zscore Projection]]-$AE$1</f>
        <v>69.631037755522442</v>
      </c>
      <c r="AM13" s="59">
        <f>MAX(Table6[[#This Row],[VBD]]*Scoring!$B$48+1,1)</f>
        <v>35.042765144851359</v>
      </c>
      <c r="AN13" s="45">
        <f>VLOOKUP(Table6[[#This Row],[VBD]],BR:BT,3,FALSE)</f>
        <v>2</v>
      </c>
      <c r="AO13" s="60">
        <f>VLOOKUP(INDEX(ECR!$E:$E,MATCH(AD13,ECR!$C:$C,0)),RISK!A:B,2,FALSE())</f>
        <v>2.4701000000000004</v>
      </c>
      <c r="AP13" s="61"/>
      <c r="AQ13" s="47" t="s">
        <v>182</v>
      </c>
      <c r="AR13" s="47" t="str">
        <f>VLOOKUP(AQ13,ECR!E:L,8,FALSE())</f>
        <v>Dalton Kincaid</v>
      </c>
      <c r="AS13" s="47" t="str">
        <f>IFERROR(VLOOKUP(Table7[[#This Row],[PLAYER]],ECR!C:F,2,FALSE()),"-")</f>
        <v>BUF</v>
      </c>
      <c r="AT13" s="47">
        <f>IFERROR(VLOOKUP(Table7[[#This Row],[PLAYER]],ECR!C:F,4,FALSE()),"-")</f>
        <v>7</v>
      </c>
      <c r="AU13" s="47" t="str">
        <f>Table7[[#This Row],[Team]] &amp; "/" &amp; Table7[[#This Row],[Bye]]</f>
        <v>BUF/7</v>
      </c>
      <c r="AV13" s="57">
        <f>IFERROR(VLOOKUP(Table7[[#This Row],[PLAYER]],TE!A:K,9,FALSE())/17*(16-Table7[[#This Row],[Missed Games]]),0)</f>
        <v>95.896341764705895</v>
      </c>
      <c r="AW13" s="57">
        <f>IFERROR(VLOOKUP(Table7[[#This Row],[PLAYER]],TE!A:K,10,FALSE())/17*(16-Table7[[#This Row],[Missed Games]]),0)</f>
        <v>108.91143629411765</v>
      </c>
      <c r="AX13" s="57">
        <f>IFERROR(VLOOKUP(Table7[[#This Row],[PLAYER]],TE!A:K,11,FALSE())/17*(16-Table7[[#This Row],[Missed Games]]),0)</f>
        <v>123.49032794117647</v>
      </c>
      <c r="AY13" s="58">
        <f>AVERAGE(AVERAGE(Table7[[#This Row],[LOW]],Table7[[#This Row],[HIGH]]),Table7[[#This Row],[AVG]],VLOOKUP(Table7[[#This Row],[PLAYER]],ECR!L:N,3,FALSE))</f>
        <v>112.57359744117649</v>
      </c>
      <c r="AZ13" s="58">
        <f>Table7[[#This Row],[Zscore Projection]]-$AS$1</f>
        <v>4.6587512450980455</v>
      </c>
      <c r="BA13" s="59">
        <f>MAX(Table7[[#This Row],[VBD]]*Scoring!$B$48+1,1)</f>
        <v>3.2776735722652401</v>
      </c>
      <c r="BB13" s="57">
        <f>VLOOKUP(Table7[[#This Row],[VBD]],BW:BY,3,FALSE)</f>
        <v>4</v>
      </c>
      <c r="BC13" s="60">
        <f>VLOOKUP(INDEX(ECR!$E:$E,MATCH(AR13,ECR!$C:$C,0)),RISK!A:B,2,FALSE())</f>
        <v>1.934099999999999</v>
      </c>
      <c r="BD13" s="57"/>
      <c r="BE13" s="61"/>
      <c r="BF13" s="91">
        <v>11</v>
      </c>
      <c r="BG13" s="61">
        <f t="shared" si="12"/>
        <v>267.65049656470586</v>
      </c>
      <c r="BH13" s="61">
        <f>IFERROR(LARGE($J$3:$J$52,11),"")</f>
        <v>6.9944597411764562</v>
      </c>
      <c r="BI13" s="61">
        <f t="shared" si="4"/>
        <v>9.7413921960784364</v>
      </c>
      <c r="BJ13" s="92">
        <f t="shared" si="5"/>
        <v>4</v>
      </c>
      <c r="BK13" s="91">
        <v>11</v>
      </c>
      <c r="BL13" s="61">
        <f t="shared" si="0"/>
        <v>196.13463764705884</v>
      </c>
      <c r="BM13" s="90">
        <f>IFERROR(LARGE($X$3:$X$102,11),"")</f>
        <v>81.87575792345099</v>
      </c>
      <c r="BN13" s="90">
        <f t="shared" si="6"/>
        <v>104.28112443137256</v>
      </c>
      <c r="BO13" s="92">
        <f t="shared" si="7"/>
        <v>3</v>
      </c>
      <c r="BP13" s="103">
        <v>11</v>
      </c>
      <c r="BQ13" s="61">
        <f t="shared" si="1"/>
        <v>180.8940682352941</v>
      </c>
      <c r="BR13" s="90">
        <f>IFERROR(LARGE($AL$3:$AL$102,11),"")</f>
        <v>68.224827735914602</v>
      </c>
      <c r="BS13" s="90">
        <f t="shared" si="8"/>
        <v>81.148745559444023</v>
      </c>
      <c r="BT13" s="92">
        <f t="shared" si="9"/>
        <v>2</v>
      </c>
      <c r="BU13" s="91">
        <v>11</v>
      </c>
      <c r="BV13" s="61">
        <f t="shared" si="2"/>
        <v>119.11602117647061</v>
      </c>
      <c r="BW13" s="90">
        <f>IFERROR(LARGE($AZ$3:$AZ$52,11),"")</f>
        <v>10.022414607843132</v>
      </c>
      <c r="BX13" s="90">
        <f t="shared" si="10"/>
        <v>10.022414607843132</v>
      </c>
      <c r="BY13" s="105">
        <f t="shared" si="11"/>
        <v>4</v>
      </c>
      <c r="BZ13" s="90"/>
      <c r="CA13" s="90"/>
      <c r="CB13" s="90"/>
      <c r="CC13" s="90"/>
      <c r="CD13" s="90"/>
      <c r="CE13" s="90"/>
      <c r="CF13" s="90"/>
      <c r="CG13" s="90"/>
    </row>
    <row r="14" spans="1:85" s="62" customFormat="1" ht="14.25" customHeight="1" x14ac:dyDescent="0.3">
      <c r="A14" s="56" t="s">
        <v>374</v>
      </c>
      <c r="B14" s="56" t="str">
        <f>VLOOKUP(A14,ECR!E:L,8,FALSE())</f>
        <v>Bo Nix</v>
      </c>
      <c r="C14" s="46" t="str">
        <f>IFERROR(VLOOKUP(Table2[[#This Row],[PLAYER]],ECR!C:F,2,FALSE()),"-")</f>
        <v>DEN</v>
      </c>
      <c r="D14" s="46">
        <f>IFERROR(VLOOKUP(Table2[[#This Row],[PLAYER]],ECR!C:F,4,FALSE()),"-")</f>
        <v>10</v>
      </c>
      <c r="E14" s="46" t="str">
        <f>Table2[[#This Row],[Team]] &amp; "/" &amp; Table2[[#This Row],[Bye]]</f>
        <v>DEN/10</v>
      </c>
      <c r="F14" s="57">
        <f>IFERROR(VLOOKUP(Table2[[#This Row],[PLAYER]],QB!A:Q,15,FALSE())/17*(17-Table2[[#This Row],[Missed Games]]),0)</f>
        <v>243.63996800000001</v>
      </c>
      <c r="G14" s="57">
        <f>IFERROR(VLOOKUP(Table2[[#This Row],[PLAYER]],QB!A:Q,16,FALSE())/17*(17-Table2[[#This Row],[Missed Games]]),0)</f>
        <v>262.6145881411764</v>
      </c>
      <c r="H14" s="57">
        <f>IFERROR(VLOOKUP(Table2[[#This Row],[PLAYER]],QB!A:Q,17,FALSE())/17*(17-Table2[[#This Row],[Missed Games]]),0)</f>
        <v>273.94794898823534</v>
      </c>
      <c r="I14" s="58">
        <f>AVERAGE(AVERAGE(Table2[[#This Row],[LOW]],Table2[[#This Row],[HIGH]]),Table2[[#This Row],[AVG]],VLOOKUP(Table2[[#This Row],[PLAYER]],ECR!L:N,3,FALSE))</f>
        <v>262.3312847058823</v>
      </c>
      <c r="J14" s="58">
        <f>Table2[[#This Row],[Zscore Projection]]-$C$1</f>
        <v>0</v>
      </c>
      <c r="K14" s="59">
        <f>MAX(Table2[[#This Row],[VBD]]*Scoring!$B$48+1,1)</f>
        <v>1</v>
      </c>
      <c r="L14" s="45">
        <f>VLOOKUP(Table2[[#This Row],[VBD]],BH:BJ,3,FALSE)</f>
        <v>5</v>
      </c>
      <c r="M14" s="60">
        <f>VLOOKUP(INDEX(ECR!$E:$E,MATCH(B14,ECR!$C:$C,0)),RISK!A:B,2,FALSE())</f>
        <v>2.0343999999999998</v>
      </c>
      <c r="N14" s="61"/>
      <c r="O14" s="45" t="s">
        <v>127</v>
      </c>
      <c r="P14" s="56" t="str">
        <f>VLOOKUP(O14,ECR!E:L,8,FALSE())</f>
        <v>Ashton Jeanty</v>
      </c>
      <c r="Q14" s="46" t="str">
        <f>IFERROR(VLOOKUP(Table4[[#This Row],[PLAYER]],ECR!C:F,2,FALSE()),"-")</f>
        <v>LV</v>
      </c>
      <c r="R14" s="46">
        <f>IFERROR(VLOOKUP(Table4[[#This Row],[PLAYER]],ECR!C:F,4,FALSE()),"-")</f>
        <v>13</v>
      </c>
      <c r="S14" s="46" t="str">
        <f>Table4[[#This Row],[Team]] &amp; "/" &amp; Table4[[#This Row],[Bye]]</f>
        <v>LV/13</v>
      </c>
      <c r="T14" s="57">
        <f>IFERROR(VLOOKUP(Table4[[#This Row],[PLAYER]],RB!A:Q,13,FALSE())/17*(17-Table4[[#This Row],[Missed Games]]),0)</f>
        <v>163.96781176470589</v>
      </c>
      <c r="U14" s="57">
        <f>IFERROR(VLOOKUP(Table4[[#This Row],[PLAYER]],RB!A:Q,14,FALSE())/17*(17-Table4[[#This Row],[Missed Games]]),0)</f>
        <v>196.13463764705884</v>
      </c>
      <c r="V14" s="57">
        <f>IFERROR(VLOOKUP(Table4[[#This Row],[PLAYER]],RB!A:Q,15,FALSE())/17*(17-Table4[[#This Row],[Missed Games]]),0)</f>
        <v>228.40309647058822</v>
      </c>
      <c r="W14" s="58">
        <f>AVERAGE(AVERAGE(Table4[[#This Row],[LOW]],Table4[[#This Row],[HIGH]]),Table4[[#This Row],[AVG]],VLOOKUP(Table4[[#This Row],[PLAYER]],ECR!L:N,3,FALSE))</f>
        <v>196.03023586462746</v>
      </c>
      <c r="X14" s="58">
        <f>Table4[[#This Row],[Zscore Projection]]-$Q$1</f>
        <v>81.87575792345099</v>
      </c>
      <c r="Y14" s="59">
        <f>MAX(Table4[[#This Row],[VBD]]*Scoring!$B$48+1,1)</f>
        <v>41.029235350922015</v>
      </c>
      <c r="Z14" s="45">
        <f>VLOOKUP(Table4[[#This Row],[VBD]],BM:BO,3,FALSE)</f>
        <v>3</v>
      </c>
      <c r="AA14" s="60">
        <f>VLOOKUP(INDEX(ECR!$E:$E,MATCH(P14,ECR!$C:$C,0)),RISK!A:B,2,FALSE())</f>
        <v>2.6020000000000003</v>
      </c>
      <c r="AB14" s="61"/>
      <c r="AC14" s="46" t="s">
        <v>133</v>
      </c>
      <c r="AD14" s="46" t="str">
        <f>VLOOKUP(AC14,ECR!E:L,8,FALSE())</f>
        <v>Malik Nabers</v>
      </c>
      <c r="AE14" s="46" t="str">
        <f>IFERROR(VLOOKUP(Table6[[#This Row],[PLAYER]],ECR!C:F,2,FALSE()),"-")</f>
        <v>NYG</v>
      </c>
      <c r="AF14" s="46">
        <f>IFERROR(VLOOKUP(Table6[[#This Row],[PLAYER]],ECR!C:F,4,FALSE()),"-")</f>
        <v>8</v>
      </c>
      <c r="AG14" s="46" t="str">
        <f>Table6[[#This Row],[Team]] &amp; "/" &amp; Table6[[#This Row],[Bye]]</f>
        <v>NYG/8</v>
      </c>
      <c r="AH14" s="57">
        <f>IFERROR(VLOOKUP(Table6[[#This Row],[PLAYER]],WR!A:Q,13,FALSE())/17*(17-Table6[[#This Row],[Missed Games]]),0)</f>
        <v>156.43974823529413</v>
      </c>
      <c r="AI14" s="57">
        <f>IFERROR(VLOOKUP(Table6[[#This Row],[PLAYER]],WR!A:Q,14,FALSE())/17*(17-Table6[[#This Row],[Missed Games]]),0)</f>
        <v>170.26228094117644</v>
      </c>
      <c r="AJ14" s="57">
        <f>IFERROR(VLOOKUP(Table6[[#This Row],[PLAYER]],WR!A:Q,15,FALSE())/17*(17-Table6[[#This Row],[Missed Games]]),0)</f>
        <v>191.41313917647062</v>
      </c>
      <c r="AK14" s="58">
        <f>AVERAGE(AVERAGE(Table6[[#This Row],[LOW]],Table6[[#This Row],[HIGH]]),Table6[[#This Row],[AVG]],VLOOKUP(Table6[[#This Row],[PLAYER]],ECR!L:N,3,FALSE))</f>
        <v>174.92056801960788</v>
      </c>
      <c r="AL14" s="58">
        <f>Table6[[#This Row],[Zscore Projection]]-$AE$1</f>
        <v>60.216670030032304</v>
      </c>
      <c r="AM14" s="59">
        <f>MAX(Table6[[#This Row],[VBD]]*Scoring!$B$48+1,1)</f>
        <v>30.44006037702372</v>
      </c>
      <c r="AN14" s="45">
        <f>VLOOKUP(Table6[[#This Row],[VBD]],BR:BT,3,FALSE)</f>
        <v>3</v>
      </c>
      <c r="AO14" s="60">
        <f>VLOOKUP(INDEX(ECR!$E:$E,MATCH(AD14,ECR!$C:$C,0)),RISK!A:B,2,FALSE())</f>
        <v>2.5305999999999997</v>
      </c>
      <c r="AP14" s="61"/>
      <c r="AQ14" s="47" t="s">
        <v>170</v>
      </c>
      <c r="AR14" s="47" t="str">
        <f>VLOOKUP(AQ14,ECR!E:L,8,FALSE())</f>
        <v>Isaiah Likely</v>
      </c>
      <c r="AS14" s="47" t="str">
        <f>IFERROR(VLOOKUP(Table7[[#This Row],[PLAYER]],ECR!C:F,2,FALSE()),"-")</f>
        <v>NYG</v>
      </c>
      <c r="AT14" s="47">
        <f>IFERROR(VLOOKUP(Table7[[#This Row],[PLAYER]],ECR!C:F,4,FALSE()),"-")</f>
        <v>8</v>
      </c>
      <c r="AU14" s="47" t="str">
        <f>Table7[[#This Row],[Team]] &amp; "/" &amp; Table7[[#This Row],[Bye]]</f>
        <v>NYG/8</v>
      </c>
      <c r="AV14" s="57">
        <f>IFERROR(VLOOKUP(Table7[[#This Row],[PLAYER]],TE!A:K,9,FALSE())/17*(16-Table7[[#This Row],[Missed Games]]),0)</f>
        <v>93.715990588235286</v>
      </c>
      <c r="AW14" s="57">
        <f>IFERROR(VLOOKUP(Table7[[#This Row],[PLAYER]],TE!A:K,10,FALSE())/17*(16-Table7[[#This Row],[Missed Games]]),0)</f>
        <v>110.28953152941176</v>
      </c>
      <c r="AX14" s="57">
        <f>IFERROR(VLOOKUP(Table7[[#This Row],[PLAYER]],TE!A:K,11,FALSE())/17*(16-Table7[[#This Row],[Missed Games]]),0)</f>
        <v>137.35662352941176</v>
      </c>
      <c r="AY14" s="58">
        <f>AVERAGE(AVERAGE(Table7[[#This Row],[LOW]],Table7[[#This Row],[HIGH]]),Table7[[#This Row],[AVG]],VLOOKUP(Table7[[#This Row],[PLAYER]],ECR!L:N,3,FALSE))</f>
        <v>112.22889458823529</v>
      </c>
      <c r="AZ14" s="58">
        <f>Table7[[#This Row],[Zscore Projection]]-$AS$1</f>
        <v>4.3140483921568489</v>
      </c>
      <c r="BA14" s="59">
        <f>MAX(Table7[[#This Row],[VBD]]*Scoring!$B$48+1,1)</f>
        <v>3.1091476010074484</v>
      </c>
      <c r="BB14" s="57">
        <f>VLOOKUP(Table7[[#This Row],[VBD]],BW:BY,3,FALSE)</f>
        <v>4</v>
      </c>
      <c r="BC14" s="60">
        <f>VLOOKUP(INDEX(ECR!$E:$E,MATCH(AR14,ECR!$C:$C,0)),RISK!A:B,2,FALSE())</f>
        <v>1.9756</v>
      </c>
      <c r="BD14" s="57"/>
      <c r="BE14" s="61"/>
      <c r="BF14" s="91">
        <v>12</v>
      </c>
      <c r="BG14" s="61">
        <f t="shared" si="12"/>
        <v>265.58530748235296</v>
      </c>
      <c r="BH14" s="61">
        <f>IFERROR(LARGE($J$3:$J$52,12),"")</f>
        <v>6.0480810823529509</v>
      </c>
      <c r="BI14" s="61">
        <f t="shared" si="4"/>
        <v>9.7413921960784364</v>
      </c>
      <c r="BJ14" s="92">
        <f t="shared" si="5"/>
        <v>4</v>
      </c>
      <c r="BK14" s="91">
        <v>12</v>
      </c>
      <c r="BL14" s="61">
        <f t="shared" si="0"/>
        <v>195.77061582917648</v>
      </c>
      <c r="BM14" s="90">
        <f>IFERROR(LARGE($X$3:$X$102,12),"")</f>
        <v>81.216340254901937</v>
      </c>
      <c r="BN14" s="90">
        <f t="shared" si="6"/>
        <v>104.28112443137256</v>
      </c>
      <c r="BO14" s="92">
        <f t="shared" si="7"/>
        <v>3</v>
      </c>
      <c r="BP14" s="103">
        <v>12</v>
      </c>
      <c r="BQ14" s="61">
        <f t="shared" si="1"/>
        <v>180.57297941176472</v>
      </c>
      <c r="BR14" s="90">
        <f>IFERROR(LARGE($AL$3:$AL$102,12),"")</f>
        <v>66.100808108463639</v>
      </c>
      <c r="BS14" s="90">
        <f t="shared" si="8"/>
        <v>81.148745559444023</v>
      </c>
      <c r="BT14" s="92">
        <f t="shared" si="9"/>
        <v>2</v>
      </c>
      <c r="BU14" s="91">
        <v>12</v>
      </c>
      <c r="BV14" s="61">
        <f t="shared" si="2"/>
        <v>110.8608451764706</v>
      </c>
      <c r="BW14" s="90">
        <f>IFERROR(LARGE($AZ$3:$AZ$52,12),"")</f>
        <v>4.6587512450980455</v>
      </c>
      <c r="BX14" s="90">
        <f t="shared" si="10"/>
        <v>10.022414607843132</v>
      </c>
      <c r="BY14" s="105">
        <f t="shared" si="11"/>
        <v>4</v>
      </c>
      <c r="BZ14" s="90"/>
      <c r="CA14" s="90"/>
      <c r="CB14" s="90"/>
      <c r="CC14" s="90"/>
      <c r="CD14" s="90"/>
      <c r="CE14" s="90"/>
      <c r="CF14" s="90"/>
      <c r="CG14" s="90"/>
    </row>
    <row r="15" spans="1:85" s="62" customFormat="1" ht="14.25" customHeight="1" x14ac:dyDescent="0.3">
      <c r="A15" s="56" t="s">
        <v>375</v>
      </c>
      <c r="B15" s="56" t="str">
        <f>VLOOKUP(A15,ECR!E:L,8,FALSE())</f>
        <v>Jaxson Dart</v>
      </c>
      <c r="C15" s="46" t="str">
        <f>IFERROR(VLOOKUP(Table2[[#This Row],[PLAYER]],ECR!C:F,2,FALSE()),"-")</f>
        <v>NYG</v>
      </c>
      <c r="D15" s="46">
        <f>IFERROR(VLOOKUP(Table2[[#This Row],[PLAYER]],ECR!C:F,4,FALSE()),"-")</f>
        <v>8</v>
      </c>
      <c r="E15" s="46" t="str">
        <f>Table2[[#This Row],[Team]] &amp; "/" &amp; Table2[[#This Row],[Bye]]</f>
        <v>NYG/8</v>
      </c>
      <c r="F15" s="57">
        <f>IFERROR(VLOOKUP(Table2[[#This Row],[PLAYER]],QB!A:Q,15,FALSE())/17*(17-Table2[[#This Row],[Missed Games]]),0)</f>
        <v>252.65912047058831</v>
      </c>
      <c r="G15" s="57">
        <f>IFERROR(VLOOKUP(Table2[[#This Row],[PLAYER]],QB!A:Q,16,FALSE())/17*(17-Table2[[#This Row],[Missed Games]]),0)</f>
        <v>271.69758075294118</v>
      </c>
      <c r="H15" s="57">
        <f>IFERROR(VLOOKUP(Table2[[#This Row],[PLAYER]],QB!A:Q,17,FALSE())/17*(17-Table2[[#This Row],[Missed Games]]),0)</f>
        <v>295.19173891764711</v>
      </c>
      <c r="I15" s="58">
        <f>AVERAGE(AVERAGE(Table2[[#This Row],[LOW]],Table2[[#This Row],[HIGH]]),Table2[[#This Row],[AVG]],VLOOKUP(Table2[[#This Row],[PLAYER]],ECR!L:N,3,FALSE))</f>
        <v>269.87614271372553</v>
      </c>
      <c r="J15" s="58">
        <f>Table2[[#This Row],[Zscore Projection]]-$C$1</f>
        <v>7.5448580078432315</v>
      </c>
      <c r="K15" s="59">
        <f>MAX(Table2[[#This Row],[VBD]]*Scoring!$B$48+1,1)</f>
        <v>4.6886974184423611</v>
      </c>
      <c r="L15" s="45">
        <f>VLOOKUP(Table2[[#This Row],[VBD]],BH:BJ,3,FALSE)</f>
        <v>4</v>
      </c>
      <c r="M15" s="60">
        <f>VLOOKUP(INDEX(ECR!$E:$E,MATCH(B15,ECR!$C:$C,0)),RISK!A:B,2,FALSE())</f>
        <v>2.0891999999999999</v>
      </c>
      <c r="N15" s="61"/>
      <c r="O15" s="45" t="s">
        <v>117</v>
      </c>
      <c r="P15" s="56" t="str">
        <f>VLOOKUP(O15,ECR!E:L,8,FALSE())</f>
        <v>Kyren Williams</v>
      </c>
      <c r="Q15" s="46" t="str">
        <f>IFERROR(VLOOKUP(Table4[[#This Row],[PLAYER]],ECR!C:F,2,FALSE()),"-")</f>
        <v>LAR</v>
      </c>
      <c r="R15" s="46">
        <f>IFERROR(VLOOKUP(Table4[[#This Row],[PLAYER]],ECR!C:F,4,FALSE()),"-")</f>
        <v>11</v>
      </c>
      <c r="S15" s="46" t="str">
        <f>Table4[[#This Row],[Team]] &amp; "/" &amp; Table4[[#This Row],[Bye]]</f>
        <v>LAR/11</v>
      </c>
      <c r="T15" s="57">
        <f>IFERROR(VLOOKUP(Table4[[#This Row],[PLAYER]],RB!A:Q,13,FALSE())/17*(17-Table4[[#This Row],[Missed Games]]),0)</f>
        <v>171.79661541176472</v>
      </c>
      <c r="U15" s="57">
        <f>IFERROR(VLOOKUP(Table4[[#This Row],[PLAYER]],RB!A:Q,14,FALSE())/17*(17-Table4[[#This Row],[Missed Games]]),0)</f>
        <v>184.8372825882353</v>
      </c>
      <c r="V15" s="57">
        <f>IFERROR(VLOOKUP(Table4[[#This Row],[PLAYER]],RB!A:Q,15,FALSE())/17*(17-Table4[[#This Row],[Missed Games]]),0)</f>
        <v>199.37580705882354</v>
      </c>
      <c r="W15" s="58">
        <f>AVERAGE(AVERAGE(Table4[[#This Row],[LOW]],Table4[[#This Row],[HIGH]]),Table4[[#This Row],[AVG]],VLOOKUP(Table4[[#This Row],[PLAYER]],ECR!L:N,3,FALSE))</f>
        <v>188.28482147058821</v>
      </c>
      <c r="X15" s="58">
        <f>Table4[[#This Row],[Zscore Projection]]-$Q$1</f>
        <v>74.130343529411746</v>
      </c>
      <c r="Y15" s="59">
        <f>MAX(Table4[[#This Row],[VBD]]*Scoring!$B$48+1,1)</f>
        <v>37.242485480963097</v>
      </c>
      <c r="Z15" s="45">
        <f>VLOOKUP(Table4[[#This Row],[VBD]],BM:BO,3,FALSE)</f>
        <v>4</v>
      </c>
      <c r="AA15" s="60">
        <f>VLOOKUP(INDEX(ECR!$E:$E,MATCH(P15,ECR!$C:$C,0)),RISK!A:B,2,FALSE())</f>
        <v>2.6137999999999995</v>
      </c>
      <c r="AB15" s="61"/>
      <c r="AC15" s="46" t="s">
        <v>124</v>
      </c>
      <c r="AD15" s="46" t="str">
        <f>VLOOKUP(AC15,ECR!E:L,8,FALSE())</f>
        <v>DeVonta Smith</v>
      </c>
      <c r="AE15" s="46" t="str">
        <f>IFERROR(VLOOKUP(Table6[[#This Row],[PLAYER]],ECR!C:F,2,FALSE()),"-")</f>
        <v>PHI</v>
      </c>
      <c r="AF15" s="46">
        <f>IFERROR(VLOOKUP(Table6[[#This Row],[PLAYER]],ECR!C:F,4,FALSE()),"-")</f>
        <v>10</v>
      </c>
      <c r="AG15" s="46" t="str">
        <f>Table6[[#This Row],[Team]] &amp; "/" &amp; Table6[[#This Row],[Bye]]</f>
        <v>PHI/10</v>
      </c>
      <c r="AH15" s="57">
        <f>IFERROR(VLOOKUP(Table6[[#This Row],[PLAYER]],WR!A:Q,13,FALSE())/17*(17-Table6[[#This Row],[Missed Games]]),0)</f>
        <v>159.77592647058822</v>
      </c>
      <c r="AI15" s="57">
        <f>IFERROR(VLOOKUP(Table6[[#This Row],[PLAYER]],WR!A:Q,14,FALSE())/17*(17-Table6[[#This Row],[Missed Games]]),0)</f>
        <v>163.54782500000002</v>
      </c>
      <c r="AJ15" s="57">
        <f>IFERROR(VLOOKUP(Table6[[#This Row],[PLAYER]],WR!A:Q,15,FALSE())/17*(17-Table6[[#This Row],[Missed Games]]),0)</f>
        <v>167.02305735294118</v>
      </c>
      <c r="AK15" s="58">
        <f>AVERAGE(AVERAGE(Table6[[#This Row],[LOW]],Table6[[#This Row],[HIGH]]),Table6[[#This Row],[AVG]],VLOOKUP(Table6[[#This Row],[PLAYER]],ECR!L:N,3,FALSE))</f>
        <v>165.73653261764704</v>
      </c>
      <c r="AL15" s="58">
        <f>Table6[[#This Row],[Zscore Projection]]-$AE$1</f>
        <v>51.032634628071463</v>
      </c>
      <c r="AM15" s="59">
        <f>MAX(Table6[[#This Row],[VBD]]*Scoring!$B$48+1,1)</f>
        <v>25.94996558095475</v>
      </c>
      <c r="AN15" s="45">
        <f>VLOOKUP(Table6[[#This Row],[VBD]],BR:BT,3,FALSE)</f>
        <v>3</v>
      </c>
      <c r="AO15" s="60">
        <f>VLOOKUP(INDEX(ECR!$E:$E,MATCH(AD15,ECR!$C:$C,0)),RISK!A:B,2,FALSE())</f>
        <v>2.5905000000000005</v>
      </c>
      <c r="AP15" s="61"/>
      <c r="AQ15" s="47" t="s">
        <v>181</v>
      </c>
      <c r="AR15" s="47" t="str">
        <f>VLOOKUP(AQ15,ECR!E:L,8,FALSE())</f>
        <v>Dallas Goedert</v>
      </c>
      <c r="AS15" s="47" t="str">
        <f>IFERROR(VLOOKUP(Table7[[#This Row],[PLAYER]],ECR!C:F,2,FALSE()),"-")</f>
        <v>PHI</v>
      </c>
      <c r="AT15" s="47">
        <f>IFERROR(VLOOKUP(Table7[[#This Row],[PLAYER]],ECR!C:F,4,FALSE()),"-")</f>
        <v>10</v>
      </c>
      <c r="AU15" s="47" t="str">
        <f>Table7[[#This Row],[Team]] &amp; "/" &amp; Table7[[#This Row],[Bye]]</f>
        <v>PHI/10</v>
      </c>
      <c r="AV15" s="57">
        <f>IFERROR(VLOOKUP(Table7[[#This Row],[PLAYER]],TE!A:K,9,FALSE())/17*(16-Table7[[#This Row],[Missed Games]]),0)</f>
        <v>102.64208529411766</v>
      </c>
      <c r="AW15" s="57">
        <f>IFERROR(VLOOKUP(Table7[[#This Row],[PLAYER]],TE!A:K,10,FALSE())/17*(16-Table7[[#This Row],[Missed Games]]),0)</f>
        <v>120.77086352941177</v>
      </c>
      <c r="AX15" s="57">
        <f>IFERROR(VLOOKUP(Table7[[#This Row],[PLAYER]],TE!A:K,11,FALSE())/17*(16-Table7[[#This Row],[Missed Games]]),0)</f>
        <v>142.8606894117647</v>
      </c>
      <c r="AY15" s="58">
        <f>AVERAGE(AVERAGE(Table7[[#This Row],[LOW]],Table7[[#This Row],[HIGH]]),Table7[[#This Row],[AVG]],VLOOKUP(Table7[[#This Row],[PLAYER]],ECR!L:N,3,FALSE))</f>
        <v>117.93726080392157</v>
      </c>
      <c r="AZ15" s="58">
        <f>Table7[[#This Row],[Zscore Projection]]-$AS$1</f>
        <v>10.022414607843132</v>
      </c>
      <c r="BA15" s="59">
        <f>MAX(Table7[[#This Row],[VBD]]*Scoring!$B$48+1,1)</f>
        <v>5.8999802053369708</v>
      </c>
      <c r="BB15" s="57">
        <f>VLOOKUP(Table7[[#This Row],[VBD]],BW:BY,3,FALSE)</f>
        <v>4</v>
      </c>
      <c r="BC15" s="60">
        <f>VLOOKUP(INDEX(ECR!$E:$E,MATCH(AR15,ECR!$C:$C,0)),RISK!A:B,2,FALSE())</f>
        <v>2.0294999999999987</v>
      </c>
      <c r="BD15" s="57"/>
      <c r="BE15" s="61"/>
      <c r="BF15" s="91">
        <v>13</v>
      </c>
      <c r="BG15" s="61">
        <f t="shared" si="12"/>
        <v>264.00541769411757</v>
      </c>
      <c r="BH15" s="61">
        <f>IFERROR(LARGE($J$3:$J$52,13),"")</f>
        <v>2.3265629490196034</v>
      </c>
      <c r="BI15" s="61">
        <f t="shared" si="4"/>
        <v>2.3265629490196034</v>
      </c>
      <c r="BJ15" s="92">
        <f t="shared" si="5"/>
        <v>5</v>
      </c>
      <c r="BK15" s="91">
        <v>13</v>
      </c>
      <c r="BL15" s="61">
        <f t="shared" si="0"/>
        <v>194.43097058823528</v>
      </c>
      <c r="BM15" s="90">
        <f>IFERROR(LARGE($X$3:$X$102,13),"")</f>
        <v>77.434511592000021</v>
      </c>
      <c r="BN15" s="90">
        <f t="shared" si="6"/>
        <v>77.434511592000021</v>
      </c>
      <c r="BO15" s="92">
        <f t="shared" si="7"/>
        <v>4</v>
      </c>
      <c r="BP15" s="103">
        <v>13</v>
      </c>
      <c r="BQ15" s="61">
        <f t="shared" si="1"/>
        <v>170.26228094117644</v>
      </c>
      <c r="BR15" s="90">
        <f>IFERROR(LARGE($AL$3:$AL$102,13),"")</f>
        <v>60.216670030032304</v>
      </c>
      <c r="BS15" s="90">
        <f t="shared" si="8"/>
        <v>60.216670030032304</v>
      </c>
      <c r="BT15" s="92">
        <f t="shared" si="9"/>
        <v>3</v>
      </c>
      <c r="BU15" s="91">
        <v>13</v>
      </c>
      <c r="BV15" s="61">
        <f t="shared" si="2"/>
        <v>110.28953152941176</v>
      </c>
      <c r="BW15" s="90">
        <f>IFERROR(LARGE($AZ$3:$AZ$52,13),"")</f>
        <v>4.3140483921568489</v>
      </c>
      <c r="BX15" s="90">
        <f t="shared" si="10"/>
        <v>10.022414607843132</v>
      </c>
      <c r="BY15" s="105">
        <f t="shared" si="11"/>
        <v>4</v>
      </c>
      <c r="BZ15" s="90"/>
      <c r="CA15" s="90"/>
      <c r="CB15" s="90"/>
      <c r="CC15" s="90"/>
      <c r="CD15" s="90"/>
      <c r="CE15" s="90"/>
      <c r="CF15" s="90"/>
      <c r="CG15" s="90"/>
    </row>
    <row r="16" spans="1:85" s="62" customFormat="1" ht="14.25" customHeight="1" x14ac:dyDescent="0.3">
      <c r="A16" s="56" t="s">
        <v>376</v>
      </c>
      <c r="B16" s="56" t="str">
        <f>VLOOKUP(A16,ECR!E:L,8,FALSE())</f>
        <v>Patrick Mahomes II</v>
      </c>
      <c r="C16" s="46" t="str">
        <f>IFERROR(VLOOKUP(Table2[[#This Row],[PLAYER]],ECR!C:F,2,FALSE()),"-")</f>
        <v>KC</v>
      </c>
      <c r="D16" s="46">
        <f>IFERROR(VLOOKUP(Table2[[#This Row],[PLAYER]],ECR!C:F,4,FALSE()),"-")</f>
        <v>5</v>
      </c>
      <c r="E16" s="46" t="str">
        <f>Table2[[#This Row],[Team]] &amp; "/" &amp; Table2[[#This Row],[Bye]]</f>
        <v>KC/5</v>
      </c>
      <c r="F16" s="57">
        <f>IFERROR(VLOOKUP(Table2[[#This Row],[PLAYER]],QB!A:Q,15,FALSE())/17*(17-Table2[[#This Row],[Missed Games]]),0)</f>
        <v>245.89553223529416</v>
      </c>
      <c r="G16" s="57">
        <f>IFERROR(VLOOKUP(Table2[[#This Row],[PLAYER]],QB!A:Q,16,FALSE())/17*(17-Table2[[#This Row],[Missed Games]]),0)</f>
        <v>264.00541769411757</v>
      </c>
      <c r="H16" s="57">
        <f>IFERROR(VLOOKUP(Table2[[#This Row],[PLAYER]],QB!A:Q,17,FALSE())/17*(17-Table2[[#This Row],[Missed Games]]),0)</f>
        <v>288.8115420235294</v>
      </c>
      <c r="I16" s="58">
        <f>AVERAGE(AVERAGE(Table2[[#This Row],[LOW]],Table2[[#This Row],[HIGH]]),Table2[[#This Row],[AVG]],VLOOKUP(Table2[[#This Row],[PLAYER]],ECR!L:N,3,FALSE))</f>
        <v>264.6578476549019</v>
      </c>
      <c r="J16" s="58">
        <f>Table2[[#This Row],[Zscore Projection]]-$C$1</f>
        <v>2.3265629490196034</v>
      </c>
      <c r="K16" s="59">
        <f>MAX(Table2[[#This Row],[VBD]]*Scoring!$B$48+1,1)</f>
        <v>2.1374616639532356</v>
      </c>
      <c r="L16" s="45">
        <f>VLOOKUP(Table2[[#This Row],[VBD]],BH:BJ,3,FALSE)</f>
        <v>5</v>
      </c>
      <c r="M16" s="60">
        <f>VLOOKUP(INDEX(ECR!$E:$E,MATCH(B16,ECR!$C:$C,0)),RISK!A:B,2,FALSE())</f>
        <v>2.1544000000000008</v>
      </c>
      <c r="N16" s="61"/>
      <c r="O16" s="45" t="s">
        <v>121</v>
      </c>
      <c r="P16" s="56" t="str">
        <f>VLOOKUP(O16,ECR!E:L,8,FALSE())</f>
        <v>Javonte Williams</v>
      </c>
      <c r="Q16" s="46" t="str">
        <f>IFERROR(VLOOKUP(Table4[[#This Row],[PLAYER]],ECR!C:F,2,FALSE()),"-")</f>
        <v>DAL</v>
      </c>
      <c r="R16" s="46">
        <f>IFERROR(VLOOKUP(Table4[[#This Row],[PLAYER]],ECR!C:F,4,FALSE()),"-")</f>
        <v>14</v>
      </c>
      <c r="S16" s="46" t="str">
        <f>Table4[[#This Row],[Team]] &amp; "/" &amp; Table4[[#This Row],[Bye]]</f>
        <v>DAL/14</v>
      </c>
      <c r="T16" s="57">
        <f>IFERROR(VLOOKUP(Table4[[#This Row],[PLAYER]],RB!A:Q,13,FALSE())/17*(17-Table4[[#This Row],[Missed Games]]),0)</f>
        <v>173.15478588235291</v>
      </c>
      <c r="U16" s="57">
        <f>IFERROR(VLOOKUP(Table4[[#This Row],[PLAYER]],RB!A:Q,14,FALSE())/17*(17-Table4[[#This Row],[Missed Games]]),0)</f>
        <v>189.35422776470583</v>
      </c>
      <c r="V16" s="57">
        <f>IFERROR(VLOOKUP(Table4[[#This Row],[PLAYER]],RB!A:Q,15,FALSE())/17*(17-Table4[[#This Row],[Missed Games]]),0)</f>
        <v>202.70439411764704</v>
      </c>
      <c r="W16" s="58">
        <f>AVERAGE(AVERAGE(Table4[[#This Row],[LOW]],Table4[[#This Row],[HIGH]]),Table4[[#This Row],[AVG]],VLOOKUP(Table4[[#This Row],[PLAYER]],ECR!L:N,3,FALSE))</f>
        <v>188.87934850980386</v>
      </c>
      <c r="X16" s="58">
        <f>Table4[[#This Row],[Zscore Projection]]-$Q$1</f>
        <v>74.724870568627395</v>
      </c>
      <c r="Y16" s="59">
        <f>MAX(Table4[[#This Row],[VBD]]*Scoring!$B$48+1,1)</f>
        <v>37.533151037885332</v>
      </c>
      <c r="Z16" s="45">
        <f>VLOOKUP(Table4[[#This Row],[VBD]],BM:BO,3,FALSE)</f>
        <v>4</v>
      </c>
      <c r="AA16" s="60">
        <f>VLOOKUP(INDEX(ECR!$E:$E,MATCH(P16,ECR!$C:$C,0)),RISK!A:B,2,FALSE())</f>
        <v>2.6268000000000011</v>
      </c>
      <c r="AB16" s="61"/>
      <c r="AC16" s="46" t="s">
        <v>139</v>
      </c>
      <c r="AD16" s="46" t="str">
        <f>VLOOKUP(AC16,ECR!E:L,8,FALSE())</f>
        <v>Rashee Rice</v>
      </c>
      <c r="AE16" s="46" t="str">
        <f>IFERROR(VLOOKUP(Table6[[#This Row],[PLAYER]],ECR!C:F,2,FALSE()),"-")</f>
        <v>KC</v>
      </c>
      <c r="AF16" s="46">
        <f>IFERROR(VLOOKUP(Table6[[#This Row],[PLAYER]],ECR!C:F,4,FALSE()),"-")</f>
        <v>5</v>
      </c>
      <c r="AG16" s="46" t="str">
        <f>Table6[[#This Row],[Team]] &amp; "/" &amp; Table6[[#This Row],[Bye]]</f>
        <v>KC/5</v>
      </c>
      <c r="AH16" s="57">
        <f>IFERROR(VLOOKUP(Table6[[#This Row],[PLAYER]],WR!A:Q,13,FALSE())/17*(17-Table6[[#This Row],[Missed Games]]),0)</f>
        <v>161.18651117647062</v>
      </c>
      <c r="AI16" s="57">
        <f>IFERROR(VLOOKUP(Table6[[#This Row],[PLAYER]],WR!A:Q,14,FALSE())/17*(17-Table6[[#This Row],[Missed Games]]),0)</f>
        <v>185.33705364705884</v>
      </c>
      <c r="AJ16" s="57">
        <f>IFERROR(VLOOKUP(Table6[[#This Row],[PLAYER]],WR!A:Q,15,FALSE())/17*(17-Table6[[#This Row],[Missed Games]]),0)</f>
        <v>214.78028752941174</v>
      </c>
      <c r="AK16" s="58">
        <f>AVERAGE(AVERAGE(Table6[[#This Row],[LOW]],Table6[[#This Row],[HIGH]]),Table6[[#This Row],[AVG]],VLOOKUP(Table6[[#This Row],[PLAYER]],ECR!L:N,3,FALSE))</f>
        <v>180.80470609803922</v>
      </c>
      <c r="AL16" s="58">
        <f>Table6[[#This Row],[Zscore Projection]]-$AE$1</f>
        <v>66.100808108463639</v>
      </c>
      <c r="AM16" s="59">
        <f>MAX(Table6[[#This Row],[VBD]]*Scoring!$B$48+1,1)</f>
        <v>33.316828225683679</v>
      </c>
      <c r="AN16" s="45">
        <f>VLOOKUP(Table6[[#This Row],[VBD]],BR:BT,3,FALSE)</f>
        <v>2</v>
      </c>
      <c r="AO16" s="60">
        <f>VLOOKUP(INDEX(ECR!$E:$E,MATCH(AD16,ECR!$C:$C,0)),RISK!A:B,2,FALSE())</f>
        <v>2.6498000000000008</v>
      </c>
      <c r="AP16" s="61"/>
      <c r="AQ16" s="47" t="s">
        <v>180</v>
      </c>
      <c r="AR16" s="47" t="str">
        <f>VLOOKUP(AQ16,ECR!E:L,8,FALSE())</f>
        <v>Jake Ferguson</v>
      </c>
      <c r="AS16" s="47" t="str">
        <f>IFERROR(VLOOKUP(Table7[[#This Row],[PLAYER]],ECR!C:F,2,FALSE()),"-")</f>
        <v>DAL</v>
      </c>
      <c r="AT16" s="47">
        <f>IFERROR(VLOOKUP(Table7[[#This Row],[PLAYER]],ECR!C:F,4,FALSE()),"-")</f>
        <v>14</v>
      </c>
      <c r="AU16" s="47" t="str">
        <f>Table7[[#This Row],[Team]] &amp; "/" &amp; Table7[[#This Row],[Bye]]</f>
        <v>DAL/14</v>
      </c>
      <c r="AV16" s="57">
        <f>IFERROR(VLOOKUP(Table7[[#This Row],[PLAYER]],TE!A:K,9,FALSE())/17*(16-Table7[[#This Row],[Missed Games]]),0)</f>
        <v>98.147294117647064</v>
      </c>
      <c r="AW16" s="57">
        <f>IFERROR(VLOOKUP(Table7[[#This Row],[PLAYER]],TE!A:K,10,FALSE())/17*(16-Table7[[#This Row],[Missed Games]]),0)</f>
        <v>106.45709835294119</v>
      </c>
      <c r="AX16" s="57">
        <f>IFERROR(VLOOKUP(Table7[[#This Row],[PLAYER]],TE!A:K,11,FALSE())/17*(16-Table7[[#This Row],[Missed Games]]),0)</f>
        <v>116.79528000000002</v>
      </c>
      <c r="AY16" s="58">
        <f>AVERAGE(AVERAGE(Table7[[#This Row],[LOW]],Table7[[#This Row],[HIGH]]),Table7[[#This Row],[AVG]],VLOOKUP(Table7[[#This Row],[PLAYER]],ECR!L:N,3,FALSE))</f>
        <v>107.6132739019608</v>
      </c>
      <c r="AZ16" s="58">
        <f>Table7[[#This Row],[Zscore Projection]]-$AS$1</f>
        <v>-0.30157229411764774</v>
      </c>
      <c r="BA16" s="59">
        <f>MAX(Table7[[#This Row],[VBD]]*Scoring!$B$48+1,1)</f>
        <v>1</v>
      </c>
      <c r="BB16" s="57">
        <f>VLOOKUP(Table7[[#This Row],[VBD]],BW:BY,3,FALSE)</f>
        <v>4</v>
      </c>
      <c r="BC16" s="60">
        <f>VLOOKUP(INDEX(ECR!$E:$E,MATCH(AR16,ECR!$C:$C,0)),RISK!A:B,2,FALSE())</f>
        <v>2.0957999999999988</v>
      </c>
      <c r="BD16" s="57"/>
      <c r="BE16" s="61"/>
      <c r="BF16" s="91">
        <v>14</v>
      </c>
      <c r="BG16" s="61">
        <f t="shared" si="12"/>
        <v>262.6145881411764</v>
      </c>
      <c r="BH16" s="61">
        <f>IFERROR(LARGE($J$3:$J$52,14),"")</f>
        <v>0</v>
      </c>
      <c r="BI16" s="61">
        <f t="shared" si="4"/>
        <v>2.3265629490196034</v>
      </c>
      <c r="BJ16" s="92">
        <f t="shared" si="5"/>
        <v>5</v>
      </c>
      <c r="BK16" s="91">
        <v>14</v>
      </c>
      <c r="BL16" s="61">
        <f t="shared" si="0"/>
        <v>189.35422776470583</v>
      </c>
      <c r="BM16" s="90">
        <f>IFERROR(LARGE($X$3:$X$102,14),"")</f>
        <v>74.724870568627395</v>
      </c>
      <c r="BN16" s="90">
        <f t="shared" si="6"/>
        <v>77.434511592000021</v>
      </c>
      <c r="BO16" s="92">
        <f t="shared" si="7"/>
        <v>4</v>
      </c>
      <c r="BP16" s="103">
        <v>14</v>
      </c>
      <c r="BQ16" s="61">
        <f t="shared" si="1"/>
        <v>169.09366529411761</v>
      </c>
      <c r="BR16" s="90">
        <f>IFERROR(LARGE($AL$3:$AL$102,14),"")</f>
        <v>52.744317353561655</v>
      </c>
      <c r="BS16" s="90">
        <f t="shared" si="8"/>
        <v>60.216670030032304</v>
      </c>
      <c r="BT16" s="92">
        <f t="shared" si="9"/>
        <v>3</v>
      </c>
      <c r="BU16" s="91">
        <v>14</v>
      </c>
      <c r="BV16" s="61">
        <f t="shared" si="2"/>
        <v>108.91143629411765</v>
      </c>
      <c r="BW16" s="90">
        <f>IFERROR(LARGE($AZ$3:$AZ$52,14),"")</f>
        <v>0</v>
      </c>
      <c r="BX16" s="90">
        <f t="shared" si="10"/>
        <v>10.022414607843132</v>
      </c>
      <c r="BY16" s="105">
        <f t="shared" si="11"/>
        <v>4</v>
      </c>
      <c r="BZ16" s="90"/>
      <c r="CA16" s="90"/>
      <c r="CB16" s="90"/>
      <c r="CC16" s="90"/>
      <c r="CD16" s="90"/>
      <c r="CE16" s="90"/>
      <c r="CF16" s="90"/>
      <c r="CG16" s="90"/>
    </row>
    <row r="17" spans="1:85" s="62" customFormat="1" ht="14.25" customHeight="1" x14ac:dyDescent="0.3">
      <c r="A17" s="56" t="s">
        <v>377</v>
      </c>
      <c r="B17" s="56" t="str">
        <f>VLOOKUP(A17,ECR!E:L,8,FALSE())</f>
        <v>Jared Goff</v>
      </c>
      <c r="C17" s="46" t="str">
        <f>IFERROR(VLOOKUP(Table2[[#This Row],[PLAYER]],ECR!C:F,2,FALSE()),"-")</f>
        <v>DET</v>
      </c>
      <c r="D17" s="46">
        <f>IFERROR(VLOOKUP(Table2[[#This Row],[PLAYER]],ECR!C:F,4,FALSE()),"-")</f>
        <v>6</v>
      </c>
      <c r="E17" s="46" t="str">
        <f>Table2[[#This Row],[Team]] &amp; "/" &amp; Table2[[#This Row],[Bye]]</f>
        <v>DET/6</v>
      </c>
      <c r="F17" s="57">
        <f>IFERROR(VLOOKUP(Table2[[#This Row],[PLAYER]],QB!A:Q,15,FALSE())/17*(17-Table2[[#This Row],[Missed Games]]),0)</f>
        <v>236.46943764705881</v>
      </c>
      <c r="G17" s="57">
        <f>IFERROR(VLOOKUP(Table2[[#This Row],[PLAYER]],QB!A:Q,16,FALSE())/17*(17-Table2[[#This Row],[Missed Games]]),0)</f>
        <v>250.07868941176471</v>
      </c>
      <c r="H17" s="57">
        <f>IFERROR(VLOOKUP(Table2[[#This Row],[PLAYER]],QB!A:Q,17,FALSE())/17*(17-Table2[[#This Row],[Missed Games]]),0)</f>
        <v>266.52030588235289</v>
      </c>
      <c r="I17" s="58">
        <f>AVERAGE(AVERAGE(Table2[[#This Row],[LOW]],Table2[[#This Row],[HIGH]]),Table2[[#This Row],[AVG]],VLOOKUP(Table2[[#This Row],[PLAYER]],ECR!L:N,3,FALSE))</f>
        <v>251.81997372549017</v>
      </c>
      <c r="J17" s="58">
        <f>Table2[[#This Row],[Zscore Projection]]-$C$1</f>
        <v>-10.511310980392125</v>
      </c>
      <c r="K17" s="59">
        <f>MAX(Table2[[#This Row],[VBD]]*Scoring!$B$48+1,1)</f>
        <v>1</v>
      </c>
      <c r="L17" s="45">
        <f>VLOOKUP(Table2[[#This Row],[VBD]],BH:BJ,3,FALSE)</f>
        <v>6</v>
      </c>
      <c r="M17" s="60">
        <f>VLOOKUP(INDEX(ECR!$E:$E,MATCH(B17,ECR!$C:$C,0)),RISK!A:B,2,FALSE())</f>
        <v>2.2300000000000004</v>
      </c>
      <c r="N17" s="61"/>
      <c r="O17" s="45" t="s">
        <v>118</v>
      </c>
      <c r="P17" s="56" t="str">
        <f>VLOOKUP(O17,ECR!E:L,8,FALSE())</f>
        <v>Breece Hall</v>
      </c>
      <c r="Q17" s="46" t="str">
        <f>IFERROR(VLOOKUP(Table4[[#This Row],[PLAYER]],ECR!C:F,2,FALSE()),"-")</f>
        <v>NYJ</v>
      </c>
      <c r="R17" s="46">
        <f>IFERROR(VLOOKUP(Table4[[#This Row],[PLAYER]],ECR!C:F,4,FALSE()),"-")</f>
        <v>13</v>
      </c>
      <c r="S17" s="46" t="str">
        <f>Table4[[#This Row],[Team]] &amp; "/" &amp; Table4[[#This Row],[Bye]]</f>
        <v>NYJ/13</v>
      </c>
      <c r="T17" s="57">
        <f>IFERROR(VLOOKUP(Table4[[#This Row],[PLAYER]],RB!A:Q,13,FALSE())/17*(17-Table4[[#This Row],[Missed Games]]),0)</f>
        <v>165.88868235294117</v>
      </c>
      <c r="U17" s="57">
        <f>IFERROR(VLOOKUP(Table4[[#This Row],[PLAYER]],RB!A:Q,14,FALSE())/17*(17-Table4[[#This Row],[Missed Games]]),0)</f>
        <v>187.47786117647053</v>
      </c>
      <c r="V17" s="57">
        <f>IFERROR(VLOOKUP(Table4[[#This Row],[PLAYER]],RB!A:Q,15,FALSE())/17*(17-Table4[[#This Row],[Missed Games]]),0)</f>
        <v>207.38619235294115</v>
      </c>
      <c r="W17" s="58">
        <f>AVERAGE(AVERAGE(Table4[[#This Row],[LOW]],Table4[[#This Row],[HIGH]]),Table4[[#This Row],[AVG]],VLOOKUP(Table4[[#This Row],[PLAYER]],ECR!L:N,3,FALSE))</f>
        <v>187.19771990196077</v>
      </c>
      <c r="X17" s="58">
        <f>Table4[[#This Row],[Zscore Projection]]-$Q$1</f>
        <v>73.0432419607843</v>
      </c>
      <c r="Y17" s="59">
        <f>MAX(Table4[[#This Row],[VBD]]*Scoring!$B$48+1,1)</f>
        <v>36.710999169940131</v>
      </c>
      <c r="Z17" s="45">
        <f>VLOOKUP(Table4[[#This Row],[VBD]],BM:BO,3,FALSE)</f>
        <v>4</v>
      </c>
      <c r="AA17" s="60">
        <f>VLOOKUP(INDEX(ECR!$E:$E,MATCH(P17,ECR!$C:$C,0)),RISK!A:B,2,FALSE())</f>
        <v>2.641</v>
      </c>
      <c r="AB17" s="61"/>
      <c r="AC17" s="46" t="s">
        <v>137</v>
      </c>
      <c r="AD17" s="46" t="str">
        <f>VLOOKUP(AC17,ECR!E:L,8,FALSE())</f>
        <v>Zay Flowers</v>
      </c>
      <c r="AE17" s="46" t="str">
        <f>IFERROR(VLOOKUP(Table6[[#This Row],[PLAYER]],ECR!C:F,2,FALSE()),"-")</f>
        <v>BAL</v>
      </c>
      <c r="AF17" s="46">
        <f>IFERROR(VLOOKUP(Table6[[#This Row],[PLAYER]],ECR!C:F,4,FALSE()),"-")</f>
        <v>13</v>
      </c>
      <c r="AG17" s="46" t="str">
        <f>Table6[[#This Row],[Team]] &amp; "/" &amp; Table6[[#This Row],[Bye]]</f>
        <v>BAL/13</v>
      </c>
      <c r="AH17" s="57">
        <f>IFERROR(VLOOKUP(Table6[[#This Row],[PLAYER]],WR!A:Q,13,FALSE())/17*(17-Table6[[#This Row],[Missed Games]]),0)</f>
        <v>156.30697617647056</v>
      </c>
      <c r="AI17" s="57">
        <f>IFERROR(VLOOKUP(Table6[[#This Row],[PLAYER]],WR!A:Q,14,FALSE())/17*(17-Table6[[#This Row],[Missed Games]]),0)</f>
        <v>169.09366529411761</v>
      </c>
      <c r="AJ17" s="57">
        <f>IFERROR(VLOOKUP(Table6[[#This Row],[PLAYER]],WR!A:Q,15,FALSE())/17*(17-Table6[[#This Row],[Missed Games]]),0)</f>
        <v>183.09933529411765</v>
      </c>
      <c r="AK17" s="58">
        <f>AVERAGE(AVERAGE(Table6[[#This Row],[LOW]],Table6[[#This Row],[HIGH]]),Table6[[#This Row],[AVG]],VLOOKUP(Table6[[#This Row],[PLAYER]],ECR!L:N,3,FALSE))</f>
        <v>167.44821534313724</v>
      </c>
      <c r="AL17" s="58">
        <f>Table6[[#This Row],[Zscore Projection]]-$AE$1</f>
        <v>52.744317353561655</v>
      </c>
      <c r="AM17" s="59">
        <f>MAX(Table6[[#This Row],[VBD]]*Scoring!$B$48+1,1)</f>
        <v>26.786810972099882</v>
      </c>
      <c r="AN17" s="45">
        <f>VLOOKUP(Table6[[#This Row],[VBD]],BR:BT,3,FALSE)</f>
        <v>3</v>
      </c>
      <c r="AO17" s="60">
        <f>VLOOKUP(INDEX(ECR!$E:$E,MATCH(AD17,ECR!$C:$C,0)),RISK!A:B,2,FALSE())</f>
        <v>2.7085000000000008</v>
      </c>
      <c r="AP17" s="61"/>
      <c r="AQ17" s="47" t="s">
        <v>185</v>
      </c>
      <c r="AR17" s="47" t="str">
        <f>VLOOKUP(AQ17,ECR!E:L,8,FALSE())</f>
        <v>Juwan Johnson</v>
      </c>
      <c r="AS17" s="47" t="str">
        <f>IFERROR(VLOOKUP(Table7[[#This Row],[PLAYER]],ECR!C:F,2,FALSE()),"-")</f>
        <v>NO</v>
      </c>
      <c r="AT17" s="47">
        <f>IFERROR(VLOOKUP(Table7[[#This Row],[PLAYER]],ECR!C:F,4,FALSE()),"-")</f>
        <v>8</v>
      </c>
      <c r="AU17" s="47" t="str">
        <f>Table7[[#This Row],[Team]] &amp; "/" &amp; Table7[[#This Row],[Bye]]</f>
        <v>NO/8</v>
      </c>
      <c r="AV17" s="57">
        <f>IFERROR(VLOOKUP(Table7[[#This Row],[PLAYER]],TE!A:K,9,FALSE())/17*(16-Table7[[#This Row],[Missed Games]]),0)</f>
        <v>89.036219999999986</v>
      </c>
      <c r="AW17" s="57">
        <f>IFERROR(VLOOKUP(Table7[[#This Row],[PLAYER]],TE!A:K,10,FALSE())/17*(16-Table7[[#This Row],[Missed Games]]),0)</f>
        <v>100.38126264705882</v>
      </c>
      <c r="AX17" s="57">
        <f>IFERROR(VLOOKUP(Table7[[#This Row],[PLAYER]],TE!A:K,11,FALSE())/17*(16-Table7[[#This Row],[Missed Games]]),0)</f>
        <v>118.33001470588235</v>
      </c>
      <c r="AY17" s="58">
        <f>AVERAGE(AVERAGE(Table7[[#This Row],[LOW]],Table7[[#This Row],[HIGH]]),Table7[[#This Row],[AVG]],VLOOKUP(Table7[[#This Row],[PLAYER]],ECR!L:N,3,FALSE))</f>
        <v>103.50715945098038</v>
      </c>
      <c r="AZ17" s="58">
        <f>Table7[[#This Row],[Zscore Projection]]-$AS$1</f>
        <v>-4.4076867450980615</v>
      </c>
      <c r="BA17" s="59">
        <f>MAX(Table7[[#This Row],[VBD]]*Scoring!$B$48+1,1)</f>
        <v>1</v>
      </c>
      <c r="BB17" s="57">
        <f>VLOOKUP(Table7[[#This Row],[VBD]],BW:BY,3,FALSE)</f>
        <v>5</v>
      </c>
      <c r="BC17" s="60">
        <f>VLOOKUP(INDEX(ECR!$E:$E,MATCH(AR17,ECR!$C:$C,0)),RISK!A:B,2,FALSE())</f>
        <v>2.1745000000000001</v>
      </c>
      <c r="BD17" s="57"/>
      <c r="BE17" s="61"/>
      <c r="BF17" s="91">
        <v>15</v>
      </c>
      <c r="BG17" s="61">
        <f t="shared" si="12"/>
        <v>253.88635999999991</v>
      </c>
      <c r="BH17" s="61">
        <f>IFERROR(LARGE($J$3:$J$52,15),"")</f>
        <v>-9.7694966274509909</v>
      </c>
      <c r="BI17" s="61">
        <f t="shared" si="4"/>
        <v>-9.7694966274509909</v>
      </c>
      <c r="BJ17" s="92">
        <f t="shared" si="5"/>
        <v>6</v>
      </c>
      <c r="BK17" s="91">
        <v>15</v>
      </c>
      <c r="BL17" s="61">
        <f t="shared" si="0"/>
        <v>187.47786117647053</v>
      </c>
      <c r="BM17" s="90">
        <f>IFERROR(LARGE($X$3:$X$102,15),"")</f>
        <v>74.130343529411746</v>
      </c>
      <c r="BN17" s="90">
        <f t="shared" si="6"/>
        <v>77.434511592000021</v>
      </c>
      <c r="BO17" s="92">
        <f t="shared" si="7"/>
        <v>4</v>
      </c>
      <c r="BP17" s="103">
        <v>15</v>
      </c>
      <c r="BQ17" s="61">
        <f t="shared" si="1"/>
        <v>163.54782500000002</v>
      </c>
      <c r="BR17" s="90">
        <f>IFERROR(LARGE($AL$3:$AL$102,15),"")</f>
        <v>51.032634628071463</v>
      </c>
      <c r="BS17" s="90">
        <f t="shared" si="8"/>
        <v>60.216670030032304</v>
      </c>
      <c r="BT17" s="92">
        <f t="shared" si="9"/>
        <v>3</v>
      </c>
      <c r="BU17" s="91">
        <v>15</v>
      </c>
      <c r="BV17" s="61">
        <f t="shared" si="2"/>
        <v>106.45709835294119</v>
      </c>
      <c r="BW17" s="90">
        <f>IFERROR(LARGE($AZ$3:$AZ$52,15),"")</f>
        <v>-0.30157229411764774</v>
      </c>
      <c r="BX17" s="90">
        <f t="shared" si="10"/>
        <v>10.022414607843132</v>
      </c>
      <c r="BY17" s="105">
        <f t="shared" si="11"/>
        <v>4</v>
      </c>
      <c r="BZ17" s="90"/>
      <c r="CA17" s="90"/>
      <c r="CB17" s="90"/>
      <c r="CC17" s="90"/>
      <c r="CD17" s="90"/>
      <c r="CE17" s="90"/>
      <c r="CF17" s="90"/>
      <c r="CG17" s="90"/>
    </row>
    <row r="18" spans="1:85" s="62" customFormat="1" ht="14.25" customHeight="1" x14ac:dyDescent="0.3">
      <c r="A18" s="56" t="s">
        <v>378</v>
      </c>
      <c r="B18" s="56" t="str">
        <f>VLOOKUP(A18,ECR!E:L,8,FALSE())</f>
        <v>Matthew Stafford</v>
      </c>
      <c r="C18" s="46" t="str">
        <f>IFERROR(VLOOKUP(Table2[[#This Row],[PLAYER]],ECR!C:F,2,FALSE()),"-")</f>
        <v>LAR</v>
      </c>
      <c r="D18" s="46">
        <f>IFERROR(VLOOKUP(Table2[[#This Row],[PLAYER]],ECR!C:F,4,FALSE()),"-")</f>
        <v>11</v>
      </c>
      <c r="E18" s="46" t="str">
        <f>Table2[[#This Row],[Team]] &amp; "/" &amp; Table2[[#This Row],[Bye]]</f>
        <v>LAR/11</v>
      </c>
      <c r="F18" s="57">
        <f>IFERROR(VLOOKUP(Table2[[#This Row],[PLAYER]],QB!A:Q,15,FALSE())/17*(17-Table2[[#This Row],[Missed Games]]),0)</f>
        <v>241.42223529411763</v>
      </c>
      <c r="G18" s="57">
        <f>IFERROR(VLOOKUP(Table2[[#This Row],[PLAYER]],QB!A:Q,16,FALSE())/17*(17-Table2[[#This Row],[Missed Games]]),0)</f>
        <v>253.88635999999991</v>
      </c>
      <c r="H18" s="57">
        <f>IFERROR(VLOOKUP(Table2[[#This Row],[PLAYER]],QB!A:Q,17,FALSE())/17*(17-Table2[[#This Row],[Missed Games]]),0)</f>
        <v>265.44353176470588</v>
      </c>
      <c r="I18" s="58">
        <f>AVERAGE(AVERAGE(Table2[[#This Row],[LOW]],Table2[[#This Row],[HIGH]]),Table2[[#This Row],[AVG]],VLOOKUP(Table2[[#This Row],[PLAYER]],ECR!L:N,3,FALSE))</f>
        <v>252.56178807843131</v>
      </c>
      <c r="J18" s="58">
        <f>Table2[[#This Row],[Zscore Projection]]-$C$1</f>
        <v>-9.7694966274509909</v>
      </c>
      <c r="K18" s="59">
        <f>MAX(Table2[[#This Row],[VBD]]*Scoring!$B$48+1,1)</f>
        <v>1</v>
      </c>
      <c r="L18" s="45">
        <f>VLOOKUP(Table2[[#This Row],[VBD]],BH:BJ,3,FALSE)</f>
        <v>6</v>
      </c>
      <c r="M18" s="60">
        <f>VLOOKUP(INDEX(ECR!$E:$E,MATCH(B18,ECR!$C:$C,0)),RISK!A:B,2,FALSE())</f>
        <v>2.3160000000000007</v>
      </c>
      <c r="N18" s="61"/>
      <c r="O18" s="45" t="s">
        <v>115</v>
      </c>
      <c r="P18" s="56" t="str">
        <f>VLOOKUP(O18,ECR!E:L,8,FALSE())</f>
        <v>Jeremiyah Love</v>
      </c>
      <c r="Q18" s="46" t="str">
        <f>IFERROR(VLOOKUP(Table4[[#This Row],[PLAYER]],ECR!C:F,2,FALSE()),"-")</f>
        <v>ARI</v>
      </c>
      <c r="R18" s="46">
        <f>IFERROR(VLOOKUP(Table4[[#This Row],[PLAYER]],ECR!C:F,4,FALSE()),"-")</f>
        <v>14</v>
      </c>
      <c r="S18" s="46" t="str">
        <f>Table4[[#This Row],[Team]] &amp; "/" &amp; Table4[[#This Row],[Bye]]</f>
        <v>ARI/14</v>
      </c>
      <c r="T18" s="57">
        <f>IFERROR(VLOOKUP(Table4[[#This Row],[PLAYER]],RB!A:Q,13,FALSE())/17*(17-Table4[[#This Row],[Missed Games]]),0)</f>
        <v>174.90489653505881</v>
      </c>
      <c r="U18" s="57">
        <f>IFERROR(VLOOKUP(Table4[[#This Row],[PLAYER]],RB!A:Q,14,FALSE())/17*(17-Table4[[#This Row],[Missed Games]]),0)</f>
        <v>195.77061582917648</v>
      </c>
      <c r="V18" s="57">
        <f>IFERROR(VLOOKUP(Table4[[#This Row],[PLAYER]],RB!A:Q,15,FALSE())/17*(17-Table4[[#This Row],[Missed Games]]),0)</f>
        <v>213.41324382917651</v>
      </c>
      <c r="W18" s="58">
        <f>AVERAGE(AVERAGE(Table4[[#This Row],[LOW]],Table4[[#This Row],[HIGH]]),Table4[[#This Row],[AVG]],VLOOKUP(Table4[[#This Row],[PLAYER]],ECR!L:N,3,FALSE))</f>
        <v>191.58898953317649</v>
      </c>
      <c r="X18" s="58">
        <f>Table4[[#This Row],[Zscore Projection]]-$Q$1</f>
        <v>77.434511592000021</v>
      </c>
      <c r="Y18" s="59">
        <f>MAX(Table4[[#This Row],[VBD]]*Scoring!$B$48+1,1)</f>
        <v>38.857900401946232</v>
      </c>
      <c r="Z18" s="45">
        <f>VLOOKUP(Table4[[#This Row],[VBD]],BM:BO,3,FALSE)</f>
        <v>4</v>
      </c>
      <c r="AA18" s="60">
        <f>VLOOKUP(INDEX(ECR!$E:$E,MATCH(P18,ECR!$C:$C,0)),RISK!A:B,2,FALSE())</f>
        <v>2.6563999999999997</v>
      </c>
      <c r="AB18" s="61"/>
      <c r="AC18" s="46" t="s">
        <v>146</v>
      </c>
      <c r="AD18" s="46" t="str">
        <f>VLOOKUP(AC18,ECR!E:L,8,FALSE())</f>
        <v>Tee Higgins</v>
      </c>
      <c r="AE18" s="46" t="str">
        <f>IFERROR(VLOOKUP(Table6[[#This Row],[PLAYER]],ECR!C:F,2,FALSE()),"-")</f>
        <v>CIN</v>
      </c>
      <c r="AF18" s="46">
        <f>IFERROR(VLOOKUP(Table6[[#This Row],[PLAYER]],ECR!C:F,4,FALSE()),"-")</f>
        <v>6</v>
      </c>
      <c r="AG18" s="46" t="str">
        <f>Table6[[#This Row],[Team]] &amp; "/" &amp; Table6[[#This Row],[Bye]]</f>
        <v>CIN/6</v>
      </c>
      <c r="AH18" s="57">
        <f>IFERROR(VLOOKUP(Table6[[#This Row],[PLAYER]],WR!A:Q,13,FALSE())/17*(17-Table6[[#This Row],[Missed Games]]),0)</f>
        <v>142.5851776470588</v>
      </c>
      <c r="AI18" s="57">
        <f>IFERROR(VLOOKUP(Table6[[#This Row],[PLAYER]],WR!A:Q,14,FALSE())/17*(17-Table6[[#This Row],[Missed Games]]),0)</f>
        <v>155.83898482352942</v>
      </c>
      <c r="AJ18" s="57">
        <f>IFERROR(VLOOKUP(Table6[[#This Row],[PLAYER]],WR!A:Q,15,FALSE())/17*(17-Table6[[#This Row],[Missed Games]]),0)</f>
        <v>172.89394705882353</v>
      </c>
      <c r="AK18" s="58">
        <f>AVERAGE(AVERAGE(Table6[[#This Row],[LOW]],Table6[[#This Row],[HIGH]]),Table6[[#This Row],[AVG]],VLOOKUP(Table6[[#This Row],[PLAYER]],ECR!L:N,3,FALSE))</f>
        <v>158.12437113725491</v>
      </c>
      <c r="AL18" s="58">
        <f>Table6[[#This Row],[Zscore Projection]]-$AE$1</f>
        <v>43.420473147679331</v>
      </c>
      <c r="AM18" s="59">
        <f>MAX(Table6[[#This Row],[VBD]]*Scoring!$B$48+1,1)</f>
        <v>22.228363349037402</v>
      </c>
      <c r="AN18" s="45">
        <f>VLOOKUP(Table6[[#This Row],[VBD]],BR:BT,3,FALSE)</f>
        <v>3</v>
      </c>
      <c r="AO18" s="60">
        <f>VLOOKUP(INDEX(ECR!$E:$E,MATCH(AD18,ECR!$C:$C,0)),RISK!A:B,2,FALSE())</f>
        <v>2.7666000000000004</v>
      </c>
      <c r="AP18" s="61"/>
      <c r="AQ18" s="47" t="s">
        <v>194</v>
      </c>
      <c r="AR18" s="47" t="str">
        <f>VLOOKUP(AQ18,ECR!E:L,8,FALSE())</f>
        <v>Mark Andrews</v>
      </c>
      <c r="AS18" s="47" t="str">
        <f>IFERROR(VLOOKUP(Table7[[#This Row],[PLAYER]],ECR!C:F,2,FALSE()),"-")</f>
        <v>BAL</v>
      </c>
      <c r="AT18" s="47">
        <f>IFERROR(VLOOKUP(Table7[[#This Row],[PLAYER]],ECR!C:F,4,FALSE()),"-")</f>
        <v>13</v>
      </c>
      <c r="AU18" s="47" t="str">
        <f>Table7[[#This Row],[Team]] &amp; "/" &amp; Table7[[#This Row],[Bye]]</f>
        <v>BAL/13</v>
      </c>
      <c r="AV18" s="57">
        <f>IFERROR(VLOOKUP(Table7[[#This Row],[PLAYER]],TE!A:K,9,FALSE())/17*(16-Table7[[#This Row],[Missed Games]]),0)</f>
        <v>99.574400000000011</v>
      </c>
      <c r="AW18" s="57">
        <f>IFERROR(VLOOKUP(Table7[[#This Row],[PLAYER]],TE!A:K,10,FALSE())/17*(16-Table7[[#This Row],[Missed Games]]),0)</f>
        <v>110.8608451764706</v>
      </c>
      <c r="AX18" s="57">
        <f>IFERROR(VLOOKUP(Table7[[#This Row],[PLAYER]],TE!A:K,11,FALSE())/17*(16-Table7[[#This Row],[Missed Games]]),0)</f>
        <v>125.22541176470588</v>
      </c>
      <c r="AY18" s="58">
        <f>AVERAGE(AVERAGE(Table7[[#This Row],[LOW]],Table7[[#This Row],[HIGH]]),Table7[[#This Row],[AVG]],VLOOKUP(Table7[[#This Row],[PLAYER]],ECR!L:N,3,FALSE))</f>
        <v>107.91484619607844</v>
      </c>
      <c r="AZ18" s="58">
        <f>Table7[[#This Row],[Zscore Projection]]-$AS$1</f>
        <v>0</v>
      </c>
      <c r="BA18" s="59">
        <f>MAX(Table7[[#This Row],[VBD]]*Scoring!$B$48+1,1)</f>
        <v>1</v>
      </c>
      <c r="BB18" s="57">
        <f>VLOOKUP(Table7[[#This Row],[VBD]],BW:BY,3,FALSE)</f>
        <v>4</v>
      </c>
      <c r="BC18" s="60">
        <f>VLOOKUP(INDEX(ECR!$E:$E,MATCH(AR18,ECR!$C:$C,0)),RISK!A:B,2,FALSE())</f>
        <v>2.2655999999999992</v>
      </c>
      <c r="BD18" s="57"/>
      <c r="BE18" s="61"/>
      <c r="BF18" s="91">
        <v>16</v>
      </c>
      <c r="BG18" s="61">
        <f t="shared" si="12"/>
        <v>250.36612070588231</v>
      </c>
      <c r="BH18" s="61">
        <f>IFERROR(LARGE($J$3:$J$52,16),"")</f>
        <v>-10.511310980392125</v>
      </c>
      <c r="BI18" s="61">
        <f t="shared" si="4"/>
        <v>-9.7694966274509909</v>
      </c>
      <c r="BJ18" s="92">
        <f t="shared" si="5"/>
        <v>6</v>
      </c>
      <c r="BK18" s="91">
        <v>16</v>
      </c>
      <c r="BL18" s="61">
        <f t="shared" si="0"/>
        <v>184.8372825882353</v>
      </c>
      <c r="BM18" s="90">
        <f>IFERROR(LARGE($X$3:$X$102,16),"")</f>
        <v>73.0432419607843</v>
      </c>
      <c r="BN18" s="90">
        <f t="shared" si="6"/>
        <v>77.434511592000021</v>
      </c>
      <c r="BO18" s="92">
        <f t="shared" si="7"/>
        <v>4</v>
      </c>
      <c r="BP18" s="103">
        <v>16</v>
      </c>
      <c r="BQ18" s="61">
        <f t="shared" si="1"/>
        <v>160.79456623529413</v>
      </c>
      <c r="BR18" s="90">
        <f>IFERROR(LARGE($AL$3:$AL$102,16),"")</f>
        <v>44.510499971208731</v>
      </c>
      <c r="BS18" s="90">
        <f t="shared" si="8"/>
        <v>60.216670030032304</v>
      </c>
      <c r="BT18" s="92">
        <f t="shared" si="9"/>
        <v>3</v>
      </c>
      <c r="BU18" s="91">
        <v>16</v>
      </c>
      <c r="BV18" s="61">
        <f t="shared" si="2"/>
        <v>100.48378752941177</v>
      </c>
      <c r="BW18" s="90">
        <f>IFERROR(LARGE($AZ$3:$AZ$52,16),"")</f>
        <v>-4.4076867450980615</v>
      </c>
      <c r="BX18" s="90">
        <f t="shared" si="10"/>
        <v>-4.4076867450980615</v>
      </c>
      <c r="BY18" s="105">
        <f t="shared" si="11"/>
        <v>5</v>
      </c>
      <c r="BZ18" s="90"/>
      <c r="CA18" s="90"/>
      <c r="CB18" s="90"/>
      <c r="CC18" s="90"/>
      <c r="CD18" s="90"/>
      <c r="CE18" s="90"/>
      <c r="CF18" s="90"/>
      <c r="CG18" s="90"/>
    </row>
    <row r="19" spans="1:85" s="62" customFormat="1" ht="14.25" customHeight="1" x14ac:dyDescent="0.3">
      <c r="A19" s="56" t="s">
        <v>379</v>
      </c>
      <c r="B19" s="56" t="str">
        <f>VLOOKUP(A19,ECR!E:L,8,FALSE())</f>
        <v>Kyler Murray</v>
      </c>
      <c r="C19" s="46" t="str">
        <f>IFERROR(VLOOKUP(Table2[[#This Row],[PLAYER]],ECR!C:F,2,FALSE()),"-")</f>
        <v>MIN</v>
      </c>
      <c r="D19" s="46">
        <f>IFERROR(VLOOKUP(Table2[[#This Row],[PLAYER]],ECR!C:F,4,FALSE()),"-")</f>
        <v>6</v>
      </c>
      <c r="E19" s="46" t="str">
        <f>Table2[[#This Row],[Team]] &amp; "/" &amp; Table2[[#This Row],[Bye]]</f>
        <v>MIN/6</v>
      </c>
      <c r="F19" s="57">
        <f>IFERROR(VLOOKUP(Table2[[#This Row],[PLAYER]],QB!A:Q,15,FALSE())/17*(17-Table2[[#This Row],[Missed Games]]),0)</f>
        <v>229.55733835294114</v>
      </c>
      <c r="G19" s="57">
        <f>IFERROR(VLOOKUP(Table2[[#This Row],[PLAYER]],QB!A:Q,16,FALSE())/17*(17-Table2[[#This Row],[Missed Games]]),0)</f>
        <v>250.36612070588231</v>
      </c>
      <c r="H19" s="57">
        <f>IFERROR(VLOOKUP(Table2[[#This Row],[PLAYER]],QB!A:Q,17,FALSE())/17*(17-Table2[[#This Row],[Missed Games]]),0)</f>
        <v>272.89452367058823</v>
      </c>
      <c r="I19" s="58">
        <f>AVERAGE(AVERAGE(Table2[[#This Row],[LOW]],Table2[[#This Row],[HIGH]]),Table2[[#This Row],[AVG]],VLOOKUP(Table2[[#This Row],[PLAYER]],ECR!L:N,3,FALSE))</f>
        <v>250.55691370980389</v>
      </c>
      <c r="J19" s="58">
        <f>Table2[[#This Row],[Zscore Projection]]-$C$1</f>
        <v>-11.774370996078403</v>
      </c>
      <c r="K19" s="59">
        <f>MAX(Table2[[#This Row],[VBD]]*Scoring!$B$48+1,1)</f>
        <v>1</v>
      </c>
      <c r="L19" s="45">
        <f>VLOOKUP(Table2[[#This Row],[VBD]],BH:BJ,3,FALSE)</f>
        <v>6</v>
      </c>
      <c r="M19" s="60">
        <f>VLOOKUP(INDEX(ECR!$E:$E,MATCH(B19,ECR!$C:$C,0)),RISK!A:B,2,FALSE())</f>
        <v>2.4123999999999999</v>
      </c>
      <c r="N19" s="61"/>
      <c r="O19" s="45" t="s">
        <v>112</v>
      </c>
      <c r="P19" s="56" t="str">
        <f>VLOOKUP(O19,ECR!E:L,8,FALSE())</f>
        <v>Travis Etienne Jr.</v>
      </c>
      <c r="Q19" s="46" t="str">
        <f>IFERROR(VLOOKUP(Table4[[#This Row],[PLAYER]],ECR!C:F,2,FALSE()),"-")</f>
        <v>NO</v>
      </c>
      <c r="R19" s="46">
        <f>IFERROR(VLOOKUP(Table4[[#This Row],[PLAYER]],ECR!C:F,4,FALSE()),"-")</f>
        <v>8</v>
      </c>
      <c r="S19" s="46" t="str">
        <f>Table4[[#This Row],[Team]] &amp; "/" &amp; Table4[[#This Row],[Bye]]</f>
        <v>NO/8</v>
      </c>
      <c r="T19" s="57">
        <f>IFERROR(VLOOKUP(Table4[[#This Row],[PLAYER]],RB!A:Q,13,FALSE())/17*(17-Table4[[#This Row],[Missed Games]]),0)</f>
        <v>162.99069411764705</v>
      </c>
      <c r="U19" s="57">
        <f>IFERROR(VLOOKUP(Table4[[#This Row],[PLAYER]],RB!A:Q,14,FALSE())/17*(17-Table4[[#This Row],[Missed Games]]),0)</f>
        <v>180.28422588235296</v>
      </c>
      <c r="V19" s="57">
        <f>IFERROR(VLOOKUP(Table4[[#This Row],[PLAYER]],RB!A:Q,15,FALSE())/17*(17-Table4[[#This Row],[Missed Games]]),0)</f>
        <v>203.66251882352941</v>
      </c>
      <c r="W19" s="58">
        <f>AVERAGE(AVERAGE(Table4[[#This Row],[LOW]],Table4[[#This Row],[HIGH]]),Table4[[#This Row],[AVG]],VLOOKUP(Table4[[#This Row],[PLAYER]],ECR!L:N,3,FALSE))</f>
        <v>181.29835274509807</v>
      </c>
      <c r="X19" s="58">
        <f>Table4[[#This Row],[Zscore Projection]]-$Q$1</f>
        <v>67.143874803921605</v>
      </c>
      <c r="Y19" s="59">
        <f>MAX(Table4[[#This Row],[VBD]]*Scoring!$B$48+1,1)</f>
        <v>33.826785791856473</v>
      </c>
      <c r="Z19" s="45">
        <f>VLOOKUP(Table4[[#This Row],[VBD]],BM:BO,3,FALSE)</f>
        <v>4</v>
      </c>
      <c r="AA19" s="60">
        <f>VLOOKUP(INDEX(ECR!$E:$E,MATCH(P19,ECR!$C:$C,0)),RISK!A:B,2,FALSE())</f>
        <v>2.673</v>
      </c>
      <c r="AB19" s="61"/>
      <c r="AC19" s="46" t="s">
        <v>142</v>
      </c>
      <c r="AD19" s="46" t="str">
        <f>VLOOKUP(AC19,ECR!E:L,8,FALSE())</f>
        <v>Jaylen Waddle</v>
      </c>
      <c r="AE19" s="46" t="str">
        <f>IFERROR(VLOOKUP(Table6[[#This Row],[PLAYER]],ECR!C:F,2,FALSE()),"-")</f>
        <v>DEN</v>
      </c>
      <c r="AF19" s="46">
        <f>IFERROR(VLOOKUP(Table6[[#This Row],[PLAYER]],ECR!C:F,4,FALSE()),"-")</f>
        <v>10</v>
      </c>
      <c r="AG19" s="46" t="str">
        <f>Table6[[#This Row],[Team]] &amp; "/" &amp; Table6[[#This Row],[Bye]]</f>
        <v>DEN/10</v>
      </c>
      <c r="AH19" s="57">
        <f>IFERROR(VLOOKUP(Table6[[#This Row],[PLAYER]],WR!A:Q,13,FALSE())/17*(17-Table6[[#This Row],[Missed Games]]),0)</f>
        <v>141.17528647058819</v>
      </c>
      <c r="AI19" s="57">
        <f>IFERROR(VLOOKUP(Table6[[#This Row],[PLAYER]],WR!A:Q,14,FALSE())/17*(17-Table6[[#This Row],[Missed Games]]),0)</f>
        <v>144.33567829411763</v>
      </c>
      <c r="AJ19" s="57">
        <f>IFERROR(VLOOKUP(Table6[[#This Row],[PLAYER]],WR!A:Q,15,FALSE())/17*(17-Table6[[#This Row],[Missed Games]]),0)</f>
        <v>147.55444147058822</v>
      </c>
      <c r="AK19" s="58">
        <f>AVERAGE(AVERAGE(Table6[[#This Row],[LOW]],Table6[[#This Row],[HIGH]]),Table6[[#This Row],[AVG]],VLOOKUP(Table6[[#This Row],[PLAYER]],ECR!L:N,3,FALSE))</f>
        <v>149.20194585294118</v>
      </c>
      <c r="AL19" s="58">
        <f>Table6[[#This Row],[Zscore Projection]]-$AE$1</f>
        <v>34.498047863365599</v>
      </c>
      <c r="AM19" s="59">
        <f>MAX(Table6[[#This Row],[VBD]]*Scoring!$B$48+1,1)</f>
        <v>17.866170306003429</v>
      </c>
      <c r="AN19" s="45">
        <f>VLOOKUP(Table6[[#This Row],[VBD]],BR:BT,3,FALSE)</f>
        <v>4</v>
      </c>
      <c r="AO19" s="60">
        <f>VLOOKUP(INDEX(ECR!$E:$E,MATCH(AD19,ECR!$C:$C,0)),RISK!A:B,2,FALSE())</f>
        <v>2.8241000000000014</v>
      </c>
      <c r="AP19" s="61"/>
      <c r="AQ19" s="47" t="s">
        <v>195</v>
      </c>
      <c r="AR19" s="47" t="str">
        <f>VLOOKUP(AQ19,ECR!E:L,8,FALSE())</f>
        <v>Hunter Henry</v>
      </c>
      <c r="AS19" s="47" t="str">
        <f>IFERROR(VLOOKUP(Table7[[#This Row],[PLAYER]],ECR!C:F,2,FALSE()),"-")</f>
        <v>NE</v>
      </c>
      <c r="AT19" s="47">
        <f>IFERROR(VLOOKUP(Table7[[#This Row],[PLAYER]],ECR!C:F,4,FALSE()),"-")</f>
        <v>11</v>
      </c>
      <c r="AU19" s="47" t="str">
        <f>Table7[[#This Row],[Team]] &amp; "/" &amp; Table7[[#This Row],[Bye]]</f>
        <v>NE/11</v>
      </c>
      <c r="AV19" s="57">
        <f>IFERROR(VLOOKUP(Table7[[#This Row],[PLAYER]],TE!A:K,9,FALSE())/17*(16-Table7[[#This Row],[Missed Games]]),0)</f>
        <v>95.817208823529413</v>
      </c>
      <c r="AW19" s="57">
        <f>IFERROR(VLOOKUP(Table7[[#This Row],[PLAYER]],TE!A:K,10,FALSE())/17*(16-Table7[[#This Row],[Missed Games]]),0)</f>
        <v>100.48378752941177</v>
      </c>
      <c r="AX19" s="57">
        <f>IFERROR(VLOOKUP(Table7[[#This Row],[PLAYER]],TE!A:K,11,FALSE())/17*(16-Table7[[#This Row],[Missed Games]]),0)</f>
        <v>108.00483705882353</v>
      </c>
      <c r="AY19" s="58">
        <f>AVERAGE(AVERAGE(Table7[[#This Row],[LOW]],Table7[[#This Row],[HIGH]]),Table7[[#This Row],[AVG]],VLOOKUP(Table7[[#This Row],[PLAYER]],ECR!L:N,3,FALSE))</f>
        <v>100.92535770588235</v>
      </c>
      <c r="AZ19" s="58">
        <f>Table7[[#This Row],[Zscore Projection]]-$AS$1</f>
        <v>-6.989488490196095</v>
      </c>
      <c r="BA19" s="59">
        <f>MAX(Table7[[#This Row],[VBD]]*Scoring!$B$48+1,1)</f>
        <v>1</v>
      </c>
      <c r="BB19" s="57">
        <f>VLOOKUP(Table7[[#This Row],[VBD]],BW:BY,3,FALSE)</f>
        <v>5</v>
      </c>
      <c r="BC19" s="60">
        <f>VLOOKUP(INDEX(ECR!$E:$E,MATCH(AR19,ECR!$C:$C,0)),RISK!A:B,2,FALSE())</f>
        <v>2.3690999999999995</v>
      </c>
      <c r="BD19" s="57"/>
      <c r="BE19" s="61"/>
      <c r="BF19" s="91">
        <v>17</v>
      </c>
      <c r="BG19" s="61">
        <f t="shared" si="12"/>
        <v>250.07868941176471</v>
      </c>
      <c r="BH19" s="61">
        <f>IFERROR(LARGE($J$3:$J$52,17),"")</f>
        <v>-11.774370996078403</v>
      </c>
      <c r="BI19" s="61">
        <f t="shared" si="4"/>
        <v>-9.7694966274509909</v>
      </c>
      <c r="BJ19" s="92">
        <f t="shared" si="5"/>
        <v>6</v>
      </c>
      <c r="BK19" s="91">
        <v>17</v>
      </c>
      <c r="BL19" s="61">
        <f t="shared" si="0"/>
        <v>180.28422588235296</v>
      </c>
      <c r="BM19" s="90">
        <f>IFERROR(LARGE($X$3:$X$102,17),"")</f>
        <v>67.143874803921605</v>
      </c>
      <c r="BN19" s="90">
        <f t="shared" si="6"/>
        <v>77.434511592000021</v>
      </c>
      <c r="BO19" s="92">
        <f t="shared" si="7"/>
        <v>4</v>
      </c>
      <c r="BP19" s="103">
        <v>17</v>
      </c>
      <c r="BQ19" s="61">
        <f t="shared" si="1"/>
        <v>158.90529529411762</v>
      </c>
      <c r="BR19" s="90">
        <f>IFERROR(LARGE($AL$3:$AL$102,17),"")</f>
        <v>43.420473147679331</v>
      </c>
      <c r="BS19" s="90">
        <f t="shared" si="8"/>
        <v>60.216670030032304</v>
      </c>
      <c r="BT19" s="92">
        <f t="shared" si="9"/>
        <v>3</v>
      </c>
      <c r="BU19" s="91">
        <v>17</v>
      </c>
      <c r="BV19" s="61">
        <f t="shared" si="2"/>
        <v>100.38126264705882</v>
      </c>
      <c r="BW19" s="90">
        <f>IFERROR(LARGE($AZ$3:$AZ$52,17),"")</f>
        <v>-6.989488490196095</v>
      </c>
      <c r="BX19" s="90">
        <f t="shared" si="10"/>
        <v>-4.4076867450980615</v>
      </c>
      <c r="BY19" s="105">
        <f t="shared" si="11"/>
        <v>5</v>
      </c>
      <c r="BZ19" s="90"/>
      <c r="CA19" s="90"/>
      <c r="CB19" s="90"/>
      <c r="CC19" s="90"/>
      <c r="CD19" s="90"/>
      <c r="CE19" s="90"/>
      <c r="CF19" s="90"/>
      <c r="CG19" s="90"/>
    </row>
    <row r="20" spans="1:85" s="62" customFormat="1" ht="14.25" customHeight="1" x14ac:dyDescent="0.3">
      <c r="A20" s="56" t="s">
        <v>380</v>
      </c>
      <c r="B20" s="56" t="str">
        <f>VLOOKUP(A20,ECR!E:L,8,FALSE())</f>
        <v>Jordan Love</v>
      </c>
      <c r="C20" s="46" t="str">
        <f>IFERROR(VLOOKUP(Table2[[#This Row],[PLAYER]],ECR!C:F,2,FALSE()),"-")</f>
        <v>GB</v>
      </c>
      <c r="D20" s="46">
        <f>IFERROR(VLOOKUP(Table2[[#This Row],[PLAYER]],ECR!C:F,4,FALSE()),"-")</f>
        <v>11</v>
      </c>
      <c r="E20" s="46" t="str">
        <f>Table2[[#This Row],[Team]] &amp; "/" &amp; Table2[[#This Row],[Bye]]</f>
        <v>GB/11</v>
      </c>
      <c r="F20" s="57">
        <f>IFERROR(VLOOKUP(Table2[[#This Row],[PLAYER]],QB!A:Q,15,FALSE())/17*(17-Table2[[#This Row],[Missed Games]]),0)</f>
        <v>219.71632658823529</v>
      </c>
      <c r="G20" s="57">
        <f>IFERROR(VLOOKUP(Table2[[#This Row],[PLAYER]],QB!A:Q,16,FALSE())/17*(17-Table2[[#This Row],[Missed Games]]),0)</f>
        <v>234.68095567058822</v>
      </c>
      <c r="H20" s="57">
        <f>IFERROR(VLOOKUP(Table2[[#This Row],[PLAYER]],QB!A:Q,17,FALSE())/17*(17-Table2[[#This Row],[Missed Games]]),0)</f>
        <v>248.34060912941177</v>
      </c>
      <c r="I20" s="58">
        <f>AVERAGE(AVERAGE(Table2[[#This Row],[LOW]],Table2[[#This Row],[HIGH]]),Table2[[#This Row],[AVG]],VLOOKUP(Table2[[#This Row],[PLAYER]],ECR!L:N,3,FALSE))</f>
        <v>235.88159090196078</v>
      </c>
      <c r="J20" s="58">
        <f>Table2[[#This Row],[Zscore Projection]]-$C$1</f>
        <v>-26.449693803921519</v>
      </c>
      <c r="K20" s="59">
        <f>MAX(Table2[[#This Row],[VBD]]*Scoring!$B$48+1,1)</f>
        <v>1</v>
      </c>
      <c r="L20" s="45">
        <f>VLOOKUP(Table2[[#This Row],[VBD]],BH:BJ,3,FALSE)</f>
        <v>7</v>
      </c>
      <c r="M20" s="60">
        <f>VLOOKUP(INDEX(ECR!$E:$E,MATCH(B20,ECR!$C:$C,0)),RISK!A:B,2,FALSE())</f>
        <v>2.5191999999999997</v>
      </c>
      <c r="N20" s="61"/>
      <c r="O20" s="45" t="s">
        <v>125</v>
      </c>
      <c r="P20" s="56" t="str">
        <f>VLOOKUP(O20,ECR!E:L,8,FALSE())</f>
        <v>D'Andre Swift</v>
      </c>
      <c r="Q20" s="46" t="str">
        <f>IFERROR(VLOOKUP(Table4[[#This Row],[PLAYER]],ECR!C:F,2,FALSE()),"-")</f>
        <v>CHI</v>
      </c>
      <c r="R20" s="46">
        <f>IFERROR(VLOOKUP(Table4[[#This Row],[PLAYER]],ECR!C:F,4,FALSE()),"-")</f>
        <v>10</v>
      </c>
      <c r="S20" s="46" t="str">
        <f>Table4[[#This Row],[Team]] &amp; "/" &amp; Table4[[#This Row],[Bye]]</f>
        <v>CHI/10</v>
      </c>
      <c r="T20" s="57">
        <f>IFERROR(VLOOKUP(Table4[[#This Row],[PLAYER]],RB!A:Q,13,FALSE())/17*(17-Table4[[#This Row],[Missed Games]]),0)</f>
        <v>156.91300376470588</v>
      </c>
      <c r="U20" s="57">
        <f>IFERROR(VLOOKUP(Table4[[#This Row],[PLAYER]],RB!A:Q,14,FALSE())/17*(17-Table4[[#This Row],[Missed Games]]),0)</f>
        <v>172.54370047058822</v>
      </c>
      <c r="V20" s="57">
        <f>IFERROR(VLOOKUP(Table4[[#This Row],[PLAYER]],RB!A:Q,15,FALSE())/17*(17-Table4[[#This Row],[Missed Games]]),0)</f>
        <v>187.45052000000001</v>
      </c>
      <c r="W20" s="58">
        <f>AVERAGE(AVERAGE(Table4[[#This Row],[LOW]],Table4[[#This Row],[HIGH]]),Table4[[#This Row],[AVG]],VLOOKUP(Table4[[#This Row],[PLAYER]],ECR!L:N,3,FALSE))</f>
        <v>174.37801294117648</v>
      </c>
      <c r="X20" s="58">
        <f>Table4[[#This Row],[Zscore Projection]]-$Q$1</f>
        <v>60.223535000000012</v>
      </c>
      <c r="Y20" s="59">
        <f>MAX(Table4[[#This Row],[VBD]]*Scoring!$B$48+1,1)</f>
        <v>30.443416675707041</v>
      </c>
      <c r="Z20" s="45">
        <f>VLOOKUP(Table4[[#This Row],[VBD]],BM:BO,3,FALSE)</f>
        <v>4</v>
      </c>
      <c r="AA20" s="60">
        <f>VLOOKUP(INDEX(ECR!$E:$E,MATCH(P20,ECR!$C:$C,0)),RISK!A:B,2,FALSE())</f>
        <v>2.6907999999999994</v>
      </c>
      <c r="AB20" s="61"/>
      <c r="AC20" s="46" t="s">
        <v>143</v>
      </c>
      <c r="AD20" s="46" t="str">
        <f>VLOOKUP(AC20,ECR!E:L,8,FALSE())</f>
        <v>Ladd McConkey</v>
      </c>
      <c r="AE20" s="46" t="str">
        <f>IFERROR(VLOOKUP(Table6[[#This Row],[PLAYER]],ECR!C:F,2,FALSE()),"-")</f>
        <v>LAC</v>
      </c>
      <c r="AF20" s="46">
        <f>IFERROR(VLOOKUP(Table6[[#This Row],[PLAYER]],ECR!C:F,4,FALSE()),"-")</f>
        <v>7</v>
      </c>
      <c r="AG20" s="46" t="str">
        <f>Table6[[#This Row],[Team]] &amp; "/" &amp; Table6[[#This Row],[Bye]]</f>
        <v>LAC/7</v>
      </c>
      <c r="AH20" s="57">
        <f>IFERROR(VLOOKUP(Table6[[#This Row],[PLAYER]],WR!A:Q,13,FALSE())/17*(17-Table6[[#This Row],[Missed Games]]),0)</f>
        <v>139.86115294117647</v>
      </c>
      <c r="AI20" s="57">
        <f>IFERROR(VLOOKUP(Table6[[#This Row],[PLAYER]],WR!A:Q,14,FALSE())/17*(17-Table6[[#This Row],[Missed Games]]),0)</f>
        <v>148.09169941176469</v>
      </c>
      <c r="AJ20" s="57">
        <f>IFERROR(VLOOKUP(Table6[[#This Row],[PLAYER]],WR!A:Q,15,FALSE())/17*(17-Table6[[#This Row],[Missed Games]]),0)</f>
        <v>155.24255764705885</v>
      </c>
      <c r="AK20" s="58">
        <f>AVERAGE(AVERAGE(Table6[[#This Row],[LOW]],Table6[[#This Row],[HIGH]]),Table6[[#This Row],[AVG]],VLOOKUP(Table6[[#This Row],[PLAYER]],ECR!L:N,3,FALSE))</f>
        <v>150.91398290196079</v>
      </c>
      <c r="AL20" s="58">
        <f>Table6[[#This Row],[Zscore Projection]]-$AE$1</f>
        <v>36.210084912385213</v>
      </c>
      <c r="AM20" s="59">
        <f>MAX(Table6[[#This Row],[VBD]]*Scoring!$B$48+1,1)</f>
        <v>18.703188926689382</v>
      </c>
      <c r="AN20" s="45">
        <f>VLOOKUP(Table6[[#This Row],[VBD]],BR:BT,3,FALSE)</f>
        <v>4</v>
      </c>
      <c r="AO20" s="60">
        <f>VLOOKUP(INDEX(ECR!$E:$E,MATCH(AD20,ECR!$C:$C,0)),RISK!A:B,2,FALSE())</f>
        <v>2.8810000000000002</v>
      </c>
      <c r="AP20" s="61"/>
      <c r="AQ20" s="47" t="s">
        <v>214</v>
      </c>
      <c r="AR20" s="47" t="str">
        <f>VLOOKUP(AQ20,ECR!E:L,8,FALSE())</f>
        <v>Brenton Strange</v>
      </c>
      <c r="AS20" s="47" t="str">
        <f>IFERROR(VLOOKUP(Table7[[#This Row],[PLAYER]],ECR!C:F,2,FALSE()),"-")</f>
        <v>JAC</v>
      </c>
      <c r="AT20" s="47">
        <f>IFERROR(VLOOKUP(Table7[[#This Row],[PLAYER]],ECR!C:F,4,FALSE()),"-")</f>
        <v>7</v>
      </c>
      <c r="AU20" s="47" t="str">
        <f>Table7[[#This Row],[Team]] &amp; "/" &amp; Table7[[#This Row],[Bye]]</f>
        <v>JAC/7</v>
      </c>
      <c r="AV20" s="57">
        <f>IFERROR(VLOOKUP(Table7[[#This Row],[PLAYER]],TE!A:K,9,FALSE())/17*(16-Table7[[#This Row],[Missed Games]]),0)</f>
        <v>84.111000000000004</v>
      </c>
      <c r="AW20" s="57">
        <f>IFERROR(VLOOKUP(Table7[[#This Row],[PLAYER]],TE!A:K,10,FALSE())/17*(16-Table7[[#This Row],[Missed Games]]),0)</f>
        <v>96.616349999999997</v>
      </c>
      <c r="AX20" s="57">
        <f>IFERROR(VLOOKUP(Table7[[#This Row],[PLAYER]],TE!A:K,11,FALSE())/17*(16-Table7[[#This Row],[Missed Games]]),0)</f>
        <v>116.38800000000001</v>
      </c>
      <c r="AY20" s="58">
        <f>AVERAGE(AVERAGE(Table7[[#This Row],[LOW]],Table7[[#This Row],[HIGH]]),Table7[[#This Row],[AVG]],VLOOKUP(Table7[[#This Row],[PLAYER]],ECR!L:N,3,FALSE))</f>
        <v>97.827400000000011</v>
      </c>
      <c r="AZ20" s="58">
        <f>Table7[[#This Row],[Zscore Projection]]-$AS$1</f>
        <v>-10.087446196078432</v>
      </c>
      <c r="BA20" s="59">
        <f>MAX(Table7[[#This Row],[VBD]]*Scoring!$B$48+1,1)</f>
        <v>1</v>
      </c>
      <c r="BB20" s="57">
        <f>VLOOKUP(Table7[[#This Row],[VBD]],BW:BY,3,FALSE)</f>
        <v>5</v>
      </c>
      <c r="BC20" s="60">
        <f>VLOOKUP(INDEX(ECR!$E:$E,MATCH(AR20,ECR!$C:$C,0)),RISK!A:B,2,FALSE())</f>
        <v>2.4849999999999994</v>
      </c>
      <c r="BD20" s="57"/>
      <c r="BE20" s="61"/>
      <c r="BF20" s="91">
        <v>18</v>
      </c>
      <c r="BG20" s="61">
        <f t="shared" si="12"/>
        <v>238.93534917647057</v>
      </c>
      <c r="BH20" s="61">
        <f>IFERROR(LARGE($J$3:$J$52,18),"")</f>
        <v>-23.339005615686204</v>
      </c>
      <c r="BI20" s="61">
        <f t="shared" si="4"/>
        <v>-23.339005615686204</v>
      </c>
      <c r="BJ20" s="92">
        <f t="shared" si="5"/>
        <v>7</v>
      </c>
      <c r="BK20" s="91">
        <v>18</v>
      </c>
      <c r="BL20" s="61">
        <f t="shared" si="0"/>
        <v>178.40857647058823</v>
      </c>
      <c r="BM20" s="90">
        <f>IFERROR(LARGE($X$3:$X$102,18),"")</f>
        <v>60.855181156862713</v>
      </c>
      <c r="BN20" s="90">
        <f t="shared" si="6"/>
        <v>77.434511592000021</v>
      </c>
      <c r="BO20" s="92">
        <f t="shared" si="7"/>
        <v>4</v>
      </c>
      <c r="BP20" s="103">
        <v>18</v>
      </c>
      <c r="BQ20" s="61">
        <f t="shared" si="1"/>
        <v>157.09839400000001</v>
      </c>
      <c r="BR20" s="90">
        <f>IFERROR(LARGE($AL$3:$AL$102,18),"")</f>
        <v>42.348411422189116</v>
      </c>
      <c r="BS20" s="90">
        <f t="shared" si="8"/>
        <v>60.216670030032304</v>
      </c>
      <c r="BT20" s="92">
        <f t="shared" si="9"/>
        <v>3</v>
      </c>
      <c r="BU20" s="91">
        <v>18</v>
      </c>
      <c r="BV20" s="61">
        <f t="shared" si="2"/>
        <v>96.616349999999997</v>
      </c>
      <c r="BW20" s="90">
        <f>IFERROR(LARGE($AZ$3:$AZ$52,18),"")</f>
        <v>-10.087446196078432</v>
      </c>
      <c r="BX20" s="90">
        <f t="shared" si="10"/>
        <v>-4.4076867450980615</v>
      </c>
      <c r="BY20" s="105">
        <f t="shared" si="11"/>
        <v>5</v>
      </c>
      <c r="BZ20" s="90"/>
      <c r="CA20" s="90"/>
      <c r="CB20" s="90"/>
      <c r="CC20" s="90"/>
      <c r="CD20" s="90"/>
      <c r="CE20" s="90"/>
      <c r="CF20" s="90"/>
      <c r="CG20" s="90"/>
    </row>
    <row r="21" spans="1:85" s="62" customFormat="1" ht="14.25" customHeight="1" x14ac:dyDescent="0.3">
      <c r="A21" s="56" t="s">
        <v>381</v>
      </c>
      <c r="B21" s="56" t="str">
        <f>VLOOKUP(A21,ECR!E:L,8,FALSE())</f>
        <v>Baker Mayfield</v>
      </c>
      <c r="C21" s="46" t="str">
        <f>IFERROR(VLOOKUP(Table2[[#This Row],[PLAYER]],ECR!C:F,2,FALSE()),"-")</f>
        <v>TB</v>
      </c>
      <c r="D21" s="46">
        <f>IFERROR(VLOOKUP(Table2[[#This Row],[PLAYER]],ECR!C:F,4,FALSE()),"-")</f>
        <v>10</v>
      </c>
      <c r="E21" s="46" t="str">
        <f>Table2[[#This Row],[Team]] &amp; "/" &amp; Table2[[#This Row],[Bye]]</f>
        <v>TB/10</v>
      </c>
      <c r="F21" s="57">
        <f>IFERROR(VLOOKUP(Table2[[#This Row],[PLAYER]],QB!A:Q,15,FALSE())/17*(17-Table2[[#This Row],[Missed Games]]),0)</f>
        <v>220.11794541176471</v>
      </c>
      <c r="G21" s="57">
        <f>IFERROR(VLOOKUP(Table2[[#This Row],[PLAYER]],QB!A:Q,16,FALSE())/17*(17-Table2[[#This Row],[Missed Games]]),0)</f>
        <v>238.40027345882356</v>
      </c>
      <c r="H21" s="57">
        <f>IFERROR(VLOOKUP(Table2[[#This Row],[PLAYER]],QB!A:Q,17,FALSE())/17*(17-Table2[[#This Row],[Missed Games]]),0)</f>
        <v>260.23463529411765</v>
      </c>
      <c r="I21" s="58">
        <f>AVERAGE(AVERAGE(Table2[[#This Row],[LOW]],Table2[[#This Row],[HIGH]]),Table2[[#This Row],[AVG]],VLOOKUP(Table2[[#This Row],[PLAYER]],ECR!L:N,3,FALSE))</f>
        <v>238.99227909019609</v>
      </c>
      <c r="J21" s="58">
        <f>Table2[[#This Row],[Zscore Projection]]-$C$1</f>
        <v>-23.339005615686204</v>
      </c>
      <c r="K21" s="59">
        <f>MAX(Table2[[#This Row],[VBD]]*Scoring!$B$48+1,1)</f>
        <v>1</v>
      </c>
      <c r="L21" s="45">
        <f>VLOOKUP(Table2[[#This Row],[VBD]],BH:BJ,3,FALSE)</f>
        <v>7</v>
      </c>
      <c r="M21" s="60">
        <f>VLOOKUP(INDEX(ECR!$E:$E,MATCH(B21,ECR!$C:$C,0)),RISK!A:B,2,FALSE())</f>
        <v>2.6364000000000001</v>
      </c>
      <c r="N21" s="61"/>
      <c r="O21" s="45" t="s">
        <v>132</v>
      </c>
      <c r="P21" s="56" t="str">
        <f>VLOOKUP(O21,ECR!E:L,8,FALSE())</f>
        <v>Bucky Irving</v>
      </c>
      <c r="Q21" s="46" t="str">
        <f>IFERROR(VLOOKUP(Table4[[#This Row],[PLAYER]],ECR!C:F,2,FALSE()),"-")</f>
        <v>TB</v>
      </c>
      <c r="R21" s="46">
        <f>IFERROR(VLOOKUP(Table4[[#This Row],[PLAYER]],ECR!C:F,4,FALSE()),"-")</f>
        <v>10</v>
      </c>
      <c r="S21" s="46" t="str">
        <f>Table4[[#This Row],[Team]] &amp; "/" &amp; Table4[[#This Row],[Bye]]</f>
        <v>TB/10</v>
      </c>
      <c r="T21" s="57">
        <f>IFERROR(VLOOKUP(Table4[[#This Row],[PLAYER]],RB!A:Q,13,FALSE())/17*(17-Table4[[#This Row],[Missed Games]]),0)</f>
        <v>157.13335800000002</v>
      </c>
      <c r="U21" s="57">
        <f>IFERROR(VLOOKUP(Table4[[#This Row],[PLAYER]],RB!A:Q,14,FALSE())/17*(17-Table4[[#This Row],[Missed Games]]),0)</f>
        <v>167.75854199999998</v>
      </c>
      <c r="V21" s="57">
        <f>IFERROR(VLOOKUP(Table4[[#This Row],[PLAYER]],RB!A:Q,15,FALSE())/17*(17-Table4[[#This Row],[Missed Games]]),0)</f>
        <v>182.24208000000002</v>
      </c>
      <c r="W21" s="58">
        <f>AVERAGE(AVERAGE(Table4[[#This Row],[LOW]],Table4[[#This Row],[HIGH]]),Table4[[#This Row],[AVG]],VLOOKUP(Table4[[#This Row],[PLAYER]],ECR!L:N,3,FALSE))</f>
        <v>169.99665382352941</v>
      </c>
      <c r="X21" s="58">
        <f>Table4[[#This Row],[Zscore Projection]]-$Q$1</f>
        <v>55.842175882352947</v>
      </c>
      <c r="Y21" s="59">
        <f>MAX(Table4[[#This Row],[VBD]]*Scoring!$B$48+1,1)</f>
        <v>28.301360715245892</v>
      </c>
      <c r="Z21" s="45">
        <f>VLOOKUP(Table4[[#This Row],[VBD]],BM:BO,3,FALSE)</f>
        <v>4</v>
      </c>
      <c r="AA21" s="60">
        <f>VLOOKUP(INDEX(ECR!$E:$E,MATCH(P21,ECR!$C:$C,0)),RISK!A:B,2,FALSE())</f>
        <v>2.7097999999999995</v>
      </c>
      <c r="AB21" s="61"/>
      <c r="AC21" s="46" t="s">
        <v>153</v>
      </c>
      <c r="AD21" s="46" t="str">
        <f>VLOOKUP(AC21,ECR!E:L,8,FALSE())</f>
        <v>Garrett Wilson</v>
      </c>
      <c r="AE21" s="46" t="str">
        <f>IFERROR(VLOOKUP(Table6[[#This Row],[PLAYER]],ECR!C:F,2,FALSE()),"-")</f>
        <v>NYJ</v>
      </c>
      <c r="AF21" s="46">
        <f>IFERROR(VLOOKUP(Table6[[#This Row],[PLAYER]],ECR!C:F,4,FALSE()),"-")</f>
        <v>13</v>
      </c>
      <c r="AG21" s="46" t="str">
        <f>Table6[[#This Row],[Team]] &amp; "/" &amp; Table6[[#This Row],[Bye]]</f>
        <v>NYJ/13</v>
      </c>
      <c r="AH21" s="57">
        <f>IFERROR(VLOOKUP(Table6[[#This Row],[PLAYER]],WR!A:Q,13,FALSE())/17*(17-Table6[[#This Row],[Missed Games]]),0)</f>
        <v>138.88984294117648</v>
      </c>
      <c r="AI21" s="57">
        <f>IFERROR(VLOOKUP(Table6[[#This Row],[PLAYER]],WR!A:Q,14,FALSE())/17*(17-Table6[[#This Row],[Missed Games]]),0)</f>
        <v>160.79456623529413</v>
      </c>
      <c r="AJ21" s="57">
        <f>IFERROR(VLOOKUP(Table6[[#This Row],[PLAYER]],WR!A:Q,15,FALSE())/17*(17-Table6[[#This Row],[Missed Games]]),0)</f>
        <v>183.12944270588233</v>
      </c>
      <c r="AK21" s="58">
        <f>AVERAGE(AVERAGE(Table6[[#This Row],[LOW]],Table6[[#This Row],[HIGH]]),Table6[[#This Row],[AVG]],VLOOKUP(Table6[[#This Row],[PLAYER]],ECR!L:N,3,FALSE))</f>
        <v>159.21439796078431</v>
      </c>
      <c r="AL21" s="58">
        <f>Table6[[#This Row],[Zscore Projection]]-$AE$1</f>
        <v>44.510499971208731</v>
      </c>
      <c r="AM21" s="59">
        <f>MAX(Table6[[#This Row],[VBD]]*Scoring!$B$48+1,1)</f>
        <v>22.761279823516581</v>
      </c>
      <c r="AN21" s="45">
        <f>VLOOKUP(Table6[[#This Row],[VBD]],BR:BT,3,FALSE)</f>
        <v>3</v>
      </c>
      <c r="AO21" s="60">
        <f>VLOOKUP(INDEX(ECR!$E:$E,MATCH(AD21,ECR!$C:$C,0)),RISK!A:B,2,FALSE())</f>
        <v>2.9373000000000005</v>
      </c>
      <c r="AP21" s="61"/>
      <c r="AQ21" s="47" t="s">
        <v>196</v>
      </c>
      <c r="AR21" s="47" t="str">
        <f>VLOOKUP(AQ21,ECR!E:L,8,FALSE())</f>
        <v>Chig Okonkwo</v>
      </c>
      <c r="AS21" s="47" t="str">
        <f>IFERROR(VLOOKUP(Table7[[#This Row],[PLAYER]],ECR!C:F,2,FALSE()),"-")</f>
        <v>WAS</v>
      </c>
      <c r="AT21" s="47">
        <f>IFERROR(VLOOKUP(Table7[[#This Row],[PLAYER]],ECR!C:F,4,FALSE()),"-")</f>
        <v>7</v>
      </c>
      <c r="AU21" s="47" t="str">
        <f>Table7[[#This Row],[Team]] &amp; "/" &amp; Table7[[#This Row],[Bye]]</f>
        <v>WAS/7</v>
      </c>
      <c r="AV21" s="57">
        <f>IFERROR(VLOOKUP(Table7[[#This Row],[PLAYER]],TE!A:K,9,FALSE())/17*(16-Table7[[#This Row],[Missed Games]]),0)</f>
        <v>71.382609117647078</v>
      </c>
      <c r="AW21" s="57">
        <f>IFERROR(VLOOKUP(Table7[[#This Row],[PLAYER]],TE!A:K,10,FALSE())/17*(16-Table7[[#This Row],[Missed Games]]),0)</f>
        <v>78.603552588235289</v>
      </c>
      <c r="AX21" s="57">
        <f>IFERROR(VLOOKUP(Table7[[#This Row],[PLAYER]],TE!A:K,11,FALSE())/17*(16-Table7[[#This Row],[Missed Games]]),0)</f>
        <v>84.887427058823533</v>
      </c>
      <c r="AY21" s="58">
        <f>AVERAGE(AVERAGE(Table7[[#This Row],[LOW]],Table7[[#This Row],[HIGH]]),Table7[[#This Row],[AVG]],VLOOKUP(Table7[[#This Row],[PLAYER]],ECR!L:N,3,FALSE))</f>
        <v>82.327596500000013</v>
      </c>
      <c r="AZ21" s="58">
        <f>Table7[[#This Row],[Zscore Projection]]-$AS$1</f>
        <v>-25.58724969607843</v>
      </c>
      <c r="BA21" s="59">
        <f>MAX(Table7[[#This Row],[VBD]]*Scoring!$B$48+1,1)</f>
        <v>1</v>
      </c>
      <c r="BB21" s="57">
        <f>VLOOKUP(Table7[[#This Row],[VBD]],BW:BY,3,FALSE)</f>
        <v>6</v>
      </c>
      <c r="BC21" s="60">
        <f>VLOOKUP(INDEX(ECR!$E:$E,MATCH(AR21,ECR!$C:$C,0)),RISK!A:B,2,FALSE())</f>
        <v>2.6132999999999988</v>
      </c>
      <c r="BD21" s="57"/>
      <c r="BE21" s="61"/>
      <c r="BF21" s="91">
        <v>19</v>
      </c>
      <c r="BG21" s="61">
        <f t="shared" si="12"/>
        <v>238.40027345882356</v>
      </c>
      <c r="BH21" s="61">
        <f>IFERROR(LARGE($J$3:$J$52,19),"")</f>
        <v>-24.760193207843088</v>
      </c>
      <c r="BI21" s="61">
        <f t="shared" si="4"/>
        <v>-23.339005615686204</v>
      </c>
      <c r="BJ21" s="92">
        <f t="shared" si="5"/>
        <v>7</v>
      </c>
      <c r="BK21" s="91">
        <v>19</v>
      </c>
      <c r="BL21" s="61">
        <f t="shared" si="0"/>
        <v>172.54370047058822</v>
      </c>
      <c r="BM21" s="90">
        <f>IFERROR(LARGE($X$3:$X$102,19),"")</f>
        <v>60.223535000000012</v>
      </c>
      <c r="BN21" s="90">
        <f t="shared" si="6"/>
        <v>77.434511592000021</v>
      </c>
      <c r="BO21" s="92">
        <f t="shared" si="7"/>
        <v>4</v>
      </c>
      <c r="BP21" s="103">
        <v>19</v>
      </c>
      <c r="BQ21" s="61">
        <f t="shared" si="1"/>
        <v>155.83898482352942</v>
      </c>
      <c r="BR21" s="90">
        <f>IFERROR(LARGE($AL$3:$AL$102,19),"")</f>
        <v>39.773163961404833</v>
      </c>
      <c r="BS21" s="90">
        <f t="shared" si="8"/>
        <v>39.773163961404833</v>
      </c>
      <c r="BT21" s="92">
        <f t="shared" si="9"/>
        <v>4</v>
      </c>
      <c r="BU21" s="91">
        <v>19</v>
      </c>
      <c r="BV21" s="61">
        <f t="shared" si="2"/>
        <v>90.244218823529408</v>
      </c>
      <c r="BW21" s="90">
        <f>IFERROR(LARGE($AZ$3:$AZ$52,19),"")</f>
        <v>-20.11691737254904</v>
      </c>
      <c r="BX21" s="90">
        <f t="shared" si="10"/>
        <v>-20.11691737254904</v>
      </c>
      <c r="BY21" s="105">
        <f t="shared" si="11"/>
        <v>6</v>
      </c>
      <c r="BZ21" s="90"/>
      <c r="CA21" s="90"/>
      <c r="CB21" s="90"/>
      <c r="CC21" s="90"/>
      <c r="CD21" s="90"/>
      <c r="CE21" s="90"/>
      <c r="CF21" s="90"/>
      <c r="CG21" s="90"/>
    </row>
    <row r="22" spans="1:85" s="62" customFormat="1" ht="14.25" customHeight="1" x14ac:dyDescent="0.3">
      <c r="A22" s="56" t="s">
        <v>382</v>
      </c>
      <c r="B22" s="56" t="str">
        <f>VLOOKUP(A22,ECR!E:L,8,FALSE())</f>
        <v>Tyler Shough</v>
      </c>
      <c r="C22" s="46" t="str">
        <f>IFERROR(VLOOKUP(Table2[[#This Row],[PLAYER]],ECR!C:F,2,FALSE()),"-")</f>
        <v>NO</v>
      </c>
      <c r="D22" s="46">
        <f>IFERROR(VLOOKUP(Table2[[#This Row],[PLAYER]],ECR!C:F,4,FALSE()),"-")</f>
        <v>8</v>
      </c>
      <c r="E22" s="46" t="str">
        <f>Table2[[#This Row],[Team]] &amp; "/" &amp; Table2[[#This Row],[Bye]]</f>
        <v>NO/8</v>
      </c>
      <c r="F22" s="57">
        <f>IFERROR(VLOOKUP(Table2[[#This Row],[PLAYER]],QB!A:Q,15,FALSE())/17*(17-Table2[[#This Row],[Missed Games]]),0)</f>
        <v>224.34093694117647</v>
      </c>
      <c r="G22" s="57">
        <f>IFERROR(VLOOKUP(Table2[[#This Row],[PLAYER]],QB!A:Q,16,FALSE())/17*(17-Table2[[#This Row],[Missed Games]]),0)</f>
        <v>238.93534917647057</v>
      </c>
      <c r="H22" s="57">
        <f>IFERROR(VLOOKUP(Table2[[#This Row],[PLAYER]],QB!A:Q,17,FALSE())/17*(17-Table2[[#This Row],[Missed Games]]),0)</f>
        <v>253.85300235294116</v>
      </c>
      <c r="I22" s="58">
        <f>AVERAGE(AVERAGE(Table2[[#This Row],[LOW]],Table2[[#This Row],[HIGH]]),Table2[[#This Row],[AVG]],VLOOKUP(Table2[[#This Row],[PLAYER]],ECR!L:N,3,FALSE))</f>
        <v>237.57109149803921</v>
      </c>
      <c r="J22" s="58">
        <f>Table2[[#This Row],[Zscore Projection]]-$C$1</f>
        <v>-24.760193207843088</v>
      </c>
      <c r="K22" s="59">
        <f>MAX(Table2[[#This Row],[VBD]]*Scoring!$B$48+1,1)</f>
        <v>1</v>
      </c>
      <c r="L22" s="45">
        <f>VLOOKUP(Table2[[#This Row],[VBD]],BH:BJ,3,FALSE)</f>
        <v>7</v>
      </c>
      <c r="M22" s="60">
        <f>VLOOKUP(INDEX(ECR!$E:$E,MATCH(B22,ECR!$C:$C,0)),RISK!A:B,2,FALSE())</f>
        <v>2.7640000000000011</v>
      </c>
      <c r="N22" s="61"/>
      <c r="O22" s="45" t="s">
        <v>130</v>
      </c>
      <c r="P22" s="56" t="str">
        <f>VLOOKUP(O22,ECR!E:L,8,FALSE())</f>
        <v>Cam Skattebo</v>
      </c>
      <c r="Q22" s="46" t="str">
        <f>IFERROR(VLOOKUP(Table4[[#This Row],[PLAYER]],ECR!C:F,2,FALSE()),"-")</f>
        <v>NYG</v>
      </c>
      <c r="R22" s="46">
        <f>IFERROR(VLOOKUP(Table4[[#This Row],[PLAYER]],ECR!C:F,4,FALSE()),"-")</f>
        <v>8</v>
      </c>
      <c r="S22" s="46" t="str">
        <f>Table4[[#This Row],[Team]] &amp; "/" &amp; Table4[[#This Row],[Bye]]</f>
        <v>NYG/8</v>
      </c>
      <c r="T22" s="57">
        <f>IFERROR(VLOOKUP(Table4[[#This Row],[PLAYER]],RB!A:Q,13,FALSE())/17*(17-Table4[[#This Row],[Missed Games]]),0)</f>
        <v>157.94371764705883</v>
      </c>
      <c r="U22" s="57">
        <f>IFERROR(VLOOKUP(Table4[[#This Row],[PLAYER]],RB!A:Q,14,FALSE())/17*(17-Table4[[#This Row],[Missed Games]]),0)</f>
        <v>178.40857647058823</v>
      </c>
      <c r="V22" s="57">
        <f>IFERROR(VLOOKUP(Table4[[#This Row],[PLAYER]],RB!A:Q,15,FALSE())/17*(17-Table4[[#This Row],[Missed Games]]),0)</f>
        <v>199.78000000000003</v>
      </c>
      <c r="W22" s="58">
        <f>AVERAGE(AVERAGE(Table4[[#This Row],[LOW]],Table4[[#This Row],[HIGH]]),Table4[[#This Row],[AVG]],VLOOKUP(Table4[[#This Row],[PLAYER]],ECR!L:N,3,FALSE))</f>
        <v>175.00965909803918</v>
      </c>
      <c r="X22" s="58">
        <f>Table4[[#This Row],[Zscore Projection]]-$Q$1</f>
        <v>60.855181156862713</v>
      </c>
      <c r="Y22" s="59">
        <f>MAX(Table4[[#This Row],[VBD]]*Scoring!$B$48+1,1)</f>
        <v>30.752229849628456</v>
      </c>
      <c r="Z22" s="45">
        <f>VLOOKUP(Table4[[#This Row],[VBD]],BM:BO,3,FALSE)</f>
        <v>4</v>
      </c>
      <c r="AA22" s="60">
        <f>VLOOKUP(INDEX(ECR!$E:$E,MATCH(P22,ECR!$C:$C,0)),RISK!A:B,2,FALSE())</f>
        <v>2.7300000000000004</v>
      </c>
      <c r="AB22" s="61"/>
      <c r="AC22" s="46" t="s">
        <v>161</v>
      </c>
      <c r="AD22" s="46" t="str">
        <f>VLOOKUP(AC22,ECR!E:L,8,FALSE())</f>
        <v>Tetairoa McMillan</v>
      </c>
      <c r="AE22" s="46" t="str">
        <f>IFERROR(VLOOKUP(Table6[[#This Row],[PLAYER]],ECR!C:F,2,FALSE()),"-")</f>
        <v>CAR</v>
      </c>
      <c r="AF22" s="46">
        <f>IFERROR(VLOOKUP(Table6[[#This Row],[PLAYER]],ECR!C:F,4,FALSE()),"-")</f>
        <v>5</v>
      </c>
      <c r="AG22" s="46" t="str">
        <f>Table6[[#This Row],[Team]] &amp; "/" &amp; Table6[[#This Row],[Bye]]</f>
        <v>CAR/5</v>
      </c>
      <c r="AH22" s="57">
        <f>IFERROR(VLOOKUP(Table6[[#This Row],[PLAYER]],WR!A:Q,13,FALSE())/17*(17-Table6[[#This Row],[Missed Games]]),0)</f>
        <v>148.72138235294116</v>
      </c>
      <c r="AI22" s="57">
        <f>IFERROR(VLOOKUP(Table6[[#This Row],[PLAYER]],WR!A:Q,14,FALSE())/17*(17-Table6[[#This Row],[Missed Games]]),0)</f>
        <v>158.90529529411762</v>
      </c>
      <c r="AJ22" s="57">
        <f>IFERROR(VLOOKUP(Table6[[#This Row],[PLAYER]],WR!A:Q,15,FALSE())/17*(17-Table6[[#This Row],[Missed Games]]),0)</f>
        <v>169.97082529411767</v>
      </c>
      <c r="AK22" s="58">
        <f>AVERAGE(AVERAGE(Table6[[#This Row],[LOW]],Table6[[#This Row],[HIGH]]),Table6[[#This Row],[AVG]],VLOOKUP(Table6[[#This Row],[PLAYER]],ECR!L:N,3,FALSE))</f>
        <v>157.0523094117647</v>
      </c>
      <c r="AL22" s="58">
        <f>Table6[[#This Row],[Zscore Projection]]-$AE$1</f>
        <v>42.348411422189116</v>
      </c>
      <c r="AM22" s="59">
        <f>MAX(Table6[[#This Row],[VBD]]*Scoring!$B$48+1,1)</f>
        <v>21.704230049893042</v>
      </c>
      <c r="AN22" s="45">
        <f>VLOOKUP(Table6[[#This Row],[VBD]],BR:BT,3,FALSE)</f>
        <v>3</v>
      </c>
      <c r="AO22" s="60">
        <f>VLOOKUP(INDEX(ECR!$E:$E,MATCH(AD22,ECR!$C:$C,0)),RISK!A:B,2,FALSE())</f>
        <v>2.9930000000000003</v>
      </c>
      <c r="AP22" s="61"/>
      <c r="AQ22" s="47" t="s">
        <v>200</v>
      </c>
      <c r="AR22" s="47" t="str">
        <f>VLOOKUP(AQ22,ECR!E:L,8,FALSE())</f>
        <v>Dalton Schultz</v>
      </c>
      <c r="AS22" s="47" t="str">
        <f>IFERROR(VLOOKUP(Table7[[#This Row],[PLAYER]],ECR!C:F,2,FALSE()),"-")</f>
        <v>HOU</v>
      </c>
      <c r="AT22" s="47">
        <f>IFERROR(VLOOKUP(Table7[[#This Row],[PLAYER]],ECR!C:F,4,FALSE()),"-")</f>
        <v>8</v>
      </c>
      <c r="AU22" s="47" t="str">
        <f>Table7[[#This Row],[Team]] &amp; "/" &amp; Table7[[#This Row],[Bye]]</f>
        <v>HOU/8</v>
      </c>
      <c r="AV22" s="57">
        <f>IFERROR(VLOOKUP(Table7[[#This Row],[PLAYER]],TE!A:K,9,FALSE())/17*(16-Table7[[#This Row],[Missed Games]]),0)</f>
        <v>79.437041176470586</v>
      </c>
      <c r="AW22" s="57">
        <f>IFERROR(VLOOKUP(Table7[[#This Row],[PLAYER]],TE!A:K,10,FALSE())/17*(16-Table7[[#This Row],[Missed Games]]),0)</f>
        <v>90.244218823529408</v>
      </c>
      <c r="AX22" s="57">
        <f>IFERROR(VLOOKUP(Table7[[#This Row],[PLAYER]],TE!A:K,11,FALSE())/17*(16-Table7[[#This Row],[Missed Games]]),0)</f>
        <v>100.20209411764706</v>
      </c>
      <c r="AY22" s="58">
        <f>AVERAGE(AVERAGE(Table7[[#This Row],[LOW]],Table7[[#This Row],[HIGH]]),Table7[[#This Row],[AVG]],VLOOKUP(Table7[[#This Row],[PLAYER]],ECR!L:N,3,FALSE))</f>
        <v>87.797928823529404</v>
      </c>
      <c r="AZ22" s="58">
        <f>Table7[[#This Row],[Zscore Projection]]-$AS$1</f>
        <v>-20.11691737254904</v>
      </c>
      <c r="BA22" s="59">
        <f>MAX(Table7[[#This Row],[VBD]]*Scoring!$B$48+1,1)</f>
        <v>1</v>
      </c>
      <c r="BB22" s="57">
        <f>VLOOKUP(Table7[[#This Row],[VBD]],BW:BY,3,FALSE)</f>
        <v>6</v>
      </c>
      <c r="BC22" s="60">
        <f>VLOOKUP(INDEX(ECR!$E:$E,MATCH(AR22,ECR!$C:$C,0)),RISK!A:B,2,FALSE())</f>
        <v>2.7539999999999996</v>
      </c>
      <c r="BD22" s="57"/>
      <c r="BE22" s="61"/>
      <c r="BF22" s="91">
        <v>20</v>
      </c>
      <c r="BG22" s="61">
        <f t="shared" si="12"/>
        <v>234.68095567058822</v>
      </c>
      <c r="BH22" s="61">
        <f>IFERROR(LARGE($J$3:$J$52,20),"")</f>
        <v>-26.449693803921519</v>
      </c>
      <c r="BI22" s="61">
        <f t="shared" si="4"/>
        <v>-23.339005615686204</v>
      </c>
      <c r="BJ22" s="92">
        <f t="shared" si="5"/>
        <v>7</v>
      </c>
      <c r="BK22" s="91">
        <v>20</v>
      </c>
      <c r="BL22" s="61">
        <f t="shared" si="0"/>
        <v>167.75854199999998</v>
      </c>
      <c r="BM22" s="90">
        <f>IFERROR(LARGE($X$3:$X$102,20),"")</f>
        <v>55.842175882352947</v>
      </c>
      <c r="BN22" s="90">
        <f t="shared" si="6"/>
        <v>77.434511592000021</v>
      </c>
      <c r="BO22" s="92">
        <f t="shared" si="7"/>
        <v>4</v>
      </c>
      <c r="BP22" s="103">
        <v>20</v>
      </c>
      <c r="BQ22" s="61">
        <f t="shared" si="1"/>
        <v>152.90552911764706</v>
      </c>
      <c r="BR22" s="90">
        <f>IFERROR(LARGE($AL$3:$AL$102,20),"")</f>
        <v>36.210084912385213</v>
      </c>
      <c r="BS22" s="90">
        <f t="shared" si="8"/>
        <v>39.773163961404833</v>
      </c>
      <c r="BT22" s="92">
        <f t="shared" si="9"/>
        <v>4</v>
      </c>
      <c r="BU22" s="91">
        <v>20</v>
      </c>
      <c r="BV22" s="61">
        <f t="shared" si="2"/>
        <v>83.329999999999984</v>
      </c>
      <c r="BW22" s="90">
        <f>IFERROR(LARGE($AZ$3:$AZ$52,20),"")</f>
        <v>-24.767101098039234</v>
      </c>
      <c r="BX22" s="90">
        <f t="shared" si="10"/>
        <v>-20.11691737254904</v>
      </c>
      <c r="BY22" s="105">
        <f t="shared" si="11"/>
        <v>6</v>
      </c>
      <c r="BZ22" s="90"/>
      <c r="CA22" s="90"/>
      <c r="CB22" s="90"/>
      <c r="CC22" s="90"/>
      <c r="CD22" s="90"/>
      <c r="CE22" s="90"/>
      <c r="CF22" s="90"/>
      <c r="CG22" s="90"/>
    </row>
    <row r="23" spans="1:85" s="62" customFormat="1" ht="14.25" customHeight="1" x14ac:dyDescent="0.3">
      <c r="A23" s="56" t="s">
        <v>383</v>
      </c>
      <c r="B23" s="56" t="str">
        <f>VLOOKUP(A23,ECR!E:L,8,FALSE())</f>
        <v>Malik Willis</v>
      </c>
      <c r="C23" s="46" t="str">
        <f>IFERROR(VLOOKUP(Table2[[#This Row],[PLAYER]],ECR!C:F,2,FALSE()),"-")</f>
        <v>MIA</v>
      </c>
      <c r="D23" s="46">
        <f>IFERROR(VLOOKUP(Table2[[#This Row],[PLAYER]],ECR!C:F,4,FALSE()),"-")</f>
        <v>6</v>
      </c>
      <c r="E23" s="46" t="str">
        <f>Table2[[#This Row],[Team]] &amp; "/" &amp; Table2[[#This Row],[Bye]]</f>
        <v>MIA/6</v>
      </c>
      <c r="F23" s="57">
        <f>IFERROR(VLOOKUP(Table2[[#This Row],[PLAYER]],QB!A:Q,15,FALSE())/17*(17-Table2[[#This Row],[Missed Games]]),0)</f>
        <v>185.15649764705881</v>
      </c>
      <c r="G23" s="57">
        <f>IFERROR(VLOOKUP(Table2[[#This Row],[PLAYER]],QB!A:Q,16,FALSE())/17*(17-Table2[[#This Row],[Missed Games]]),0)</f>
        <v>225.17491458823534</v>
      </c>
      <c r="H23" s="57">
        <f>IFERROR(VLOOKUP(Table2[[#This Row],[PLAYER]],QB!A:Q,17,FALSE())/17*(17-Table2[[#This Row],[Missed Games]]),0)</f>
        <v>271.10288141176471</v>
      </c>
      <c r="I23" s="58">
        <f>AVERAGE(AVERAGE(Table2[[#This Row],[LOW]],Table2[[#This Row],[HIGH]]),Table2[[#This Row],[AVG]],VLOOKUP(Table2[[#This Row],[PLAYER]],ECR!L:N,3,FALSE))</f>
        <v>226.15983956862749</v>
      </c>
      <c r="J23" s="58">
        <f>Table2[[#This Row],[Zscore Projection]]-$C$1</f>
        <v>-36.171445137254807</v>
      </c>
      <c r="K23" s="59">
        <f>MAX(Table2[[#This Row],[VBD]]*Scoring!$B$48+1,1)</f>
        <v>1</v>
      </c>
      <c r="L23" s="45">
        <f>VLOOKUP(Table2[[#This Row],[VBD]],BH:BJ,3,FALSE)</f>
        <v>8</v>
      </c>
      <c r="M23" s="60">
        <f>VLOOKUP(INDEX(ECR!$E:$E,MATCH(B23,ECR!$C:$C,0)),RISK!A:B,2,FALSE())</f>
        <v>2.902000000000001</v>
      </c>
      <c r="N23" s="61"/>
      <c r="O23" s="45" t="s">
        <v>131</v>
      </c>
      <c r="P23" s="56" t="str">
        <f>VLOOKUP(O23,ECR!E:L,8,FALSE())</f>
        <v>David Montgomery</v>
      </c>
      <c r="Q23" s="46" t="str">
        <f>IFERROR(VLOOKUP(Table4[[#This Row],[PLAYER]],ECR!C:F,2,FALSE()),"-")</f>
        <v>HOU</v>
      </c>
      <c r="R23" s="46">
        <f>IFERROR(VLOOKUP(Table4[[#This Row],[PLAYER]],ECR!C:F,4,FALSE()),"-")</f>
        <v>8</v>
      </c>
      <c r="S23" s="46" t="str">
        <f>Table4[[#This Row],[Team]] &amp; "/" &amp; Table4[[#This Row],[Bye]]</f>
        <v>HOU/8</v>
      </c>
      <c r="T23" s="57">
        <f>IFERROR(VLOOKUP(Table4[[#This Row],[PLAYER]],RB!A:Q,13,FALSE())/17*(17-Table4[[#This Row],[Missed Games]]),0)</f>
        <v>139.46864941176472</v>
      </c>
      <c r="U23" s="57">
        <f>IFERROR(VLOOKUP(Table4[[#This Row],[PLAYER]],RB!A:Q,14,FALSE())/17*(17-Table4[[#This Row],[Missed Games]]),0)</f>
        <v>153.33169905882355</v>
      </c>
      <c r="V23" s="57">
        <f>IFERROR(VLOOKUP(Table4[[#This Row],[PLAYER]],RB!A:Q,15,FALSE())/17*(17-Table4[[#This Row],[Missed Games]]),0)</f>
        <v>168.13348000000002</v>
      </c>
      <c r="W23" s="58">
        <f>AVERAGE(AVERAGE(Table4[[#This Row],[LOW]],Table4[[#This Row],[HIGH]]),Table4[[#This Row],[AVG]],VLOOKUP(Table4[[#This Row],[PLAYER]],ECR!L:N,3,FALSE))</f>
        <v>158.1156138039216</v>
      </c>
      <c r="X23" s="58">
        <f>Table4[[#This Row],[Zscore Projection]]-$Q$1</f>
        <v>43.961135862745138</v>
      </c>
      <c r="Y23" s="59">
        <f>MAX(Table4[[#This Row],[VBD]]*Scoring!$B$48+1,1)</f>
        <v>22.492694521239457</v>
      </c>
      <c r="Z23" s="45">
        <f>VLOOKUP(Table4[[#This Row],[VBD]],BM:BO,3,FALSE)</f>
        <v>5</v>
      </c>
      <c r="AA23" s="60">
        <f>VLOOKUP(INDEX(ECR!$E:$E,MATCH(P23,ECR!$C:$C,0)),RISK!A:B,2,FALSE())</f>
        <v>2.7514000000000003</v>
      </c>
      <c r="AB23" s="61"/>
      <c r="AC23" s="46" t="s">
        <v>150</v>
      </c>
      <c r="AD23" s="46" t="str">
        <f>VLOOKUP(AC23,ECR!E:L,8,FALSE())</f>
        <v>Emeka Egbuka</v>
      </c>
      <c r="AE23" s="46" t="str">
        <f>IFERROR(VLOOKUP(Table6[[#This Row],[PLAYER]],ECR!C:F,2,FALSE()),"-")</f>
        <v>TB</v>
      </c>
      <c r="AF23" s="46">
        <f>IFERROR(VLOOKUP(Table6[[#This Row],[PLAYER]],ECR!C:F,4,FALSE()),"-")</f>
        <v>10</v>
      </c>
      <c r="AG23" s="46" t="str">
        <f>Table6[[#This Row],[Team]] &amp; "/" &amp; Table6[[#This Row],[Bye]]</f>
        <v>TB/10</v>
      </c>
      <c r="AH23" s="57">
        <f>IFERROR(VLOOKUP(Table6[[#This Row],[PLAYER]],WR!A:Q,13,FALSE())/17*(17-Table6[[#This Row],[Missed Games]]),0)</f>
        <v>147.89014</v>
      </c>
      <c r="AI23" s="57">
        <f>IFERROR(VLOOKUP(Table6[[#This Row],[PLAYER]],WR!A:Q,14,FALSE())/17*(17-Table6[[#This Row],[Missed Games]]),0)</f>
        <v>157.09839400000001</v>
      </c>
      <c r="AJ23" s="57">
        <f>IFERROR(VLOOKUP(Table6[[#This Row],[PLAYER]],WR!A:Q,15,FALSE())/17*(17-Table6[[#This Row],[Missed Games]]),0)</f>
        <v>165.346429</v>
      </c>
      <c r="AK23" s="58">
        <f>AVERAGE(AVERAGE(Table6[[#This Row],[LOW]],Table6[[#This Row],[HIGH]]),Table6[[#This Row],[AVG]],VLOOKUP(Table6[[#This Row],[PLAYER]],ECR!L:N,3,FALSE))</f>
        <v>154.47706195098041</v>
      </c>
      <c r="AL23" s="58">
        <f>Table6[[#This Row],[Zscore Projection]]-$AE$1</f>
        <v>39.773163961404833</v>
      </c>
      <c r="AM23" s="59">
        <f>MAX(Table6[[#This Row],[VBD]]*Scoring!$B$48+1,1)</f>
        <v>20.445185989611158</v>
      </c>
      <c r="AN23" s="45">
        <f>VLOOKUP(Table6[[#This Row],[VBD]],BR:BT,3,FALSE)</f>
        <v>4</v>
      </c>
      <c r="AO23" s="60">
        <f>VLOOKUP(INDEX(ECR!$E:$E,MATCH(AD23,ECR!$C:$C,0)),RISK!A:B,2,FALSE())</f>
        <v>3.0480999999999998</v>
      </c>
      <c r="AP23" s="61"/>
      <c r="AQ23" s="47" t="s">
        <v>209</v>
      </c>
      <c r="AR23" s="47" t="str">
        <f>VLOOKUP(AQ23,ECR!E:L,8,FALSE())</f>
        <v>Terrance Ferguson</v>
      </c>
      <c r="AS23" s="47" t="str">
        <f>IFERROR(VLOOKUP(Table7[[#This Row],[PLAYER]],ECR!C:F,2,FALSE()),"-")</f>
        <v>LAR</v>
      </c>
      <c r="AT23" s="47">
        <f>IFERROR(VLOOKUP(Table7[[#This Row],[PLAYER]],ECR!C:F,4,FALSE()),"-")</f>
        <v>11</v>
      </c>
      <c r="AU23" s="47" t="str">
        <f>Table7[[#This Row],[Team]] &amp; "/" &amp; Table7[[#This Row],[Bye]]</f>
        <v>LAR/11</v>
      </c>
      <c r="AV23" s="57">
        <f>IFERROR(VLOOKUP(Table7[[#This Row],[PLAYER]],TE!A:K,9,FALSE())/17*(16-Table7[[#This Row],[Missed Games]]),0)</f>
        <v>71.548847647058821</v>
      </c>
      <c r="AW23" s="57">
        <f>IFERROR(VLOOKUP(Table7[[#This Row],[PLAYER]],TE!A:K,10,FALSE())/17*(16-Table7[[#This Row],[Missed Games]]),0)</f>
        <v>79.312167176470581</v>
      </c>
      <c r="AX23" s="57">
        <f>IFERROR(VLOOKUP(Table7[[#This Row],[PLAYER]],TE!A:K,11,FALSE())/17*(16-Table7[[#This Row],[Missed Games]]),0)</f>
        <v>87.221819117647058</v>
      </c>
      <c r="AY23" s="58">
        <f>AVERAGE(AVERAGE(Table7[[#This Row],[LOW]],Table7[[#This Row],[HIGH]]),Table7[[#This Row],[AVG]],VLOOKUP(Table7[[#This Row],[PLAYER]],ECR!L:N,3,FALSE))</f>
        <v>80.392892343137248</v>
      </c>
      <c r="AZ23" s="58">
        <f>Table7[[#This Row],[Zscore Projection]]-$AS$1</f>
        <v>-27.521953852941195</v>
      </c>
      <c r="BA23" s="59">
        <f>MAX(Table7[[#This Row],[VBD]]*Scoring!$B$48+1,1)</f>
        <v>1</v>
      </c>
      <c r="BB23" s="57">
        <f>VLOOKUP(Table7[[#This Row],[VBD]],BW:BY,3,FALSE)</f>
        <v>6</v>
      </c>
      <c r="BC23" s="60">
        <f>VLOOKUP(INDEX(ECR!$E:$E,MATCH(AR23,ECR!$C:$C,0)),RISK!A:B,2,FALSE())</f>
        <v>2.9070999999999998</v>
      </c>
      <c r="BD23" s="57"/>
      <c r="BE23" s="61"/>
      <c r="BF23" s="91">
        <v>21</v>
      </c>
      <c r="BG23" s="61">
        <f t="shared" si="12"/>
        <v>225.17491458823534</v>
      </c>
      <c r="BH23" s="61">
        <f>IFERROR(LARGE($J$3:$J$52,21),"")</f>
        <v>-36.171445137254807</v>
      </c>
      <c r="BI23" s="61">
        <f t="shared" si="4"/>
        <v>-36.171445137254807</v>
      </c>
      <c r="BJ23" s="92">
        <f t="shared" si="5"/>
        <v>8</v>
      </c>
      <c r="BK23" s="91">
        <v>21</v>
      </c>
      <c r="BL23" s="61">
        <f t="shared" si="0"/>
        <v>167.21407764705882</v>
      </c>
      <c r="BM23" s="90">
        <f>IFERROR(LARGE($X$3:$X$102,21),"")</f>
        <v>52.276942254901954</v>
      </c>
      <c r="BN23" s="90">
        <f t="shared" si="6"/>
        <v>52.276942254901954</v>
      </c>
      <c r="BO23" s="92">
        <f t="shared" si="7"/>
        <v>5</v>
      </c>
      <c r="BP23" s="103">
        <v>21</v>
      </c>
      <c r="BQ23" s="61">
        <f t="shared" si="1"/>
        <v>149.71450735294115</v>
      </c>
      <c r="BR23" s="90">
        <f>IFERROR(LARGE($AL$3:$AL$102,21),"")</f>
        <v>35.685672863365568</v>
      </c>
      <c r="BS23" s="90">
        <f t="shared" si="8"/>
        <v>39.773163961404833</v>
      </c>
      <c r="BT23" s="92">
        <f t="shared" si="9"/>
        <v>4</v>
      </c>
      <c r="BU23" s="91">
        <v>21</v>
      </c>
      <c r="BV23" s="61">
        <f t="shared" si="2"/>
        <v>82.481176470588238</v>
      </c>
      <c r="BW23" s="90">
        <f>IFERROR(LARGE($AZ$3:$AZ$52,21),"")</f>
        <v>-25.58724969607843</v>
      </c>
      <c r="BX23" s="90">
        <f t="shared" si="10"/>
        <v>-20.11691737254904</v>
      </c>
      <c r="BY23" s="105">
        <f t="shared" si="11"/>
        <v>6</v>
      </c>
      <c r="BZ23" s="90"/>
      <c r="CA23" s="90"/>
      <c r="CB23" s="90"/>
      <c r="CC23" s="90"/>
      <c r="CD23" s="90"/>
      <c r="CE23" s="90"/>
      <c r="CF23" s="90"/>
      <c r="CG23" s="90"/>
    </row>
    <row r="24" spans="1:85" s="62" customFormat="1" ht="14.25" customHeight="1" x14ac:dyDescent="0.3">
      <c r="A24" s="56" t="s">
        <v>384</v>
      </c>
      <c r="B24" s="56" t="str">
        <f>VLOOKUP(A24,ECR!E:L,8,FALSE())</f>
        <v>Sam Darnold</v>
      </c>
      <c r="C24" s="46" t="str">
        <f>IFERROR(VLOOKUP(Table2[[#This Row],[PLAYER]],ECR!C:F,2,FALSE()),"-")</f>
        <v>SEA</v>
      </c>
      <c r="D24" s="46">
        <f>IFERROR(VLOOKUP(Table2[[#This Row],[PLAYER]],ECR!C:F,4,FALSE()),"-")</f>
        <v>11</v>
      </c>
      <c r="E24" s="46" t="str">
        <f>Table2[[#This Row],[Team]] &amp; "/" &amp; Table2[[#This Row],[Bye]]</f>
        <v>SEA/11</v>
      </c>
      <c r="F24" s="57">
        <f>IFERROR(VLOOKUP(Table2[[#This Row],[PLAYER]],QB!A:Q,15,FALSE())/17*(17-Table2[[#This Row],[Missed Games]]),0)</f>
        <v>200.21450597647058</v>
      </c>
      <c r="G24" s="57">
        <f>IFERROR(VLOOKUP(Table2[[#This Row],[PLAYER]],QB!A:Q,16,FALSE())/17*(17-Table2[[#This Row],[Missed Games]]),0)</f>
        <v>218.14712705882351</v>
      </c>
      <c r="H24" s="57">
        <f>IFERROR(VLOOKUP(Table2[[#This Row],[PLAYER]],QB!A:Q,17,FALSE())/17*(17-Table2[[#This Row],[Missed Games]]),0)</f>
        <v>239.60489411764706</v>
      </c>
      <c r="I24" s="58">
        <f>AVERAGE(AVERAGE(Table2[[#This Row],[LOW]],Table2[[#This Row],[HIGH]]),Table2[[#This Row],[AVG]],VLOOKUP(Table2[[#This Row],[PLAYER]],ECR!L:N,3,FALSE))</f>
        <v>219.87058942745099</v>
      </c>
      <c r="J24" s="58">
        <f>Table2[[#This Row],[Zscore Projection]]-$C$1</f>
        <v>-42.460695278431302</v>
      </c>
      <c r="K24" s="59">
        <f>MAX(Table2[[#This Row],[VBD]]*Scoring!$B$48+1,1)</f>
        <v>1</v>
      </c>
      <c r="L24" s="45">
        <f>VLOOKUP(Table2[[#This Row],[VBD]],BH:BJ,3,FALSE)</f>
        <v>9</v>
      </c>
      <c r="M24" s="60">
        <f>VLOOKUP(INDEX(ECR!$E:$E,MATCH(B24,ECR!$C:$C,0)),RISK!A:B,2,FALSE())</f>
        <v>3.0503999999999998</v>
      </c>
      <c r="N24" s="61"/>
      <c r="O24" s="45" t="s">
        <v>134</v>
      </c>
      <c r="P24" s="56" t="str">
        <f>VLOOKUP(O24,ECR!E:L,8,FALSE())</f>
        <v>Quinshon Judkins</v>
      </c>
      <c r="Q24" s="46" t="str">
        <f>IFERROR(VLOOKUP(Table4[[#This Row],[PLAYER]],ECR!C:F,2,FALSE()),"-")</f>
        <v>CLE</v>
      </c>
      <c r="R24" s="46">
        <f>IFERROR(VLOOKUP(Table4[[#This Row],[PLAYER]],ECR!C:F,4,FALSE()),"-")</f>
        <v>11</v>
      </c>
      <c r="S24" s="46" t="str">
        <f>Table4[[#This Row],[Team]] &amp; "/" &amp; Table4[[#This Row],[Bye]]</f>
        <v>CLE/11</v>
      </c>
      <c r="T24" s="57">
        <f>IFERROR(VLOOKUP(Table4[[#This Row],[PLAYER]],RB!A:Q,13,FALSE())/17*(17-Table4[[#This Row],[Missed Games]]),0)</f>
        <v>144.60310588235293</v>
      </c>
      <c r="U24" s="57">
        <f>IFERROR(VLOOKUP(Table4[[#This Row],[PLAYER]],RB!A:Q,14,FALSE())/17*(17-Table4[[#This Row],[Missed Games]]),0)</f>
        <v>167.21407764705882</v>
      </c>
      <c r="V24" s="57">
        <f>IFERROR(VLOOKUP(Table4[[#This Row],[PLAYER]],RB!A:Q,15,FALSE())/17*(17-Table4[[#This Row],[Missed Games]]),0)</f>
        <v>194.15979529411763</v>
      </c>
      <c r="W24" s="58">
        <f>AVERAGE(AVERAGE(Table4[[#This Row],[LOW]],Table4[[#This Row],[HIGH]]),Table4[[#This Row],[AVG]],VLOOKUP(Table4[[#This Row],[PLAYER]],ECR!L:N,3,FALSE))</f>
        <v>166.43142019607842</v>
      </c>
      <c r="X24" s="58">
        <f>Table4[[#This Row],[Zscore Projection]]-$Q$1</f>
        <v>52.276942254901954</v>
      </c>
      <c r="Y24" s="59">
        <f>MAX(Table4[[#This Row],[VBD]]*Scoring!$B$48+1,1)</f>
        <v>26.558310274263274</v>
      </c>
      <c r="Z24" s="45">
        <f>VLOOKUP(Table4[[#This Row],[VBD]],BM:BO,3,FALSE)</f>
        <v>5</v>
      </c>
      <c r="AA24" s="60">
        <f>VLOOKUP(INDEX(ECR!$E:$E,MATCH(P24,ECR!$C:$C,0)),RISK!A:B,2,FALSE())</f>
        <v>2.7740000000000009</v>
      </c>
      <c r="AB24" s="61"/>
      <c r="AC24" s="46" t="s">
        <v>156</v>
      </c>
      <c r="AD24" s="46" t="str">
        <f>VLOOKUP(AC24,ECR!E:L,8,FALSE())</f>
        <v>Luther Burden III</v>
      </c>
      <c r="AE24" s="46" t="str">
        <f>IFERROR(VLOOKUP(Table6[[#This Row],[PLAYER]],ECR!C:F,2,FALSE()),"-")</f>
        <v>CHI</v>
      </c>
      <c r="AF24" s="46">
        <f>IFERROR(VLOOKUP(Table6[[#This Row],[PLAYER]],ECR!C:F,4,FALSE()),"-")</f>
        <v>10</v>
      </c>
      <c r="AG24" s="46" t="str">
        <f>Table6[[#This Row],[Team]] &amp; "/" &amp; Table6[[#This Row],[Bye]]</f>
        <v>CHI/10</v>
      </c>
      <c r="AH24" s="57">
        <f>IFERROR(VLOOKUP(Table6[[#This Row],[PLAYER]],WR!A:Q,13,FALSE())/17*(17-Table6[[#This Row],[Missed Games]]),0)</f>
        <v>130.79905882352938</v>
      </c>
      <c r="AI24" s="57">
        <f>IFERROR(VLOOKUP(Table6[[#This Row],[PLAYER]],WR!A:Q,14,FALSE())/17*(17-Table6[[#This Row],[Missed Games]]),0)</f>
        <v>140.39643976470586</v>
      </c>
      <c r="AJ24" s="57">
        <f>IFERROR(VLOOKUP(Table6[[#This Row],[PLAYER]],WR!A:Q,15,FALSE())/17*(17-Table6[[#This Row],[Missed Games]]),0)</f>
        <v>152.69155129411763</v>
      </c>
      <c r="AK24" s="58">
        <f>AVERAGE(AVERAGE(Table6[[#This Row],[LOW]],Table6[[#This Row],[HIGH]]),Table6[[#This Row],[AVG]],VLOOKUP(Table6[[#This Row],[PLAYER]],ECR!L:N,3,FALSE))</f>
        <v>143.41114807843135</v>
      </c>
      <c r="AL24" s="58">
        <f>Table6[[#This Row],[Zscore Projection]]-$AE$1</f>
        <v>28.707250088855773</v>
      </c>
      <c r="AM24" s="59">
        <f>MAX(Table6[[#This Row],[VBD]]*Scoring!$B$48+1,1)</f>
        <v>15.035036734059339</v>
      </c>
      <c r="AN24" s="45">
        <f>VLOOKUP(Table6[[#This Row],[VBD]],BR:BT,3,FALSE)</f>
        <v>4</v>
      </c>
      <c r="AO24" s="60">
        <f>VLOOKUP(INDEX(ECR!$E:$E,MATCH(AD24,ECR!$C:$C,0)),RISK!A:B,2,FALSE())</f>
        <v>3.1026000000000007</v>
      </c>
      <c r="AP24" s="61"/>
      <c r="AQ24" s="47" t="s">
        <v>222</v>
      </c>
      <c r="AR24" s="47" t="str">
        <f>VLOOKUP(AQ24,ECR!E:L,8,FALSE())</f>
        <v>AJ Barner</v>
      </c>
      <c r="AS24" s="47" t="str">
        <f>IFERROR(VLOOKUP(Table7[[#This Row],[PLAYER]],ECR!C:F,2,FALSE()),"-")</f>
        <v>SEA</v>
      </c>
      <c r="AT24" s="47">
        <f>IFERROR(VLOOKUP(Table7[[#This Row],[PLAYER]],ECR!C:F,4,FALSE()),"-")</f>
        <v>11</v>
      </c>
      <c r="AU24" s="47" t="str">
        <f>Table7[[#This Row],[Team]] &amp; "/" &amp; Table7[[#This Row],[Bye]]</f>
        <v>SEA/11</v>
      </c>
      <c r="AV24" s="57">
        <f>IFERROR(VLOOKUP(Table7[[#This Row],[PLAYER]],TE!A:K,9,FALSE())/17*(16-Table7[[#This Row],[Missed Games]]),0)</f>
        <v>65.925294117647056</v>
      </c>
      <c r="AW24" s="57">
        <f>IFERROR(VLOOKUP(Table7[[#This Row],[PLAYER]],TE!A:K,10,FALSE())/17*(16-Table7[[#This Row],[Missed Games]]),0)</f>
        <v>76.462941176470594</v>
      </c>
      <c r="AX24" s="57">
        <f>IFERROR(VLOOKUP(Table7[[#This Row],[PLAYER]],TE!A:K,11,FALSE())/17*(16-Table7[[#This Row],[Missed Games]]),0)</f>
        <v>91.305882352941182</v>
      </c>
      <c r="AY24" s="58">
        <f>AVERAGE(AVERAGE(Table7[[#This Row],[LOW]],Table7[[#This Row],[HIGH]]),Table7[[#This Row],[AVG]],VLOOKUP(Table7[[#This Row],[PLAYER]],ECR!L:N,3,FALSE))</f>
        <v>78.796568627450981</v>
      </c>
      <c r="AZ24" s="58">
        <f>Table7[[#This Row],[Zscore Projection]]-$AS$1</f>
        <v>-29.118277568627462</v>
      </c>
      <c r="BA24" s="59">
        <f>MAX(Table7[[#This Row],[VBD]]*Scoring!$B$48+1,1)</f>
        <v>1</v>
      </c>
      <c r="BB24" s="57">
        <f>VLOOKUP(Table7[[#This Row],[VBD]],BW:BY,3,FALSE)</f>
        <v>6</v>
      </c>
      <c r="BC24" s="60">
        <f>VLOOKUP(INDEX(ECR!$E:$E,MATCH(AR24,ECR!$C:$C,0)),RISK!A:B,2,FALSE())</f>
        <v>3</v>
      </c>
      <c r="BD24" s="57"/>
      <c r="BE24" s="61"/>
      <c r="BF24" s="91">
        <v>22</v>
      </c>
      <c r="BG24" s="61">
        <f t="shared" si="12"/>
        <v>221.55494117647061</v>
      </c>
      <c r="BH24" s="61">
        <f>IFERROR(LARGE($J$3:$J$52,22),"")</f>
        <v>-42.460484705882294</v>
      </c>
      <c r="BI24" s="61">
        <f t="shared" si="4"/>
        <v>-42.460484705882294</v>
      </c>
      <c r="BJ24" s="92">
        <f t="shared" si="5"/>
        <v>9</v>
      </c>
      <c r="BK24" s="91">
        <v>22</v>
      </c>
      <c r="BL24" s="61">
        <f t="shared" si="0"/>
        <v>162.69873235294116</v>
      </c>
      <c r="BM24" s="90">
        <f>IFERROR(LARGE($X$3:$X$102,22),"")</f>
        <v>48.917216184313716</v>
      </c>
      <c r="BN24" s="90">
        <f t="shared" si="6"/>
        <v>52.276942254901954</v>
      </c>
      <c r="BO24" s="92">
        <f t="shared" si="7"/>
        <v>5</v>
      </c>
      <c r="BP24" s="103">
        <v>22</v>
      </c>
      <c r="BQ24" s="61">
        <f t="shared" si="1"/>
        <v>148.09169941176469</v>
      </c>
      <c r="BR24" s="90">
        <f>IFERROR(LARGE($AL$3:$AL$102,22),"")</f>
        <v>34.498047863365599</v>
      </c>
      <c r="BS24" s="90">
        <f t="shared" si="8"/>
        <v>39.773163961404833</v>
      </c>
      <c r="BT24" s="92">
        <f t="shared" si="9"/>
        <v>4</v>
      </c>
      <c r="BU24" s="91">
        <v>22</v>
      </c>
      <c r="BV24" s="61">
        <f t="shared" si="2"/>
        <v>81.311176470588236</v>
      </c>
      <c r="BW24" s="90">
        <f>IFERROR(LARGE($AZ$3:$AZ$52,22),"")</f>
        <v>-26.681182627450994</v>
      </c>
      <c r="BX24" s="90">
        <f t="shared" si="10"/>
        <v>-20.11691737254904</v>
      </c>
      <c r="BY24" s="105">
        <f t="shared" si="11"/>
        <v>6</v>
      </c>
      <c r="BZ24" s="90"/>
      <c r="CA24" s="90"/>
      <c r="CB24" s="90"/>
      <c r="CC24" s="90"/>
      <c r="CD24" s="90"/>
      <c r="CE24" s="90"/>
      <c r="CF24" s="90"/>
      <c r="CG24" s="90"/>
    </row>
    <row r="25" spans="1:85" s="62" customFormat="1" ht="14.25" customHeight="1" x14ac:dyDescent="0.3">
      <c r="A25" s="56" t="s">
        <v>385</v>
      </c>
      <c r="B25" s="56" t="str">
        <f>VLOOKUP(A25,ECR!E:L,8,FALSE())</f>
        <v>C.J. Stroud</v>
      </c>
      <c r="C25" s="46" t="str">
        <f>IFERROR(VLOOKUP(Table2[[#This Row],[PLAYER]],ECR!C:F,2,FALSE()),"-")</f>
        <v>HOU</v>
      </c>
      <c r="D25" s="46">
        <f>IFERROR(VLOOKUP(Table2[[#This Row],[PLAYER]],ECR!C:F,4,FALSE()),"-")</f>
        <v>8</v>
      </c>
      <c r="E25" s="46" t="str">
        <f>Table2[[#This Row],[Team]] &amp; "/" &amp; Table2[[#This Row],[Bye]]</f>
        <v>HOU/8</v>
      </c>
      <c r="F25" s="57">
        <f>IFERROR(VLOOKUP(Table2[[#This Row],[PLAYER]],QB!A:Q,15,FALSE())/17*(17-Table2[[#This Row],[Missed Games]]),0)</f>
        <v>196.65811764705884</v>
      </c>
      <c r="G25" s="57">
        <f>IFERROR(VLOOKUP(Table2[[#This Row],[PLAYER]],QB!A:Q,16,FALSE())/17*(17-Table2[[#This Row],[Missed Games]]),0)</f>
        <v>211.45334117647059</v>
      </c>
      <c r="H25" s="57">
        <f>IFERROR(VLOOKUP(Table2[[#This Row],[PLAYER]],QB!A:Q,17,FALSE())/17*(17-Table2[[#This Row],[Missed Games]]),0)</f>
        <v>231.21818823529412</v>
      </c>
      <c r="I25" s="58">
        <f>AVERAGE(AVERAGE(Table2[[#This Row],[LOW]],Table2[[#This Row],[HIGH]]),Table2[[#This Row],[AVG]],VLOOKUP(Table2[[#This Row],[PLAYER]],ECR!L:N,3,FALSE))</f>
        <v>214.51287372549018</v>
      </c>
      <c r="J25" s="58">
        <f>Table2[[#This Row],[Zscore Projection]]-$C$1</f>
        <v>-47.818410980392116</v>
      </c>
      <c r="K25" s="59">
        <f>MAX(Table2[[#This Row],[VBD]]*Scoring!$B$48+1,1)</f>
        <v>1</v>
      </c>
      <c r="L25" s="45">
        <f>VLOOKUP(Table2[[#This Row],[VBD]],BH:BJ,3,FALSE)</f>
        <v>10</v>
      </c>
      <c r="M25" s="60">
        <f>VLOOKUP(INDEX(ECR!$E:$E,MATCH(B25,ECR!$C:$C,0)),RISK!A:B,2,FALSE())</f>
        <v>3.2</v>
      </c>
      <c r="N25" s="61"/>
      <c r="O25" s="45" t="s">
        <v>140</v>
      </c>
      <c r="P25" s="56" t="str">
        <f>VLOOKUP(O25,ECR!E:L,8,FALSE())</f>
        <v>Bhayshul Tuten</v>
      </c>
      <c r="Q25" s="46" t="str">
        <f>IFERROR(VLOOKUP(Table4[[#This Row],[PLAYER]],ECR!C:F,2,FALSE()),"-")</f>
        <v>JAC</v>
      </c>
      <c r="R25" s="46">
        <f>IFERROR(VLOOKUP(Table4[[#This Row],[PLAYER]],ECR!C:F,4,FALSE()),"-")</f>
        <v>7</v>
      </c>
      <c r="S25" s="46" t="str">
        <f>Table4[[#This Row],[Team]] &amp; "/" &amp; Table4[[#This Row],[Bye]]</f>
        <v>JAC/7</v>
      </c>
      <c r="T25" s="57">
        <f>IFERROR(VLOOKUP(Table4[[#This Row],[PLAYER]],RB!A:Q,13,FALSE())/17*(17-Table4[[#This Row],[Missed Games]]),0)</f>
        <v>127.40208823529414</v>
      </c>
      <c r="U25" s="57">
        <f>IFERROR(VLOOKUP(Table4[[#This Row],[PLAYER]],RB!A:Q,14,FALSE())/17*(17-Table4[[#This Row],[Missed Games]]),0)</f>
        <v>162.69873235294116</v>
      </c>
      <c r="V25" s="57">
        <f>IFERROR(VLOOKUP(Table4[[#This Row],[PLAYER]],RB!A:Q,15,FALSE())/17*(17-Table4[[#This Row],[Missed Games]]),0)</f>
        <v>200.91935882352939</v>
      </c>
      <c r="W25" s="58">
        <f>AVERAGE(AVERAGE(Table4[[#This Row],[LOW]],Table4[[#This Row],[HIGH]]),Table4[[#This Row],[AVG]],VLOOKUP(Table4[[#This Row],[PLAYER]],ECR!L:N,3,FALSE))</f>
        <v>163.07169412549018</v>
      </c>
      <c r="X25" s="58">
        <f>Table4[[#This Row],[Zscore Projection]]-$Q$1</f>
        <v>48.917216184313716</v>
      </c>
      <c r="Y25" s="59">
        <f>MAX(Table4[[#This Row],[VBD]]*Scoring!$B$48+1,1)</f>
        <v>24.915732922857959</v>
      </c>
      <c r="Z25" s="45">
        <f>VLOOKUP(Table4[[#This Row],[VBD]],BM:BO,3,FALSE)</f>
        <v>5</v>
      </c>
      <c r="AA25" s="60">
        <f>VLOOKUP(INDEX(ECR!$E:$E,MATCH(P25,ECR!$C:$C,0)),RISK!A:B,2,FALSE())</f>
        <v>2.7978000000000005</v>
      </c>
      <c r="AB25" s="61"/>
      <c r="AC25" s="46" t="s">
        <v>154</v>
      </c>
      <c r="AD25" s="46" t="str">
        <f>VLOOKUP(AC25,ECR!E:L,8,FALSE())</f>
        <v>Davante Adams</v>
      </c>
      <c r="AE25" s="46" t="str">
        <f>IFERROR(VLOOKUP(Table6[[#This Row],[PLAYER]],ECR!C:F,2,FALSE()),"-")</f>
        <v>LAR</v>
      </c>
      <c r="AF25" s="46">
        <f>IFERROR(VLOOKUP(Table6[[#This Row],[PLAYER]],ECR!C:F,4,FALSE()),"-")</f>
        <v>11</v>
      </c>
      <c r="AG25" s="46" t="str">
        <f>Table6[[#This Row],[Team]] &amp; "/" &amp; Table6[[#This Row],[Bye]]</f>
        <v>LAR/11</v>
      </c>
      <c r="AH25" s="57">
        <f>IFERROR(VLOOKUP(Table6[[#This Row],[PLAYER]],WR!A:Q,13,FALSE())/17*(17-Table6[[#This Row],[Missed Games]]),0)</f>
        <v>145.03102058823526</v>
      </c>
      <c r="AI25" s="57">
        <f>IFERROR(VLOOKUP(Table6[[#This Row],[PLAYER]],WR!A:Q,14,FALSE())/17*(17-Table6[[#This Row],[Missed Games]]),0)</f>
        <v>152.90552911764706</v>
      </c>
      <c r="AJ25" s="57">
        <f>IFERROR(VLOOKUP(Table6[[#This Row],[PLAYER]],WR!A:Q,15,FALSE())/17*(17-Table6[[#This Row],[Missed Games]]),0)</f>
        <v>162.82398970588233</v>
      </c>
      <c r="AK25" s="58">
        <f>AVERAGE(AVERAGE(Table6[[#This Row],[LOW]],Table6[[#This Row],[HIGH]]),Table6[[#This Row],[AVG]],VLOOKUP(Table6[[#This Row],[PLAYER]],ECR!L:N,3,FALSE))</f>
        <v>150.38957085294115</v>
      </c>
      <c r="AL25" s="58">
        <f>Table6[[#This Row],[Zscore Projection]]-$AE$1</f>
        <v>35.685672863365568</v>
      </c>
      <c r="AM25" s="59">
        <f>MAX(Table6[[#This Row],[VBD]]*Scoring!$B$48+1,1)</f>
        <v>18.446802740308151</v>
      </c>
      <c r="AN25" s="45">
        <f>VLOOKUP(Table6[[#This Row],[VBD]],BR:BT,3,FALSE)</f>
        <v>4</v>
      </c>
      <c r="AO25" s="60">
        <f>VLOOKUP(INDEX(ECR!$E:$E,MATCH(AD25,ECR!$C:$C,0)),RISK!A:B,2,FALSE())</f>
        <v>3.1565000000000012</v>
      </c>
      <c r="AP25" s="61"/>
      <c r="AQ25" s="47" t="s">
        <v>239</v>
      </c>
      <c r="AR25" s="47" t="str">
        <f>VLOOKUP(AQ25,ECR!E:L,8,FALSE())</f>
        <v>T.J. Hockenson</v>
      </c>
      <c r="AS25" s="47" t="str">
        <f>IFERROR(VLOOKUP(Table7[[#This Row],[PLAYER]],ECR!C:F,2,FALSE()),"-")</f>
        <v>MIN</v>
      </c>
      <c r="AT25" s="47">
        <f>IFERROR(VLOOKUP(Table7[[#This Row],[PLAYER]],ECR!C:F,4,FALSE()),"-")</f>
        <v>6</v>
      </c>
      <c r="AU25" s="47" t="str">
        <f>Table7[[#This Row],[Team]] &amp; "/" &amp; Table7[[#This Row],[Bye]]</f>
        <v>MIN/6</v>
      </c>
      <c r="AV25" s="57">
        <f>IFERROR(VLOOKUP(Table7[[#This Row],[PLAYER]],TE!A:K,9,FALSE())/17*(16-Table7[[#This Row],[Missed Games]]),0)</f>
        <v>73.488235294117644</v>
      </c>
      <c r="AW25" s="57">
        <f>IFERROR(VLOOKUP(Table7[[#This Row],[PLAYER]],TE!A:K,10,FALSE())/17*(16-Table7[[#This Row],[Missed Games]]),0)</f>
        <v>83.329999999999984</v>
      </c>
      <c r="AX25" s="57">
        <f>IFERROR(VLOOKUP(Table7[[#This Row],[PLAYER]],TE!A:K,11,FALSE())/17*(16-Table7[[#This Row],[Missed Games]]),0)</f>
        <v>97.17117647058825</v>
      </c>
      <c r="AY25" s="58">
        <f>AVERAGE(AVERAGE(Table7[[#This Row],[LOW]],Table7[[#This Row],[HIGH]]),Table7[[#This Row],[AVG]],VLOOKUP(Table7[[#This Row],[PLAYER]],ECR!L:N,3,FALSE))</f>
        <v>83.147745098039209</v>
      </c>
      <c r="AZ25" s="58">
        <f>Table7[[#This Row],[Zscore Projection]]-$AS$1</f>
        <v>-24.767101098039234</v>
      </c>
      <c r="BA25" s="59">
        <f>MAX(Table7[[#This Row],[VBD]]*Scoring!$B$48+1,1)</f>
        <v>1</v>
      </c>
      <c r="BB25" s="57">
        <f>VLOOKUP(Table7[[#This Row],[VBD]],BW:BY,3,FALSE)</f>
        <v>6</v>
      </c>
      <c r="BC25" s="60">
        <f>VLOOKUP(INDEX(ECR!$E:$E,MATCH(AR25,ECR!$C:$C,0)),RISK!A:B,2,FALSE())</f>
        <v>3</v>
      </c>
      <c r="BD25" s="57"/>
      <c r="BE25" s="61"/>
      <c r="BF25" s="91">
        <v>23</v>
      </c>
      <c r="BG25" s="61">
        <f t="shared" si="12"/>
        <v>218.14712705882351</v>
      </c>
      <c r="BH25" s="61">
        <f>IFERROR(LARGE($J$3:$J$52,23),"")</f>
        <v>-42.460695278431302</v>
      </c>
      <c r="BI25" s="61">
        <f t="shared" si="4"/>
        <v>-42.460484705882294</v>
      </c>
      <c r="BJ25" s="92">
        <f t="shared" si="5"/>
        <v>9</v>
      </c>
      <c r="BK25" s="91">
        <v>23</v>
      </c>
      <c r="BL25" s="61">
        <f t="shared" si="0"/>
        <v>162.35562649411764</v>
      </c>
      <c r="BM25" s="90">
        <f>IFERROR(LARGE($X$3:$X$102,23),"")</f>
        <v>44.863761329411759</v>
      </c>
      <c r="BN25" s="90">
        <f t="shared" si="6"/>
        <v>52.276942254901954</v>
      </c>
      <c r="BO25" s="92">
        <f t="shared" si="7"/>
        <v>5</v>
      </c>
      <c r="BP25" s="103">
        <v>23</v>
      </c>
      <c r="BQ25" s="61">
        <f t="shared" si="1"/>
        <v>144.33567829411763</v>
      </c>
      <c r="BR25" s="90">
        <f>IFERROR(LARGE($AL$3:$AL$102,23),"")</f>
        <v>31.275624824149901</v>
      </c>
      <c r="BS25" s="90">
        <f t="shared" si="8"/>
        <v>39.773163961404833</v>
      </c>
      <c r="BT25" s="92">
        <f t="shared" si="9"/>
        <v>4</v>
      </c>
      <c r="BU25" s="91">
        <v>23</v>
      </c>
      <c r="BV25" s="61">
        <f t="shared" si="2"/>
        <v>80.783529411764704</v>
      </c>
      <c r="BW25" s="90">
        <f>IFERROR(LARGE($AZ$3:$AZ$52,23),"")</f>
        <v>-27.521953852941195</v>
      </c>
      <c r="BX25" s="90">
        <f t="shared" si="10"/>
        <v>-20.11691737254904</v>
      </c>
      <c r="BY25" s="105">
        <f t="shared" si="11"/>
        <v>6</v>
      </c>
      <c r="BZ25" s="90"/>
      <c r="CA25" s="90"/>
      <c r="CB25" s="90"/>
      <c r="CC25" s="90"/>
      <c r="CD25" s="90"/>
      <c r="CE25" s="90"/>
      <c r="CF25" s="90"/>
      <c r="CG25" s="90"/>
    </row>
    <row r="26" spans="1:85" s="62" customFormat="1" ht="14.25" customHeight="1" x14ac:dyDescent="0.3">
      <c r="A26" s="56" t="s">
        <v>386</v>
      </c>
      <c r="B26" s="56" t="str">
        <f>VLOOKUP(A26,ECR!E:L,8,FALSE())</f>
        <v>Daniel Jones</v>
      </c>
      <c r="C26" s="46" t="str">
        <f>IFERROR(VLOOKUP(Table2[[#This Row],[PLAYER]],ECR!C:F,2,FALSE()),"-")</f>
        <v>IND</v>
      </c>
      <c r="D26" s="46">
        <f>IFERROR(VLOOKUP(Table2[[#This Row],[PLAYER]],ECR!C:F,4,FALSE()),"-")</f>
        <v>13</v>
      </c>
      <c r="E26" s="46" t="str">
        <f>Table2[[#This Row],[Team]] &amp; "/" &amp; Table2[[#This Row],[Bye]]</f>
        <v>IND/13</v>
      </c>
      <c r="F26" s="57">
        <f>IFERROR(VLOOKUP(Table2[[#This Row],[PLAYER]],QB!A:Q,15,FALSE())/17*(17-Table2[[#This Row],[Missed Games]]),0)</f>
        <v>194.92094117647059</v>
      </c>
      <c r="G26" s="57">
        <f>IFERROR(VLOOKUP(Table2[[#This Row],[PLAYER]],QB!A:Q,16,FALSE())/17*(17-Table2[[#This Row],[Missed Games]]),0)</f>
        <v>221.55494117647061</v>
      </c>
      <c r="H26" s="57">
        <f>IFERROR(VLOOKUP(Table2[[#This Row],[PLAYER]],QB!A:Q,17,FALSE())/17*(17-Table2[[#This Row],[Missed Games]]),0)</f>
        <v>258.28729411764704</v>
      </c>
      <c r="I26" s="58">
        <f>AVERAGE(AVERAGE(Table2[[#This Row],[LOW]],Table2[[#This Row],[HIGH]]),Table2[[#This Row],[AVG]],VLOOKUP(Table2[[#This Row],[PLAYER]],ECR!L:N,3,FALSE))</f>
        <v>219.8708</v>
      </c>
      <c r="J26" s="58">
        <f>Table2[[#This Row],[Zscore Projection]]-$C$1</f>
        <v>-42.460484705882294</v>
      </c>
      <c r="K26" s="59">
        <f>MAX(Table2[[#This Row],[VBD]]*Scoring!$B$48+1,1)</f>
        <v>1</v>
      </c>
      <c r="L26" s="45">
        <f>VLOOKUP(Table2[[#This Row],[VBD]],BH:BJ,3,FALSE)</f>
        <v>9</v>
      </c>
      <c r="M26" s="60">
        <f>VLOOKUP(INDEX(ECR!$E:$E,MATCH(B26,ECR!$C:$C,0)),RISK!A:B,2,FALSE())</f>
        <v>3.2</v>
      </c>
      <c r="N26" s="61"/>
      <c r="O26" s="45" t="s">
        <v>136</v>
      </c>
      <c r="P26" s="56" t="str">
        <f>VLOOKUP(O26,ECR!E:L,8,FALSE())</f>
        <v>Jadarian Price</v>
      </c>
      <c r="Q26" s="46" t="str">
        <f>IFERROR(VLOOKUP(Table4[[#This Row],[PLAYER]],ECR!C:F,2,FALSE()),"-")</f>
        <v>SEA</v>
      </c>
      <c r="R26" s="46">
        <f>IFERROR(VLOOKUP(Table4[[#This Row],[PLAYER]],ECR!C:F,4,FALSE()),"-")</f>
        <v>11</v>
      </c>
      <c r="S26" s="46" t="str">
        <f>Table4[[#This Row],[Team]] &amp; "/" &amp; Table4[[#This Row],[Bye]]</f>
        <v>SEA/11</v>
      </c>
      <c r="T26" s="57">
        <f>IFERROR(VLOOKUP(Table4[[#This Row],[PLAYER]],RB!A:Q,13,FALSE())/17*(17-Table4[[#This Row],[Missed Games]]),0)</f>
        <v>147.86986390588231</v>
      </c>
      <c r="U26" s="57">
        <f>IFERROR(VLOOKUP(Table4[[#This Row],[PLAYER]],RB!A:Q,14,FALSE())/17*(17-Table4[[#This Row],[Missed Games]]),0)</f>
        <v>162.35562649411764</v>
      </c>
      <c r="V26" s="57">
        <f>IFERROR(VLOOKUP(Table4[[#This Row],[PLAYER]],RB!A:Q,15,FALSE())/17*(17-Table4[[#This Row],[Missed Games]]),0)</f>
        <v>174.86492061176469</v>
      </c>
      <c r="W26" s="58">
        <f>AVERAGE(AVERAGE(Table4[[#This Row],[LOW]],Table4[[#This Row],[HIGH]]),Table4[[#This Row],[AVG]],VLOOKUP(Table4[[#This Row],[PLAYER]],ECR!L:N,3,FALSE))</f>
        <v>159.01823927058823</v>
      </c>
      <c r="X26" s="58">
        <f>Table4[[#This Row],[Zscore Projection]]-$Q$1</f>
        <v>44.863761329411759</v>
      </c>
      <c r="Y26" s="59">
        <f>MAX(Table4[[#This Row],[VBD]]*Scoring!$B$48+1,1)</f>
        <v>22.933990066530345</v>
      </c>
      <c r="Z26" s="45">
        <f>VLOOKUP(Table4[[#This Row],[VBD]],BM:BO,3,FALSE)</f>
        <v>5</v>
      </c>
      <c r="AA26" s="60">
        <f>VLOOKUP(INDEX(ECR!$E:$E,MATCH(P26,ECR!$C:$C,0)),RISK!A:B,2,FALSE())</f>
        <v>2.8228000000000009</v>
      </c>
      <c r="AB26" s="61"/>
      <c r="AC26" s="46" t="s">
        <v>172</v>
      </c>
      <c r="AD26" s="46" t="str">
        <f>VLOOKUP(AC26,ECR!E:L,8,FALSE())</f>
        <v>Terry McLaurin</v>
      </c>
      <c r="AE26" s="46" t="str">
        <f>IFERROR(VLOOKUP(Table6[[#This Row],[PLAYER]],ECR!C:F,2,FALSE()),"-")</f>
        <v>WAS</v>
      </c>
      <c r="AF26" s="46">
        <f>IFERROR(VLOOKUP(Table6[[#This Row],[PLAYER]],ECR!C:F,4,FALSE()),"-")</f>
        <v>7</v>
      </c>
      <c r="AG26" s="46" t="str">
        <f>Table6[[#This Row],[Team]] &amp; "/" &amp; Table6[[#This Row],[Bye]]</f>
        <v>WAS/7</v>
      </c>
      <c r="AH26" s="57">
        <f>IFERROR(VLOOKUP(Table6[[#This Row],[PLAYER]],WR!A:Q,13,FALSE())/17*(17-Table6[[#This Row],[Missed Games]]),0)</f>
        <v>129.22228588235294</v>
      </c>
      <c r="AI26" s="57">
        <f>IFERROR(VLOOKUP(Table6[[#This Row],[PLAYER]],WR!A:Q,14,FALSE())/17*(17-Table6[[#This Row],[Missed Games]]),0)</f>
        <v>142.15262635294116</v>
      </c>
      <c r="AJ26" s="57">
        <f>IFERROR(VLOOKUP(Table6[[#This Row],[PLAYER]],WR!A:Q,15,FALSE())/17*(17-Table6[[#This Row],[Missed Games]]),0)</f>
        <v>165.18226035294117</v>
      </c>
      <c r="AK26" s="58">
        <f>AVERAGE(AVERAGE(Table6[[#This Row],[LOW]],Table6[[#This Row],[HIGH]]),Table6[[#This Row],[AVG]],VLOOKUP(Table6[[#This Row],[PLAYER]],ECR!L:N,3,FALSE))</f>
        <v>143.83584194117645</v>
      </c>
      <c r="AL26" s="58">
        <f>Table6[[#This Row],[Zscore Projection]]-$AE$1</f>
        <v>29.131943951600874</v>
      </c>
      <c r="AM26" s="59">
        <f>MAX(Table6[[#This Row],[VBD]]*Scoring!$B$48+1,1)</f>
        <v>15.242670483230981</v>
      </c>
      <c r="AN26" s="45">
        <f>VLOOKUP(Table6[[#This Row],[VBD]],BR:BT,3,FALSE)</f>
        <v>4</v>
      </c>
      <c r="AO26" s="60">
        <f>VLOOKUP(INDEX(ECR!$E:$E,MATCH(AD26,ECR!$C:$C,0)),RISK!A:B,2,FALSE())</f>
        <v>3.2098000000000013</v>
      </c>
      <c r="AP26" s="61"/>
      <c r="AQ26" s="47" t="s">
        <v>225</v>
      </c>
      <c r="AR26" s="47" t="str">
        <f>VLOOKUP(AQ26,ECR!E:L,8,FALSE())</f>
        <v>Kenyon Sadiq</v>
      </c>
      <c r="AS26" s="47" t="str">
        <f>IFERROR(VLOOKUP(Table7[[#This Row],[PLAYER]],ECR!C:F,2,FALSE()),"-")</f>
        <v>NYJ</v>
      </c>
      <c r="AT26" s="47">
        <f>IFERROR(VLOOKUP(Table7[[#This Row],[PLAYER]],ECR!C:F,4,FALSE()),"-")</f>
        <v>13</v>
      </c>
      <c r="AU26" s="47" t="str">
        <f>Table7[[#This Row],[Team]] &amp; "/" &amp; Table7[[#This Row],[Bye]]</f>
        <v>NYJ/13</v>
      </c>
      <c r="AV26" s="57">
        <f>IFERROR(VLOOKUP(Table7[[#This Row],[PLAYER]],TE!A:K,9,FALSE())/17*(16-Table7[[#This Row],[Missed Games]]),0)</f>
        <v>69.741176470588243</v>
      </c>
      <c r="AW26" s="57">
        <f>IFERROR(VLOOKUP(Table7[[#This Row],[PLAYER]],TE!A:K,10,FALSE())/17*(16-Table7[[#This Row],[Missed Games]]),0)</f>
        <v>80.783529411764704</v>
      </c>
      <c r="AX26" s="57">
        <f>IFERROR(VLOOKUP(Table7[[#This Row],[PLAYER]],TE!A:K,11,FALSE())/17*(16-Table7[[#This Row],[Missed Games]]),0)</f>
        <v>97.469411764705882</v>
      </c>
      <c r="AY26" s="58">
        <f>AVERAGE(AVERAGE(Table7[[#This Row],[LOW]],Table7[[#This Row],[HIGH]]),Table7[[#This Row],[AVG]],VLOOKUP(Table7[[#This Row],[PLAYER]],ECR!L:N,3,FALSE))</f>
        <v>81.233663568627449</v>
      </c>
      <c r="AZ26" s="58">
        <f>Table7[[#This Row],[Zscore Projection]]-$AS$1</f>
        <v>-26.681182627450994</v>
      </c>
      <c r="BA26" s="59">
        <f>MAX(Table7[[#This Row],[VBD]]*Scoring!$B$48+1,1)</f>
        <v>1</v>
      </c>
      <c r="BB26" s="57">
        <f>VLOOKUP(Table7[[#This Row],[VBD]],BW:BY,3,FALSE)</f>
        <v>6</v>
      </c>
      <c r="BC26" s="60">
        <f>VLOOKUP(INDEX(ECR!$E:$E,MATCH(AR26,ECR!$C:$C,0)),RISK!A:B,2,FALSE())</f>
        <v>3</v>
      </c>
      <c r="BD26" s="57"/>
      <c r="BE26" s="61"/>
      <c r="BF26" s="91">
        <v>24</v>
      </c>
      <c r="BG26" s="61">
        <f t="shared" si="12"/>
        <v>211.45334117647059</v>
      </c>
      <c r="BH26" s="61">
        <f>IFERROR(LARGE($J$3:$J$52,24),"")</f>
        <v>-47.818410980392116</v>
      </c>
      <c r="BI26" s="61">
        <f t="shared" si="4"/>
        <v>-47.818410980392116</v>
      </c>
      <c r="BJ26" s="92">
        <f t="shared" si="5"/>
        <v>10</v>
      </c>
      <c r="BK26" s="91">
        <v>24</v>
      </c>
      <c r="BL26" s="61">
        <f t="shared" si="0"/>
        <v>153.33169905882355</v>
      </c>
      <c r="BM26" s="90">
        <f>IFERROR(LARGE($X$3:$X$102,24),"")</f>
        <v>43.961135862745138</v>
      </c>
      <c r="BN26" s="90">
        <f t="shared" si="6"/>
        <v>52.276942254901954</v>
      </c>
      <c r="BO26" s="92">
        <f t="shared" si="7"/>
        <v>5</v>
      </c>
      <c r="BP26" s="103">
        <v>24</v>
      </c>
      <c r="BQ26" s="61">
        <f t="shared" si="1"/>
        <v>142.15262635294116</v>
      </c>
      <c r="BR26" s="90">
        <f>IFERROR(LARGE($AL$3:$AL$102,24),"")</f>
        <v>29.131943951600874</v>
      </c>
      <c r="BS26" s="90">
        <f t="shared" si="8"/>
        <v>39.773163961404833</v>
      </c>
      <c r="BT26" s="92">
        <f t="shared" si="9"/>
        <v>4</v>
      </c>
      <c r="BU26" s="91">
        <v>24</v>
      </c>
      <c r="BV26" s="61">
        <f t="shared" si="2"/>
        <v>79.312167176470581</v>
      </c>
      <c r="BW26" s="90">
        <f>IFERROR(LARGE($AZ$3:$AZ$52,24),"")</f>
        <v>-28.16621874509805</v>
      </c>
      <c r="BX26" s="90">
        <f t="shared" si="10"/>
        <v>-20.11691737254904</v>
      </c>
      <c r="BY26" s="105">
        <f t="shared" si="11"/>
        <v>6</v>
      </c>
      <c r="BZ26" s="90"/>
      <c r="CA26" s="90"/>
      <c r="CB26" s="90"/>
      <c r="CC26" s="90"/>
      <c r="CD26" s="90"/>
      <c r="CE26" s="90"/>
      <c r="CF26" s="90"/>
      <c r="CG26" s="90"/>
    </row>
    <row r="27" spans="1:85" s="62" customFormat="1" ht="14.25" customHeight="1" x14ac:dyDescent="0.3">
      <c r="A27" s="56" t="s">
        <v>387</v>
      </c>
      <c r="B27" s="56" t="str">
        <f>VLOOKUP(A27,ECR!E:L,8,FALSE())</f>
        <v>Cam Ward</v>
      </c>
      <c r="C27" s="46" t="str">
        <f>IFERROR(VLOOKUP(Table2[[#This Row],[PLAYER]],ECR!C:F,2,FALSE()),"-")</f>
        <v>TEN</v>
      </c>
      <c r="D27" s="46">
        <f>IFERROR(VLOOKUP(Table2[[#This Row],[PLAYER]],ECR!C:F,4,FALSE()),"-")</f>
        <v>9</v>
      </c>
      <c r="E27" s="46" t="str">
        <f>Table2[[#This Row],[Team]] &amp; "/" &amp; Table2[[#This Row],[Bye]]</f>
        <v>TEN/9</v>
      </c>
      <c r="F27" s="57">
        <f>IFERROR(VLOOKUP(Table2[[#This Row],[PLAYER]],QB!A:Q,15,FALSE())/17*(17-Table2[[#This Row],[Missed Games]]),0)</f>
        <v>160.14494117647061</v>
      </c>
      <c r="G27" s="57">
        <f>IFERROR(VLOOKUP(Table2[[#This Row],[PLAYER]],QB!A:Q,16,FALSE())/17*(17-Table2[[#This Row],[Missed Games]]),0)</f>
        <v>188.28070588235295</v>
      </c>
      <c r="H27" s="57">
        <f>IFERROR(VLOOKUP(Table2[[#This Row],[PLAYER]],QB!A:Q,17,FALSE())/17*(17-Table2[[#This Row],[Missed Games]]),0)</f>
        <v>215.43910588235292</v>
      </c>
      <c r="I27" s="58">
        <f>AVERAGE(AVERAGE(Table2[[#This Row],[LOW]],Table2[[#This Row],[HIGH]]),Table2[[#This Row],[AVG]],VLOOKUP(Table2[[#This Row],[PLAYER]],ECR!L:N,3,FALSE))</f>
        <v>194.52696470588236</v>
      </c>
      <c r="J27" s="58">
        <f>Table2[[#This Row],[Zscore Projection]]-$C$1</f>
        <v>-67.804319999999933</v>
      </c>
      <c r="K27" s="59">
        <f>MAX(Table2[[#This Row],[VBD]]*Scoring!$B$48+1,1)</f>
        <v>1</v>
      </c>
      <c r="L27" s="45">
        <f>VLOOKUP(Table2[[#This Row],[VBD]],BH:BJ,3,FALSE)</f>
        <v>12</v>
      </c>
      <c r="M27" s="60">
        <f>VLOOKUP(INDEX(ECR!$E:$E,MATCH(B27,ECR!$C:$C,0)),RISK!A:B,2,FALSE())</f>
        <v>3.2</v>
      </c>
      <c r="N27" s="61"/>
      <c r="O27" s="45" t="s">
        <v>144</v>
      </c>
      <c r="P27" s="56" t="str">
        <f>VLOOKUP(O27,ECR!E:L,8,FALSE())</f>
        <v>TreVeyon Henderson</v>
      </c>
      <c r="Q27" s="46" t="str">
        <f>IFERROR(VLOOKUP(Table4[[#This Row],[PLAYER]],ECR!C:F,2,FALSE()),"-")</f>
        <v>NE</v>
      </c>
      <c r="R27" s="46">
        <f>IFERROR(VLOOKUP(Table4[[#This Row],[PLAYER]],ECR!C:F,4,FALSE()),"-")</f>
        <v>11</v>
      </c>
      <c r="S27" s="46" t="str">
        <f>Table4[[#This Row],[Team]] &amp; "/" &amp; Table4[[#This Row],[Bye]]</f>
        <v>NE/11</v>
      </c>
      <c r="T27" s="57">
        <f>IFERROR(VLOOKUP(Table4[[#This Row],[PLAYER]],RB!A:Q,13,FALSE())/17*(17-Table4[[#This Row],[Missed Games]]),0)</f>
        <v>137.43118235294119</v>
      </c>
      <c r="U27" s="57">
        <f>IFERROR(VLOOKUP(Table4[[#This Row],[PLAYER]],RB!A:Q,14,FALSE())/17*(17-Table4[[#This Row],[Missed Games]]),0)</f>
        <v>145.30579764705882</v>
      </c>
      <c r="V27" s="57">
        <f>IFERROR(VLOOKUP(Table4[[#This Row],[PLAYER]],RB!A:Q,15,FALSE())/17*(17-Table4[[#This Row],[Missed Games]]),0)</f>
        <v>153.86299058823528</v>
      </c>
      <c r="W27" s="58">
        <f>AVERAGE(AVERAGE(Table4[[#This Row],[LOW]],Table4[[#This Row],[HIGH]]),Table4[[#This Row],[AVG]],VLOOKUP(Table4[[#This Row],[PLAYER]],ECR!L:N,3,FALSE))</f>
        <v>145.4195605882353</v>
      </c>
      <c r="X27" s="58">
        <f>Table4[[#This Row],[Zscore Projection]]-$Q$1</f>
        <v>31.265082647058833</v>
      </c>
      <c r="Y27" s="59">
        <f>MAX(Table4[[#This Row],[VBD]]*Scoring!$B$48+1,1)</f>
        <v>16.28556661075725</v>
      </c>
      <c r="Z27" s="45">
        <f>VLOOKUP(Table4[[#This Row],[VBD]],BM:BO,3,FALSE)</f>
        <v>5</v>
      </c>
      <c r="AA27" s="60">
        <f>VLOOKUP(INDEX(ECR!$E:$E,MATCH(P27,ECR!$C:$C,0)),RISK!A:B,2,FALSE())</f>
        <v>2.8490000000000002</v>
      </c>
      <c r="AB27" s="61"/>
      <c r="AC27" s="46" t="s">
        <v>159</v>
      </c>
      <c r="AD27" s="46" t="str">
        <f>VLOOKUP(AC27,ECR!E:L,8,FALSE())</f>
        <v>Jameson Williams</v>
      </c>
      <c r="AE27" s="46" t="str">
        <f>IFERROR(VLOOKUP(Table6[[#This Row],[PLAYER]],ECR!C:F,2,FALSE()),"-")</f>
        <v>DET</v>
      </c>
      <c r="AF27" s="46">
        <f>IFERROR(VLOOKUP(Table6[[#This Row],[PLAYER]],ECR!C:F,4,FALSE()),"-")</f>
        <v>6</v>
      </c>
      <c r="AG27" s="46" t="str">
        <f>Table6[[#This Row],[Team]] &amp; "/" &amp; Table6[[#This Row],[Bye]]</f>
        <v>DET/6</v>
      </c>
      <c r="AH27" s="57">
        <f>IFERROR(VLOOKUP(Table6[[#This Row],[PLAYER]],WR!A:Q,13,FALSE())/17*(17-Table6[[#This Row],[Missed Games]]),0)</f>
        <v>138.62753676470587</v>
      </c>
      <c r="AI27" s="57">
        <f>IFERROR(VLOOKUP(Table6[[#This Row],[PLAYER]],WR!A:Q,14,FALSE())/17*(17-Table6[[#This Row],[Missed Games]]),0)</f>
        <v>149.71450735294115</v>
      </c>
      <c r="AJ27" s="57">
        <f>IFERROR(VLOOKUP(Table6[[#This Row],[PLAYER]],WR!A:Q,15,FALSE())/17*(17-Table6[[#This Row],[Missed Games]]),0)</f>
        <v>157.02770588235293</v>
      </c>
      <c r="AK27" s="58">
        <f>AVERAGE(AVERAGE(Table6[[#This Row],[LOW]],Table6[[#This Row],[HIGH]]),Table6[[#This Row],[AVG]],VLOOKUP(Table6[[#This Row],[PLAYER]],ECR!L:N,3,FALSE))</f>
        <v>145.97952281372548</v>
      </c>
      <c r="AL27" s="58">
        <f>Table6[[#This Row],[Zscore Projection]]-$AE$1</f>
        <v>31.275624824149901</v>
      </c>
      <c r="AM27" s="59">
        <f>MAX(Table6[[#This Row],[VBD]]*Scoring!$B$48+1,1)</f>
        <v>16.290720703966183</v>
      </c>
      <c r="AN27" s="45">
        <f>VLOOKUP(Table6[[#This Row],[VBD]],BR:BT,3,FALSE)</f>
        <v>4</v>
      </c>
      <c r="AO27" s="60">
        <f>VLOOKUP(INDEX(ECR!$E:$E,MATCH(AD27,ECR!$C:$C,0)),RISK!A:B,2,FALSE())</f>
        <v>3.2625000000000011</v>
      </c>
      <c r="AP27" s="61"/>
      <c r="AQ27" s="47" t="s">
        <v>221</v>
      </c>
      <c r="AR27" s="47" t="str">
        <f>VLOOKUP(AQ27,ECR!E:L,8,FALSE())</f>
        <v>Gunnar Helm</v>
      </c>
      <c r="AS27" s="47" t="str">
        <f>IFERROR(VLOOKUP(Table7[[#This Row],[PLAYER]],ECR!C:F,2,FALSE()),"-")</f>
        <v>TEN</v>
      </c>
      <c r="AT27" s="47">
        <f>IFERROR(VLOOKUP(Table7[[#This Row],[PLAYER]],ECR!C:F,4,FALSE()),"-")</f>
        <v>9</v>
      </c>
      <c r="AU27" s="47" t="str">
        <f>Table7[[#This Row],[Team]] &amp; "/" &amp; Table7[[#This Row],[Bye]]</f>
        <v>TEN/9</v>
      </c>
      <c r="AV27" s="57">
        <f>IFERROR(VLOOKUP(Table7[[#This Row],[PLAYER]],TE!A:K,9,FALSE())/17*(16-Table7[[#This Row],[Missed Games]]),0)</f>
        <v>58.805882352941175</v>
      </c>
      <c r="AW27" s="57">
        <f>IFERROR(VLOOKUP(Table7[[#This Row],[PLAYER]],TE!A:K,10,FALSE())/17*(16-Table7[[#This Row],[Missed Games]]),0)</f>
        <v>66.537058823529406</v>
      </c>
      <c r="AX27" s="57">
        <f>IFERROR(VLOOKUP(Table7[[#This Row],[PLAYER]],TE!A:K,11,FALSE())/17*(16-Table7[[#This Row],[Missed Games]]),0)</f>
        <v>75.354117647058828</v>
      </c>
      <c r="AY27" s="58">
        <f>AVERAGE(AVERAGE(Table7[[#This Row],[LOW]],Table7[[#This Row],[HIGH]]),Table7[[#This Row],[AVG]],VLOOKUP(Table7[[#This Row],[PLAYER]],ECR!L:N,3,FALSE))</f>
        <v>70.740203803921574</v>
      </c>
      <c r="AZ27" s="58">
        <f>Table7[[#This Row],[Zscore Projection]]-$AS$1</f>
        <v>-37.174642392156869</v>
      </c>
      <c r="BA27" s="59">
        <f>MAX(Table7[[#This Row],[VBD]]*Scoring!$B$48+1,1)</f>
        <v>1</v>
      </c>
      <c r="BB27" s="57">
        <f>VLOOKUP(Table7[[#This Row],[VBD]],BW:BY,3,FALSE)</f>
        <v>7</v>
      </c>
      <c r="BC27" s="60">
        <f>VLOOKUP(INDEX(ECR!$E:$E,MATCH(AR27,ECR!$C:$C,0)),RISK!A:B,2,FALSE())</f>
        <v>3</v>
      </c>
      <c r="BD27" s="57"/>
      <c r="BE27" s="61"/>
      <c r="BF27" s="91">
        <v>25</v>
      </c>
      <c r="BG27" s="61">
        <f t="shared" si="12"/>
        <v>207.50816470588234</v>
      </c>
      <c r="BH27" s="61">
        <f>IFERROR(LARGE($J$3:$J$52,25),"")</f>
        <v>-60.011378823529355</v>
      </c>
      <c r="BI27" s="61">
        <f t="shared" si="4"/>
        <v>-60.011378823529355</v>
      </c>
      <c r="BJ27" s="92">
        <f t="shared" si="5"/>
        <v>11</v>
      </c>
      <c r="BK27" s="91">
        <v>25</v>
      </c>
      <c r="BL27" s="61">
        <f t="shared" si="0"/>
        <v>145.30579764705882</v>
      </c>
      <c r="BM27" s="90">
        <f>IFERROR(LARGE($X$3:$X$102,25),"")</f>
        <v>31.265082647058833</v>
      </c>
      <c r="BN27" s="90">
        <f t="shared" si="6"/>
        <v>52.276942254901954</v>
      </c>
      <c r="BO27" s="92">
        <f t="shared" si="7"/>
        <v>5</v>
      </c>
      <c r="BP27" s="103">
        <v>25</v>
      </c>
      <c r="BQ27" s="61">
        <f t="shared" si="1"/>
        <v>140.39643976470586</v>
      </c>
      <c r="BR27" s="90">
        <f>IFERROR(LARGE($AL$3:$AL$102,25),"")</f>
        <v>28.707250088855773</v>
      </c>
      <c r="BS27" s="90">
        <f t="shared" si="8"/>
        <v>39.773163961404833</v>
      </c>
      <c r="BT27" s="92">
        <f t="shared" si="9"/>
        <v>4</v>
      </c>
      <c r="BU27" s="91">
        <v>25</v>
      </c>
      <c r="BV27" s="61">
        <f t="shared" si="2"/>
        <v>78.603552588235289</v>
      </c>
      <c r="BW27" s="90">
        <f>IFERROR(LARGE($AZ$3:$AZ$52,25),"")</f>
        <v>-29.118277568627462</v>
      </c>
      <c r="BX27" s="90">
        <f t="shared" si="10"/>
        <v>-20.11691737254904</v>
      </c>
      <c r="BY27" s="105">
        <f t="shared" si="11"/>
        <v>6</v>
      </c>
      <c r="BZ27" s="90"/>
      <c r="CA27" s="90"/>
      <c r="CB27" s="90"/>
      <c r="CC27" s="90"/>
      <c r="CD27" s="90"/>
      <c r="CE27" s="90"/>
      <c r="CF27" s="90"/>
      <c r="CG27" s="90"/>
    </row>
    <row r="28" spans="1:85" s="62" customFormat="1" ht="14.25" customHeight="1" x14ac:dyDescent="0.3">
      <c r="A28" s="56" t="s">
        <v>388</v>
      </c>
      <c r="B28" s="56" t="str">
        <f>VLOOKUP(A28,ECR!E:L,8,FALSE())</f>
        <v>Bryce Young</v>
      </c>
      <c r="C28" s="46" t="str">
        <f>IFERROR(VLOOKUP(Table2[[#This Row],[PLAYER]],ECR!C:F,2,FALSE()),"-")</f>
        <v>CAR</v>
      </c>
      <c r="D28" s="46">
        <f>IFERROR(VLOOKUP(Table2[[#This Row],[PLAYER]],ECR!C:F,4,FALSE()),"-")</f>
        <v>5</v>
      </c>
      <c r="E28" s="46" t="str">
        <f>Table2[[#This Row],[Team]] &amp; "/" &amp; Table2[[#This Row],[Bye]]</f>
        <v>CAR/5</v>
      </c>
      <c r="F28" s="57">
        <f>IFERROR(VLOOKUP(Table2[[#This Row],[PLAYER]],QB!A:Q,15,FALSE())/17*(17-Table2[[#This Row],[Missed Games]]),0)</f>
        <v>186.13764705882352</v>
      </c>
      <c r="G28" s="57">
        <f>IFERROR(VLOOKUP(Table2[[#This Row],[PLAYER]],QB!A:Q,16,FALSE())/17*(17-Table2[[#This Row],[Missed Games]]),0)</f>
        <v>207.50816470588234</v>
      </c>
      <c r="H28" s="57">
        <f>IFERROR(VLOOKUP(Table2[[#This Row],[PLAYER]],QB!A:Q,17,FALSE())/17*(17-Table2[[#This Row],[Missed Games]]),0)</f>
        <v>233.59990588235294</v>
      </c>
      <c r="I28" s="58">
        <f>AVERAGE(AVERAGE(Table2[[#This Row],[LOW]],Table2[[#This Row],[HIGH]]),Table2[[#This Row],[AVG]],VLOOKUP(Table2[[#This Row],[PLAYER]],ECR!L:N,3,FALSE))</f>
        <v>202.31990588235294</v>
      </c>
      <c r="J28" s="58">
        <f>Table2[[#This Row],[Zscore Projection]]-$C$1</f>
        <v>-60.011378823529355</v>
      </c>
      <c r="K28" s="59">
        <f>MAX(Table2[[#This Row],[VBD]]*Scoring!$B$48+1,1)</f>
        <v>1</v>
      </c>
      <c r="L28" s="45">
        <f>VLOOKUP(Table2[[#This Row],[VBD]],BH:BJ,3,FALSE)</f>
        <v>11</v>
      </c>
      <c r="M28" s="60">
        <f>VLOOKUP(INDEX(ECR!$E:$E,MATCH(B28,ECR!$C:$C,0)),RISK!A:B,2,FALSE())</f>
        <v>3.2</v>
      </c>
      <c r="N28" s="61"/>
      <c r="O28" s="45" t="s">
        <v>135</v>
      </c>
      <c r="P28" s="56" t="str">
        <f>VLOOKUP(O28,ECR!E:L,8,FALSE())</f>
        <v>Rhamondre Stevenson</v>
      </c>
      <c r="Q28" s="46" t="str">
        <f>IFERROR(VLOOKUP(Table4[[#This Row],[PLAYER]],ECR!C:F,2,FALSE()),"-")</f>
        <v>NE</v>
      </c>
      <c r="R28" s="46">
        <f>IFERROR(VLOOKUP(Table4[[#This Row],[PLAYER]],ECR!C:F,4,FALSE()),"-")</f>
        <v>11</v>
      </c>
      <c r="S28" s="46" t="str">
        <f>Table4[[#This Row],[Team]] &amp; "/" &amp; Table4[[#This Row],[Bye]]</f>
        <v>NE/11</v>
      </c>
      <c r="T28" s="57">
        <f>IFERROR(VLOOKUP(Table4[[#This Row],[PLAYER]],RB!A:Q,13,FALSE())/17*(17-Table4[[#This Row],[Missed Games]]),0)</f>
        <v>128.3586</v>
      </c>
      <c r="U28" s="57">
        <f>IFERROR(VLOOKUP(Table4[[#This Row],[PLAYER]],RB!A:Q,14,FALSE())/17*(17-Table4[[#This Row],[Missed Games]]),0)</f>
        <v>142.37419599999998</v>
      </c>
      <c r="V28" s="57">
        <f>IFERROR(VLOOKUP(Table4[[#This Row],[PLAYER]],RB!A:Q,15,FALSE())/17*(17-Table4[[#This Row],[Missed Games]]),0)</f>
        <v>152.01978399999999</v>
      </c>
      <c r="W28" s="58">
        <f>AVERAGE(AVERAGE(Table4[[#This Row],[LOW]],Table4[[#This Row],[HIGH]]),Table4[[#This Row],[AVG]],VLOOKUP(Table4[[#This Row],[PLAYER]],ECR!L:N,3,FALSE))</f>
        <v>142.519827372549</v>
      </c>
      <c r="X28" s="58">
        <f>Table4[[#This Row],[Zscore Projection]]-$Q$1</f>
        <v>28.365349431372536</v>
      </c>
      <c r="Y28" s="59">
        <f>MAX(Table4[[#This Row],[VBD]]*Scoring!$B$48+1,1)</f>
        <v>14.867880762229106</v>
      </c>
      <c r="Z28" s="45">
        <f>VLOOKUP(Table4[[#This Row],[VBD]],BM:BO,3,FALSE)</f>
        <v>6</v>
      </c>
      <c r="AA28" s="60">
        <f>VLOOKUP(INDEX(ECR!$E:$E,MATCH(P28,ECR!$C:$C,0)),RISK!A:B,2,FALSE())</f>
        <v>2.8764000000000003</v>
      </c>
      <c r="AB28" s="61"/>
      <c r="AC28" s="46" t="s">
        <v>174</v>
      </c>
      <c r="AD28" s="46" t="str">
        <f>VLOOKUP(AC28,ECR!E:L,8,FALSE())</f>
        <v>DJ Moore</v>
      </c>
      <c r="AE28" s="46" t="str">
        <f>IFERROR(VLOOKUP(Table6[[#This Row],[PLAYER]],ECR!C:F,2,FALSE()),"-")</f>
        <v>BUF</v>
      </c>
      <c r="AF28" s="46">
        <f>IFERROR(VLOOKUP(Table6[[#This Row],[PLAYER]],ECR!C:F,4,FALSE()),"-")</f>
        <v>7</v>
      </c>
      <c r="AG28" s="46" t="str">
        <f>Table6[[#This Row],[Team]] &amp; "/" &amp; Table6[[#This Row],[Bye]]</f>
        <v>BUF/7</v>
      </c>
      <c r="AH28" s="57">
        <f>IFERROR(VLOOKUP(Table6[[#This Row],[PLAYER]],WR!A:Q,13,FALSE())/17*(17-Table6[[#This Row],[Missed Games]]),0)</f>
        <v>122.76608823529412</v>
      </c>
      <c r="AI28" s="57">
        <f>IFERROR(VLOOKUP(Table6[[#This Row],[PLAYER]],WR!A:Q,14,FALSE())/17*(17-Table6[[#This Row],[Missed Games]]),0)</f>
        <v>139.92113964705882</v>
      </c>
      <c r="AJ28" s="57">
        <f>IFERROR(VLOOKUP(Table6[[#This Row],[PLAYER]],WR!A:Q,15,FALSE())/17*(17-Table6[[#This Row],[Missed Games]]),0)</f>
        <v>154.48401529411765</v>
      </c>
      <c r="AK28" s="58">
        <f>AVERAGE(AVERAGE(Table6[[#This Row],[LOW]],Table6[[#This Row],[HIGH]]),Table6[[#This Row],[AVG]],VLOOKUP(Table6[[#This Row],[PLAYER]],ECR!L:N,3,FALSE))</f>
        <v>139.4891103529412</v>
      </c>
      <c r="AL28" s="58">
        <f>Table6[[#This Row],[Zscore Projection]]-$AE$1</f>
        <v>24.785212363365616</v>
      </c>
      <c r="AM28" s="59">
        <f>MAX(Table6[[#This Row],[VBD]]*Scoring!$B$48+1,1)</f>
        <v>13.11754399688526</v>
      </c>
      <c r="AN28" s="45">
        <f>VLOOKUP(Table6[[#This Row],[VBD]],BR:BT,3,FALSE)</f>
        <v>4</v>
      </c>
      <c r="AO28" s="60">
        <f>VLOOKUP(INDEX(ECR!$E:$E,MATCH(AD28,ECR!$C:$C,0)),RISK!A:B,2,FALSE())</f>
        <v>3.3146000000000004</v>
      </c>
      <c r="AP28" s="61"/>
      <c r="AQ28" s="47" t="s">
        <v>237</v>
      </c>
      <c r="AR28" s="47" t="str">
        <f>VLOOKUP(AQ28,ECR!E:L,8,FALSE())</f>
        <v>Oronde Gadsden II</v>
      </c>
      <c r="AS28" s="47" t="str">
        <f>IFERROR(VLOOKUP(Table7[[#This Row],[PLAYER]],ECR!C:F,2,FALSE()),"-")</f>
        <v>LAC</v>
      </c>
      <c r="AT28" s="47">
        <f>IFERROR(VLOOKUP(Table7[[#This Row],[PLAYER]],ECR!C:F,4,FALSE()),"-")</f>
        <v>7</v>
      </c>
      <c r="AU28" s="47" t="str">
        <f>Table7[[#This Row],[Team]] &amp; "/" &amp; Table7[[#This Row],[Bye]]</f>
        <v>LAC/7</v>
      </c>
      <c r="AV28" s="57">
        <f>IFERROR(VLOOKUP(Table7[[#This Row],[PLAYER]],TE!A:K,9,FALSE())/17*(16-Table7[[#This Row],[Missed Games]]),0)</f>
        <v>43.832941176470584</v>
      </c>
      <c r="AW28" s="57">
        <f>IFERROR(VLOOKUP(Table7[[#This Row],[PLAYER]],TE!A:K,10,FALSE())/17*(16-Table7[[#This Row],[Missed Games]]),0)</f>
        <v>54.806470588235292</v>
      </c>
      <c r="AX28" s="57">
        <f>IFERROR(VLOOKUP(Table7[[#This Row],[PLAYER]],TE!A:K,11,FALSE())/17*(16-Table7[[#This Row],[Missed Games]]),0)</f>
        <v>68.82352941176471</v>
      </c>
      <c r="AY28" s="58">
        <f>AVERAGE(AVERAGE(Table7[[#This Row],[LOW]],Table7[[#This Row],[HIGH]]),Table7[[#This Row],[AVG]],VLOOKUP(Table7[[#This Row],[PLAYER]],ECR!L:N,3,FALSE))</f>
        <v>62.919999999999995</v>
      </c>
      <c r="AZ28" s="58">
        <f>Table7[[#This Row],[Zscore Projection]]-$AS$1</f>
        <v>-44.994846196078448</v>
      </c>
      <c r="BA28" s="59">
        <f>MAX(Table7[[#This Row],[VBD]]*Scoring!$B$48+1,1)</f>
        <v>1</v>
      </c>
      <c r="BB28" s="57">
        <f>VLOOKUP(Table7[[#This Row],[VBD]],BW:BY,3,FALSE)</f>
        <v>8</v>
      </c>
      <c r="BC28" s="60">
        <f>VLOOKUP(INDEX(ECR!$E:$E,MATCH(AR28,ECR!$C:$C,0)),RISK!A:B,2,FALSE())</f>
        <v>3</v>
      </c>
      <c r="BD28" s="57"/>
      <c r="BE28" s="61"/>
      <c r="BF28" s="91">
        <v>26</v>
      </c>
      <c r="BG28" s="61">
        <f t="shared" si="12"/>
        <v>189.58277647058824</v>
      </c>
      <c r="BH28" s="61">
        <f>IFERROR(LARGE($J$3:$J$52,26),"")</f>
        <v>-67.804319999999933</v>
      </c>
      <c r="BI28" s="61">
        <f t="shared" si="4"/>
        <v>-67.804319999999933</v>
      </c>
      <c r="BJ28" s="92">
        <f t="shared" si="5"/>
        <v>12</v>
      </c>
      <c r="BK28" s="91">
        <v>26</v>
      </c>
      <c r="BL28" s="61">
        <f t="shared" si="0"/>
        <v>144.99609411764706</v>
      </c>
      <c r="BM28" s="90">
        <f>IFERROR(LARGE($X$3:$X$102,26),"")</f>
        <v>29.817027098039219</v>
      </c>
      <c r="BN28" s="90">
        <f t="shared" si="6"/>
        <v>52.276942254901954</v>
      </c>
      <c r="BO28" s="92">
        <f t="shared" si="7"/>
        <v>5</v>
      </c>
      <c r="BP28" s="103">
        <v>26</v>
      </c>
      <c r="BQ28" s="61">
        <f t="shared" si="1"/>
        <v>139.92113964705882</v>
      </c>
      <c r="BR28" s="90">
        <f>IFERROR(LARGE($AL$3:$AL$102,26),"")</f>
        <v>24.785212363365616</v>
      </c>
      <c r="BS28" s="90">
        <f t="shared" si="8"/>
        <v>39.773163961404833</v>
      </c>
      <c r="BT28" s="92">
        <f t="shared" si="9"/>
        <v>4</v>
      </c>
      <c r="BU28" s="91">
        <v>26</v>
      </c>
      <c r="BV28" s="61">
        <f t="shared" si="2"/>
        <v>77.625294117647059</v>
      </c>
      <c r="BW28" s="90">
        <f>IFERROR(LARGE($AZ$3:$AZ$52,26),"")</f>
        <v>-31.555140313725502</v>
      </c>
      <c r="BX28" s="90">
        <f t="shared" si="10"/>
        <v>-31.555140313725502</v>
      </c>
      <c r="BY28" s="105">
        <f t="shared" si="11"/>
        <v>7</v>
      </c>
      <c r="BZ28" s="90"/>
      <c r="CA28" s="90"/>
      <c r="CB28" s="90"/>
      <c r="CC28" s="90"/>
      <c r="CD28" s="90"/>
      <c r="CE28" s="90"/>
      <c r="CF28" s="90"/>
      <c r="CG28" s="90"/>
    </row>
    <row r="29" spans="1:85" s="62" customFormat="1" ht="14.25" customHeight="1" x14ac:dyDescent="0.3">
      <c r="A29" s="56" t="s">
        <v>389</v>
      </c>
      <c r="B29" s="56" t="str">
        <f>VLOOKUP(A29,ECR!E:L,8,FALSE())</f>
        <v>Jacoby Brissett</v>
      </c>
      <c r="C29" s="46" t="str">
        <f>IFERROR(VLOOKUP(Table2[[#This Row],[PLAYER]],ECR!C:F,2,FALSE()),"-")</f>
        <v>ARI</v>
      </c>
      <c r="D29" s="46">
        <f>IFERROR(VLOOKUP(Table2[[#This Row],[PLAYER]],ECR!C:F,4,FALSE()),"-")</f>
        <v>14</v>
      </c>
      <c r="E29" s="46" t="str">
        <f>Table2[[#This Row],[Team]] &amp; "/" &amp; Table2[[#This Row],[Bye]]</f>
        <v>ARI/14</v>
      </c>
      <c r="F29" s="57">
        <f>IFERROR(VLOOKUP(Table2[[#This Row],[PLAYER]],QB!A:Q,15,FALSE())/17*(17-Table2[[#This Row],[Missed Games]]),0)</f>
        <v>157.05049411764708</v>
      </c>
      <c r="G29" s="57">
        <f>IFERROR(VLOOKUP(Table2[[#This Row],[PLAYER]],QB!A:Q,16,FALSE())/17*(17-Table2[[#This Row],[Missed Games]]),0)</f>
        <v>186.80167058823534</v>
      </c>
      <c r="H29" s="57">
        <f>IFERROR(VLOOKUP(Table2[[#This Row],[PLAYER]],QB!A:Q,17,FALSE())/17*(17-Table2[[#This Row],[Missed Games]]),0)</f>
        <v>216.18917647058831</v>
      </c>
      <c r="I29" s="58">
        <f>AVERAGE(AVERAGE(Table2[[#This Row],[LOW]],Table2[[#This Row],[HIGH]]),Table2[[#This Row],[AVG]],VLOOKUP(Table2[[#This Row],[PLAYER]],ECR!L:N,3,FALSE))</f>
        <v>187.23407058823531</v>
      </c>
      <c r="J29" s="58">
        <f>Table2[[#This Row],[Zscore Projection]]-$C$1</f>
        <v>-75.097214117646985</v>
      </c>
      <c r="K29" s="59">
        <f>MAX(Table2[[#This Row],[VBD]]*Scoring!$B$48+1,1)</f>
        <v>1</v>
      </c>
      <c r="L29" s="45">
        <f>VLOOKUP(Table2[[#This Row],[VBD]],BH:BJ,3,FALSE)</f>
        <v>13</v>
      </c>
      <c r="M29" s="60">
        <f>VLOOKUP(INDEX(ECR!$E:$E,MATCH(B29,ECR!$C:$C,0)),RISK!A:B,2,FALSE())</f>
        <v>3.2</v>
      </c>
      <c r="N29" s="61"/>
      <c r="O29" s="45" t="s">
        <v>141</v>
      </c>
      <c r="P29" s="56" t="str">
        <f>VLOOKUP(O29,ECR!E:L,8,FALSE())</f>
        <v>Jaylen Warren</v>
      </c>
      <c r="Q29" s="46" t="str">
        <f>IFERROR(VLOOKUP(Table4[[#This Row],[PLAYER]],ECR!C:F,2,FALSE()),"-")</f>
        <v>PIT</v>
      </c>
      <c r="R29" s="46">
        <f>IFERROR(VLOOKUP(Table4[[#This Row],[PLAYER]],ECR!C:F,4,FALSE()),"-")</f>
        <v>9</v>
      </c>
      <c r="S29" s="46" t="str">
        <f>Table4[[#This Row],[Team]] &amp; "/" &amp; Table4[[#This Row],[Bye]]</f>
        <v>PIT/9</v>
      </c>
      <c r="T29" s="57">
        <f>IFERROR(VLOOKUP(Table4[[#This Row],[PLAYER]],RB!A:Q,13,FALSE())/17*(17-Table4[[#This Row],[Missed Games]]),0)</f>
        <v>138.56214117647053</v>
      </c>
      <c r="U29" s="57">
        <f>IFERROR(VLOOKUP(Table4[[#This Row],[PLAYER]],RB!A:Q,14,FALSE())/17*(17-Table4[[#This Row],[Missed Games]]),0)</f>
        <v>144.99609411764706</v>
      </c>
      <c r="V29" s="57">
        <f>IFERROR(VLOOKUP(Table4[[#This Row],[PLAYER]],RB!A:Q,15,FALSE())/17*(17-Table4[[#This Row],[Missed Games]]),0)</f>
        <v>150.5263088235294</v>
      </c>
      <c r="W29" s="58">
        <f>AVERAGE(AVERAGE(Table4[[#This Row],[LOW]],Table4[[#This Row],[HIGH]]),Table4[[#This Row],[AVG]],VLOOKUP(Table4[[#This Row],[PLAYER]],ECR!L:N,3,FALSE))</f>
        <v>143.97150503921569</v>
      </c>
      <c r="X29" s="58">
        <f>Table4[[#This Row],[Zscore Projection]]-$Q$1</f>
        <v>29.817027098039219</v>
      </c>
      <c r="Y29" s="59">
        <f>MAX(Table4[[#This Row],[VBD]]*Scoring!$B$48+1,1)</f>
        <v>15.577609117073857</v>
      </c>
      <c r="Z29" s="45">
        <f>VLOOKUP(Table4[[#This Row],[VBD]],BM:BO,3,FALSE)</f>
        <v>5</v>
      </c>
      <c r="AA29" s="60">
        <f>VLOOKUP(INDEX(ECR!$E:$E,MATCH(P29,ECR!$C:$C,0)),RISK!A:B,2,FALSE())</f>
        <v>2.9050000000000011</v>
      </c>
      <c r="AB29" s="61"/>
      <c r="AC29" s="46" t="s">
        <v>177</v>
      </c>
      <c r="AD29" s="46" t="str">
        <f>VLOOKUP(AC29,ECR!E:L,8,FALSE())</f>
        <v>Christian Watson</v>
      </c>
      <c r="AE29" s="46" t="str">
        <f>IFERROR(VLOOKUP(Table6[[#This Row],[PLAYER]],ECR!C:F,2,FALSE()),"-")</f>
        <v>GB</v>
      </c>
      <c r="AF29" s="46">
        <f>IFERROR(VLOOKUP(Table6[[#This Row],[PLAYER]],ECR!C:F,4,FALSE()),"-")</f>
        <v>11</v>
      </c>
      <c r="AG29" s="46" t="str">
        <f>Table6[[#This Row],[Team]] &amp; "/" &amp; Table6[[#This Row],[Bye]]</f>
        <v>GB/11</v>
      </c>
      <c r="AH29" s="57">
        <f>IFERROR(VLOOKUP(Table6[[#This Row],[PLAYER]],WR!A:Q,13,FALSE())/17*(17-Table6[[#This Row],[Missed Games]]),0)</f>
        <v>124.93464364705882</v>
      </c>
      <c r="AI29" s="57">
        <f>IFERROR(VLOOKUP(Table6[[#This Row],[PLAYER]],WR!A:Q,14,FALSE())/17*(17-Table6[[#This Row],[Missed Games]]),0)</f>
        <v>134.53451323529413</v>
      </c>
      <c r="AJ29" s="57">
        <f>IFERROR(VLOOKUP(Table6[[#This Row],[PLAYER]],WR!A:Q,15,FALSE())/17*(17-Table6[[#This Row],[Missed Games]]),0)</f>
        <v>149.65210235294117</v>
      </c>
      <c r="AK29" s="58">
        <f>AVERAGE(AVERAGE(Table6[[#This Row],[LOW]],Table6[[#This Row],[HIGH]]),Table6[[#This Row],[AVG]],VLOOKUP(Table6[[#This Row],[PLAYER]],ECR!L:N,3,FALSE))</f>
        <v>136.94330541176473</v>
      </c>
      <c r="AL29" s="58">
        <f>Table6[[#This Row],[Zscore Projection]]-$AE$1</f>
        <v>22.239407422189146</v>
      </c>
      <c r="AM29" s="59">
        <f>MAX(Table6[[#This Row],[VBD]]*Scoring!$B$48+1,1)</f>
        <v>11.872894448197481</v>
      </c>
      <c r="AN29" s="45">
        <f>VLOOKUP(Table6[[#This Row],[VBD]],BR:BT,3,FALSE)</f>
        <v>4</v>
      </c>
      <c r="AO29" s="60">
        <f>VLOOKUP(INDEX(ECR!$E:$E,MATCH(AD29,ECR!$C:$C,0)),RISK!A:B,2,FALSE())</f>
        <v>3.3661000000000012</v>
      </c>
      <c r="AP29" s="61"/>
      <c r="AQ29" s="47" t="s">
        <v>217</v>
      </c>
      <c r="AR29" s="47" t="str">
        <f>VLOOKUP(AQ29,ECR!E:L,8,FALSE())</f>
        <v>Pat Freiermuth</v>
      </c>
      <c r="AS29" s="47" t="str">
        <f>IFERROR(VLOOKUP(Table7[[#This Row],[PLAYER]],ECR!C:F,2,FALSE()),"-")</f>
        <v>PIT</v>
      </c>
      <c r="AT29" s="47">
        <f>IFERROR(VLOOKUP(Table7[[#This Row],[PLAYER]],ECR!C:F,4,FALSE()),"-")</f>
        <v>9</v>
      </c>
      <c r="AU29" s="47" t="str">
        <f>Table7[[#This Row],[Team]] &amp; "/" &amp; Table7[[#This Row],[Bye]]</f>
        <v>PIT/9</v>
      </c>
      <c r="AV29" s="57">
        <f>IFERROR(VLOOKUP(Table7[[#This Row],[PLAYER]],TE!A:K,9,FALSE())/17*(16-Table7[[#This Row],[Missed Games]]),0)</f>
        <v>68.670588235294119</v>
      </c>
      <c r="AW29" s="57">
        <f>IFERROR(VLOOKUP(Table7[[#This Row],[PLAYER]],TE!A:K,10,FALSE())/17*(16-Table7[[#This Row],[Missed Games]]),0)</f>
        <v>82.481176470588238</v>
      </c>
      <c r="AX29" s="57">
        <f>IFERROR(VLOOKUP(Table7[[#This Row],[PLAYER]],TE!A:K,11,FALSE())/17*(16-Table7[[#This Row],[Missed Games]]),0)</f>
        <v>91.932941176470578</v>
      </c>
      <c r="AY29" s="58">
        <f>AVERAGE(AVERAGE(Table7[[#This Row],[LOW]],Table7[[#This Row],[HIGH]]),Table7[[#This Row],[AVG]],VLOOKUP(Table7[[#This Row],[PLAYER]],ECR!L:N,3,FALSE))</f>
        <v>79.748627450980393</v>
      </c>
      <c r="AZ29" s="58">
        <f>Table7[[#This Row],[Zscore Projection]]-$AS$1</f>
        <v>-28.16621874509805</v>
      </c>
      <c r="BA29" s="59">
        <f>MAX(Table7[[#This Row],[VBD]]*Scoring!$B$48+1,1)</f>
        <v>1</v>
      </c>
      <c r="BB29" s="57">
        <f>VLOOKUP(Table7[[#This Row],[VBD]],BW:BY,3,FALSE)</f>
        <v>6</v>
      </c>
      <c r="BC29" s="60">
        <f>VLOOKUP(INDEX(ECR!$E:$E,MATCH(AR29,ECR!$C:$C,0)),RISK!A:B,2,FALSE())</f>
        <v>3</v>
      </c>
      <c r="BD29" s="57"/>
      <c r="BE29" s="61"/>
      <c r="BF29" s="91">
        <v>27</v>
      </c>
      <c r="BG29" s="61">
        <f t="shared" si="12"/>
        <v>188.28070588235295</v>
      </c>
      <c r="BH29" s="61">
        <f>IFERROR(LARGE($J$3:$J$52,27),"")</f>
        <v>-75.097214117646985</v>
      </c>
      <c r="BI29" s="61">
        <f t="shared" si="4"/>
        <v>-75.097214117646985</v>
      </c>
      <c r="BJ29" s="92">
        <f t="shared" si="5"/>
        <v>13</v>
      </c>
      <c r="BK29" s="91">
        <v>27</v>
      </c>
      <c r="BL29" s="61">
        <f t="shared" si="0"/>
        <v>142.37419599999998</v>
      </c>
      <c r="BM29" s="90">
        <f>IFERROR(LARGE($X$3:$X$102,27),"")</f>
        <v>28.365349431372536</v>
      </c>
      <c r="BN29" s="90">
        <f t="shared" si="6"/>
        <v>28.365349431372536</v>
      </c>
      <c r="BO29" s="92">
        <f t="shared" si="7"/>
        <v>6</v>
      </c>
      <c r="BP29" s="103">
        <v>27</v>
      </c>
      <c r="BQ29" s="61">
        <f t="shared" si="1"/>
        <v>139.00203000000002</v>
      </c>
      <c r="BR29" s="90">
        <f>IFERROR(LARGE($AL$3:$AL$102,27),"")</f>
        <v>22.954111422189129</v>
      </c>
      <c r="BS29" s="90">
        <f t="shared" si="8"/>
        <v>39.773163961404833</v>
      </c>
      <c r="BT29" s="92">
        <f t="shared" si="9"/>
        <v>4</v>
      </c>
      <c r="BU29" s="91">
        <v>27</v>
      </c>
      <c r="BV29" s="61">
        <f t="shared" si="2"/>
        <v>76.462941176470594</v>
      </c>
      <c r="BW29" s="90">
        <f>IFERROR(LARGE($AZ$3:$AZ$52,27),"")</f>
        <v>-32.0636697254902</v>
      </c>
      <c r="BX29" s="90">
        <f t="shared" si="10"/>
        <v>-31.555140313725502</v>
      </c>
      <c r="BY29" s="105">
        <f t="shared" si="11"/>
        <v>7</v>
      </c>
      <c r="BZ29" s="90"/>
      <c r="CA29" s="90"/>
      <c r="CB29" s="90"/>
      <c r="CC29" s="90"/>
      <c r="CD29" s="90"/>
      <c r="CE29" s="90"/>
      <c r="CF29" s="90"/>
      <c r="CG29" s="90"/>
    </row>
    <row r="30" spans="1:85" s="62" customFormat="1" ht="14.25" customHeight="1" x14ac:dyDescent="0.3">
      <c r="A30" s="56" t="s">
        <v>390</v>
      </c>
      <c r="B30" s="56" t="str">
        <f>VLOOKUP(A30,ECR!E:L,8,FALSE())</f>
        <v>Aaron Rodgers</v>
      </c>
      <c r="C30" s="46" t="str">
        <f>IFERROR(VLOOKUP(Table2[[#This Row],[PLAYER]],ECR!C:F,2,FALSE()),"-")</f>
        <v>PIT</v>
      </c>
      <c r="D30" s="46">
        <f>IFERROR(VLOOKUP(Table2[[#This Row],[PLAYER]],ECR!C:F,4,FALSE()),"-")</f>
        <v>9</v>
      </c>
      <c r="E30" s="46" t="str">
        <f>Table2[[#This Row],[Team]] &amp; "/" &amp; Table2[[#This Row],[Bye]]</f>
        <v>PIT/9</v>
      </c>
      <c r="F30" s="57">
        <f>IFERROR(VLOOKUP(Table2[[#This Row],[PLAYER]],QB!A:Q,15,FALSE())/17*(17-Table2[[#This Row],[Missed Games]]),0)</f>
        <v>154.51129411764708</v>
      </c>
      <c r="G30" s="57">
        <f>IFERROR(VLOOKUP(Table2[[#This Row],[PLAYER]],QB!A:Q,16,FALSE())/17*(17-Table2[[#This Row],[Missed Games]]),0)</f>
        <v>182.14863529411764</v>
      </c>
      <c r="H30" s="57">
        <f>IFERROR(VLOOKUP(Table2[[#This Row],[PLAYER]],QB!A:Q,17,FALSE())/17*(17-Table2[[#This Row],[Missed Games]]),0)</f>
        <v>200.32080000000005</v>
      </c>
      <c r="I30" s="58">
        <f>AVERAGE(AVERAGE(Table2[[#This Row],[LOW]],Table2[[#This Row],[HIGH]]),Table2[[#This Row],[AVG]],VLOOKUP(Table2[[#This Row],[PLAYER]],ECR!L:N,3,FALSE))</f>
        <v>182.12211764705884</v>
      </c>
      <c r="J30" s="58">
        <f>Table2[[#This Row],[Zscore Projection]]-$C$1</f>
        <v>-80.209167058823454</v>
      </c>
      <c r="K30" s="59">
        <f>MAX(Table2[[#This Row],[VBD]]*Scoring!$B$48+1,1)</f>
        <v>1</v>
      </c>
      <c r="L30" s="45">
        <f>VLOOKUP(Table2[[#This Row],[VBD]],BH:BJ,3,FALSE)</f>
        <v>14</v>
      </c>
      <c r="M30" s="60">
        <f>VLOOKUP(INDEX(ECR!$E:$E,MATCH(B30,ECR!$C:$C,0)),RISK!A:B,2,FALSE())</f>
        <v>3.2</v>
      </c>
      <c r="N30" s="61"/>
      <c r="O30" s="45" t="s">
        <v>147</v>
      </c>
      <c r="P30" s="56" t="str">
        <f>VLOOKUP(O30,ECR!E:L,8,FALSE())</f>
        <v>Tony Pollard</v>
      </c>
      <c r="Q30" s="46" t="str">
        <f>IFERROR(VLOOKUP(Table4[[#This Row],[PLAYER]],ECR!C:F,2,FALSE()),"-")</f>
        <v>TEN</v>
      </c>
      <c r="R30" s="46">
        <f>IFERROR(VLOOKUP(Table4[[#This Row],[PLAYER]],ECR!C:F,4,FALSE()),"-")</f>
        <v>9</v>
      </c>
      <c r="S30" s="46" t="str">
        <f>Table4[[#This Row],[Team]] &amp; "/" &amp; Table4[[#This Row],[Bye]]</f>
        <v>TEN/9</v>
      </c>
      <c r="T30" s="57">
        <f>IFERROR(VLOOKUP(Table4[[#This Row],[PLAYER]],RB!A:Q,13,FALSE())/17*(17-Table4[[#This Row],[Missed Games]]),0)</f>
        <v>129.14335694117645</v>
      </c>
      <c r="U30" s="57">
        <f>IFERROR(VLOOKUP(Table4[[#This Row],[PLAYER]],RB!A:Q,14,FALSE())/17*(17-Table4[[#This Row],[Missed Games]]),0)</f>
        <v>142.14125647058825</v>
      </c>
      <c r="V30" s="57">
        <f>IFERROR(VLOOKUP(Table4[[#This Row],[PLAYER]],RB!A:Q,15,FALSE())/17*(17-Table4[[#This Row],[Missed Games]]),0)</f>
        <v>153.72436235294114</v>
      </c>
      <c r="W30" s="58">
        <f>AVERAGE(AVERAGE(Table4[[#This Row],[LOW]],Table4[[#This Row],[HIGH]]),Table4[[#This Row],[AVG]],VLOOKUP(Table4[[#This Row],[PLAYER]],ECR!L:N,3,FALSE))</f>
        <v>141.90545752941176</v>
      </c>
      <c r="X30" s="58">
        <f>Table4[[#This Row],[Zscore Projection]]-$Q$1</f>
        <v>27.750979588235296</v>
      </c>
      <c r="Y30" s="59">
        <f>MAX(Table4[[#This Row],[VBD]]*Scoring!$B$48+1,1)</f>
        <v>14.567514015499965</v>
      </c>
      <c r="Z30" s="45">
        <f>VLOOKUP(Table4[[#This Row],[VBD]],BM:BO,3,FALSE)</f>
        <v>6</v>
      </c>
      <c r="AA30" s="60">
        <f>VLOOKUP(INDEX(ECR!$E:$E,MATCH(P30,ECR!$C:$C,0)),RISK!A:B,2,FALSE())</f>
        <v>2.934800000000001</v>
      </c>
      <c r="AB30" s="61"/>
      <c r="AC30" s="46" t="s">
        <v>179</v>
      </c>
      <c r="AD30" s="46" t="str">
        <f>VLOOKUP(AC30,ECR!E:L,8,FALSE())</f>
        <v>Rome Odunze</v>
      </c>
      <c r="AE30" s="46" t="str">
        <f>IFERROR(VLOOKUP(Table6[[#This Row],[PLAYER]],ECR!C:F,2,FALSE()),"-")</f>
        <v>CHI</v>
      </c>
      <c r="AF30" s="46">
        <f>IFERROR(VLOOKUP(Table6[[#This Row],[PLAYER]],ECR!C:F,4,FALSE()),"-")</f>
        <v>10</v>
      </c>
      <c r="AG30" s="46" t="str">
        <f>Table6[[#This Row],[Team]] &amp; "/" &amp; Table6[[#This Row],[Bye]]</f>
        <v>CHI/10</v>
      </c>
      <c r="AH30" s="57">
        <f>IFERROR(VLOOKUP(Table6[[#This Row],[PLAYER]],WR!A:Q,13,FALSE())/17*(17-Table6[[#This Row],[Missed Games]]),0)</f>
        <v>129.71765000000002</v>
      </c>
      <c r="AI30" s="57">
        <f>IFERROR(VLOOKUP(Table6[[#This Row],[PLAYER]],WR!A:Q,14,FALSE())/17*(17-Table6[[#This Row],[Missed Games]]),0)</f>
        <v>139.00203000000002</v>
      </c>
      <c r="AJ30" s="57">
        <f>IFERROR(VLOOKUP(Table6[[#This Row],[PLAYER]],WR!A:Q,15,FALSE())/17*(17-Table6[[#This Row],[Missed Games]]),0)</f>
        <v>149.15732000000003</v>
      </c>
      <c r="AK30" s="58">
        <f>AVERAGE(AVERAGE(Table6[[#This Row],[LOW]],Table6[[#This Row],[HIGH]]),Table6[[#This Row],[AVG]],VLOOKUP(Table6[[#This Row],[PLAYER]],ECR!L:N,3,FALSE))</f>
        <v>137.65800941176471</v>
      </c>
      <c r="AL30" s="58">
        <f>Table6[[#This Row],[Zscore Projection]]-$AE$1</f>
        <v>22.954111422189129</v>
      </c>
      <c r="AM30" s="59">
        <f>MAX(Table6[[#This Row],[VBD]]*Scoring!$B$48+1,1)</f>
        <v>12.22231478149067</v>
      </c>
      <c r="AN30" s="45">
        <f>VLOOKUP(Table6[[#This Row],[VBD]],BR:BT,3,FALSE)</f>
        <v>4</v>
      </c>
      <c r="AO30" s="60">
        <f>VLOOKUP(INDEX(ECR!$E:$E,MATCH(AD30,ECR!$C:$C,0)),RISK!A:B,2,FALSE())</f>
        <v>3.4169999999999998</v>
      </c>
      <c r="AP30" s="61"/>
      <c r="AQ30" s="47" t="s">
        <v>227</v>
      </c>
      <c r="AR30" s="47" t="str">
        <f>VLOOKUP(AQ30,ECR!E:L,8,FALSE())</f>
        <v>Cade Otton</v>
      </c>
      <c r="AS30" s="47" t="str">
        <f>IFERROR(VLOOKUP(Table7[[#This Row],[PLAYER]],ECR!C:F,2,FALSE()),"-")</f>
        <v>TB</v>
      </c>
      <c r="AT30" s="47">
        <f>IFERROR(VLOOKUP(Table7[[#This Row],[PLAYER]],ECR!C:F,4,FALSE()),"-")</f>
        <v>10</v>
      </c>
      <c r="AU30" s="47" t="str">
        <f>Table7[[#This Row],[Team]] &amp; "/" &amp; Table7[[#This Row],[Bye]]</f>
        <v>TB/10</v>
      </c>
      <c r="AV30" s="57">
        <f>IFERROR(VLOOKUP(Table7[[#This Row],[PLAYER]],TE!A:K,9,FALSE())/17*(16-Table7[[#This Row],[Missed Games]]),0)</f>
        <v>60.771176470588237</v>
      </c>
      <c r="AW30" s="57">
        <f>IFERROR(VLOOKUP(Table7[[#This Row],[PLAYER]],TE!A:K,10,FALSE())/17*(16-Table7[[#This Row],[Missed Games]]),0)</f>
        <v>77.625294117647059</v>
      </c>
      <c r="AX30" s="57">
        <f>IFERROR(VLOOKUP(Table7[[#This Row],[PLAYER]],TE!A:K,11,FALSE())/17*(16-Table7[[#This Row],[Missed Games]]),0)</f>
        <v>97.95882352941176</v>
      </c>
      <c r="AY30" s="58">
        <f>AVERAGE(AVERAGE(Table7[[#This Row],[LOW]],Table7[[#This Row],[HIGH]]),Table7[[#This Row],[AVG]],VLOOKUP(Table7[[#This Row],[PLAYER]],ECR!L:N,3,FALSE))</f>
        <v>76.359705882352941</v>
      </c>
      <c r="AZ30" s="58">
        <f>Table7[[#This Row],[Zscore Projection]]-$AS$1</f>
        <v>-31.555140313725502</v>
      </c>
      <c r="BA30" s="59">
        <f>MAX(Table7[[#This Row],[VBD]]*Scoring!$B$48+1,1)</f>
        <v>1</v>
      </c>
      <c r="BB30" s="57">
        <f>VLOOKUP(Table7[[#This Row],[VBD]],BW:BY,3,FALSE)</f>
        <v>7</v>
      </c>
      <c r="BC30" s="60">
        <f>VLOOKUP(INDEX(ECR!$E:$E,MATCH(AR30,ECR!$C:$C,0)),RISK!A:B,2,FALSE())</f>
        <v>3</v>
      </c>
      <c r="BD30" s="57"/>
      <c r="BE30" s="61"/>
      <c r="BF30" s="91">
        <v>28</v>
      </c>
      <c r="BG30" s="61">
        <f t="shared" si="12"/>
        <v>186.80167058823534</v>
      </c>
      <c r="BH30" s="61">
        <f>IFERROR(LARGE($J$3:$J$52,28),"")</f>
        <v>-75.694131764705816</v>
      </c>
      <c r="BI30" s="61">
        <f t="shared" si="4"/>
        <v>-75.097214117646985</v>
      </c>
      <c r="BJ30" s="92">
        <f t="shared" si="5"/>
        <v>13</v>
      </c>
      <c r="BK30" s="91">
        <v>28</v>
      </c>
      <c r="BL30" s="61">
        <f t="shared" si="0"/>
        <v>142.14125647058825</v>
      </c>
      <c r="BM30" s="90">
        <f>IFERROR(LARGE($X$3:$X$102,28),"")</f>
        <v>27.750979588235296</v>
      </c>
      <c r="BN30" s="90">
        <f t="shared" si="6"/>
        <v>28.365349431372536</v>
      </c>
      <c r="BO30" s="92">
        <f t="shared" si="7"/>
        <v>6</v>
      </c>
      <c r="BP30" s="103">
        <v>28</v>
      </c>
      <c r="BQ30" s="61">
        <f t="shared" si="1"/>
        <v>134.53451323529413</v>
      </c>
      <c r="BR30" s="90">
        <f>IFERROR(LARGE($AL$3:$AL$102,28),"")</f>
        <v>22.239407422189146</v>
      </c>
      <c r="BS30" s="90">
        <f t="shared" si="8"/>
        <v>39.773163961404833</v>
      </c>
      <c r="BT30" s="92">
        <f t="shared" si="9"/>
        <v>4</v>
      </c>
      <c r="BU30" s="91">
        <v>28</v>
      </c>
      <c r="BV30" s="61">
        <f t="shared" si="2"/>
        <v>72.088823529411755</v>
      </c>
      <c r="BW30" s="90">
        <f>IFERROR(LARGE($AZ$3:$AZ$52,28),"")</f>
        <v>-37.174642392156869</v>
      </c>
      <c r="BX30" s="90">
        <f t="shared" si="10"/>
        <v>-31.555140313725502</v>
      </c>
      <c r="BY30" s="105">
        <f t="shared" si="11"/>
        <v>7</v>
      </c>
      <c r="BZ30" s="90"/>
      <c r="CA30" s="90"/>
      <c r="CB30" s="90"/>
      <c r="CC30" s="90"/>
      <c r="CD30" s="90"/>
      <c r="CE30" s="90"/>
      <c r="CF30" s="90"/>
      <c r="CG30" s="90"/>
    </row>
    <row r="31" spans="1:85" s="62" customFormat="1" ht="14.25" customHeight="1" x14ac:dyDescent="0.3">
      <c r="A31" s="56" t="s">
        <v>391</v>
      </c>
      <c r="B31" s="56" t="str">
        <f>VLOOKUP(A31,ECR!E:L,8,FALSE())</f>
        <v>Geno Smith</v>
      </c>
      <c r="C31" s="46" t="str">
        <f>IFERROR(VLOOKUP(Table2[[#This Row],[PLAYER]],ECR!C:F,2,FALSE()),"-")</f>
        <v>NYJ</v>
      </c>
      <c r="D31" s="46">
        <f>IFERROR(VLOOKUP(Table2[[#This Row],[PLAYER]],ECR!C:F,4,FALSE()),"-")</f>
        <v>13</v>
      </c>
      <c r="E31" s="46" t="str">
        <f>Table2[[#This Row],[Team]] &amp; "/" &amp; Table2[[#This Row],[Bye]]</f>
        <v>NYJ/13</v>
      </c>
      <c r="F31" s="57">
        <f>IFERROR(VLOOKUP(Table2[[#This Row],[PLAYER]],QB!A:Q,15,FALSE())/17*(17-Table2[[#This Row],[Missed Games]]),0)</f>
        <v>161.20023529411765</v>
      </c>
      <c r="G31" s="57">
        <f>IFERROR(VLOOKUP(Table2[[#This Row],[PLAYER]],QB!A:Q,16,FALSE())/17*(17-Table2[[#This Row],[Missed Games]]),0)</f>
        <v>189.58277647058824</v>
      </c>
      <c r="H31" s="57">
        <f>IFERROR(VLOOKUP(Table2[[#This Row],[PLAYER]],QB!A:Q,17,FALSE())/17*(17-Table2[[#This Row],[Missed Games]]),0)</f>
        <v>215.15985882352945</v>
      </c>
      <c r="I31" s="58">
        <f>AVERAGE(AVERAGE(Table2[[#This Row],[LOW]],Table2[[#This Row],[HIGH]]),Table2[[#This Row],[AVG]],VLOOKUP(Table2[[#This Row],[PLAYER]],ECR!L:N,3,FALSE))</f>
        <v>186.63715294117648</v>
      </c>
      <c r="J31" s="58">
        <f>Table2[[#This Row],[Zscore Projection]]-$C$1</f>
        <v>-75.694131764705816</v>
      </c>
      <c r="K31" s="59">
        <f>MAX(Table2[[#This Row],[VBD]]*Scoring!$B$48+1,1)</f>
        <v>1</v>
      </c>
      <c r="L31" s="45">
        <f>VLOOKUP(Table2[[#This Row],[VBD]],BH:BJ,3,FALSE)</f>
        <v>13</v>
      </c>
      <c r="M31" s="60">
        <f>VLOOKUP(INDEX(ECR!$E:$E,MATCH(B31,ECR!$C:$C,0)),RISK!A:B,2,FALSE())</f>
        <v>3.2</v>
      </c>
      <c r="N31" s="61"/>
      <c r="O31" s="45" t="s">
        <v>145</v>
      </c>
      <c r="P31" s="56" t="str">
        <f>VLOOKUP(O31,ECR!E:L,8,FALSE())</f>
        <v>Rico Dowdle</v>
      </c>
      <c r="Q31" s="46" t="str">
        <f>IFERROR(VLOOKUP(Table4[[#This Row],[PLAYER]],ECR!C:F,2,FALSE()),"-")</f>
        <v>PIT</v>
      </c>
      <c r="R31" s="46">
        <f>IFERROR(VLOOKUP(Table4[[#This Row],[PLAYER]],ECR!C:F,4,FALSE()),"-")</f>
        <v>9</v>
      </c>
      <c r="S31" s="46" t="str">
        <f>Table4[[#This Row],[Team]] &amp; "/" &amp; Table4[[#This Row],[Bye]]</f>
        <v>PIT/9</v>
      </c>
      <c r="T31" s="57">
        <f>IFERROR(VLOOKUP(Table4[[#This Row],[PLAYER]],RB!A:Q,13,FALSE())/17*(17-Table4[[#This Row],[Missed Games]]),0)</f>
        <v>123.00563529411767</v>
      </c>
      <c r="U31" s="57">
        <f>IFERROR(VLOOKUP(Table4[[#This Row],[PLAYER]],RB!A:Q,14,FALSE())/17*(17-Table4[[#This Row],[Missed Games]]),0)</f>
        <v>136.24731576470586</v>
      </c>
      <c r="V31" s="57">
        <f>IFERROR(VLOOKUP(Table4[[#This Row],[PLAYER]],RB!A:Q,15,FALSE())/17*(17-Table4[[#This Row],[Missed Games]]),0)</f>
        <v>156.10158105882351</v>
      </c>
      <c r="W31" s="58">
        <f>AVERAGE(AVERAGE(Table4[[#This Row],[LOW]],Table4[[#This Row],[HIGH]]),Table4[[#This Row],[AVG]],VLOOKUP(Table4[[#This Row],[PLAYER]],ECR!L:N,3,FALSE))</f>
        <v>137.54796766666666</v>
      </c>
      <c r="X31" s="58">
        <f>Table4[[#This Row],[Zscore Projection]]-$Q$1</f>
        <v>23.393489725490198</v>
      </c>
      <c r="Y31" s="59">
        <f>MAX(Table4[[#This Row],[VBD]]*Scoring!$B$48+1,1)</f>
        <v>12.437127785449315</v>
      </c>
      <c r="Z31" s="45">
        <f>VLOOKUP(Table4[[#This Row],[VBD]],BM:BO,3,FALSE)</f>
        <v>6</v>
      </c>
      <c r="AA31" s="60">
        <f>VLOOKUP(INDEX(ECR!$E:$E,MATCH(P31,ECR!$C:$C,0)),RISK!A:B,2,FALSE())</f>
        <v>2.9657999999999998</v>
      </c>
      <c r="AB31" s="61"/>
      <c r="AC31" s="46" t="s">
        <v>176</v>
      </c>
      <c r="AD31" s="46" t="str">
        <f>VLOOKUP(AC31,ECR!E:L,8,FALSE())</f>
        <v>Mike Evans</v>
      </c>
      <c r="AE31" s="46" t="str">
        <f>IFERROR(VLOOKUP(Table6[[#This Row],[PLAYER]],ECR!C:F,2,FALSE()),"-")</f>
        <v>SF</v>
      </c>
      <c r="AF31" s="46">
        <f>IFERROR(VLOOKUP(Table6[[#This Row],[PLAYER]],ECR!C:F,4,FALSE()),"-")</f>
        <v>8</v>
      </c>
      <c r="AG31" s="46" t="str">
        <f>Table6[[#This Row],[Team]] &amp; "/" &amp; Table6[[#This Row],[Bye]]</f>
        <v>SF/8</v>
      </c>
      <c r="AH31" s="57">
        <f>IFERROR(VLOOKUP(Table6[[#This Row],[PLAYER]],WR!A:Q,13,FALSE())/17*(17-Table6[[#This Row],[Missed Games]]),0)</f>
        <v>120.39326752941173</v>
      </c>
      <c r="AI31" s="57">
        <f>IFERROR(VLOOKUP(Table6[[#This Row],[PLAYER]],WR!A:Q,14,FALSE())/17*(17-Table6[[#This Row],[Missed Games]]),0)</f>
        <v>129.83431588235291</v>
      </c>
      <c r="AJ31" s="57">
        <f>IFERROR(VLOOKUP(Table6[[#This Row],[PLAYER]],WR!A:Q,15,FALSE())/17*(17-Table6[[#This Row],[Missed Games]]),0)</f>
        <v>136.91908235294116</v>
      </c>
      <c r="AK31" s="58">
        <f>AVERAGE(AVERAGE(Table6[[#This Row],[LOW]],Table6[[#This Row],[HIGH]]),Table6[[#This Row],[AVG]],VLOOKUP(Table6[[#This Row],[PLAYER]],ECR!L:N,3,FALSE))</f>
        <v>129.44160223529411</v>
      </c>
      <c r="AL31" s="58">
        <f>Table6[[#This Row],[Zscore Projection]]-$AE$1</f>
        <v>14.737704245718533</v>
      </c>
      <c r="AM31" s="59">
        <f>MAX(Table6[[#This Row],[VBD]]*Scoring!$B$48+1,1)</f>
        <v>8.2052955202650821</v>
      </c>
      <c r="AN31" s="45">
        <f>VLOOKUP(Table6[[#This Row],[VBD]],BR:BT,3,FALSE)</f>
        <v>5</v>
      </c>
      <c r="AO31" s="60">
        <f>VLOOKUP(INDEX(ECR!$E:$E,MATCH(AD31,ECR!$C:$C,0)),RISK!A:B,2,FALSE())</f>
        <v>3.4673000000000016</v>
      </c>
      <c r="AP31" s="61"/>
      <c r="AQ31" s="47" t="s">
        <v>257</v>
      </c>
      <c r="AR31" s="47" t="str">
        <f>VLOOKUP(AQ31,ECR!E:L,8,FALSE())</f>
        <v>Evan Engram</v>
      </c>
      <c r="AS31" s="47" t="str">
        <f>IFERROR(VLOOKUP(Table7[[#This Row],[PLAYER]],ECR!C:F,2,FALSE()),"-")</f>
        <v>DEN</v>
      </c>
      <c r="AT31" s="47">
        <f>IFERROR(VLOOKUP(Table7[[#This Row],[PLAYER]],ECR!C:F,4,FALSE()),"-")</f>
        <v>10</v>
      </c>
      <c r="AU31" s="47" t="str">
        <f>Table7[[#This Row],[Team]] &amp; "/" &amp; Table7[[#This Row],[Bye]]</f>
        <v>DEN/10</v>
      </c>
      <c r="AV31" s="57">
        <f>IFERROR(VLOOKUP(Table7[[#This Row],[PLAYER]],TE!A:K,9,FALSE())/17*(16-Table7[[#This Row],[Missed Games]]),0)</f>
        <v>63.233529411764721</v>
      </c>
      <c r="AW31" s="57">
        <f>IFERROR(VLOOKUP(Table7[[#This Row],[PLAYER]],TE!A:K,10,FALSE())/17*(16-Table7[[#This Row],[Missed Games]]),0)</f>
        <v>69.037647058823524</v>
      </c>
      <c r="AX31" s="57">
        <f>IFERROR(VLOOKUP(Table7[[#This Row],[PLAYER]],TE!A:K,11,FALSE())/17*(16-Table7[[#This Row],[Missed Games]]),0)</f>
        <v>72.570588235294125</v>
      </c>
      <c r="AY31" s="58">
        <f>AVERAGE(AVERAGE(Table7[[#This Row],[LOW]],Table7[[#This Row],[HIGH]]),Table7[[#This Row],[AVG]],VLOOKUP(Table7[[#This Row],[PLAYER]],ECR!L:N,3,FALSE))</f>
        <v>68.659117647058821</v>
      </c>
      <c r="AZ31" s="58">
        <f>Table7[[#This Row],[Zscore Projection]]-$AS$1</f>
        <v>-39.255728549019622</v>
      </c>
      <c r="BA31" s="59">
        <f>MAX(Table7[[#This Row],[VBD]]*Scoring!$B$48+1,1)</f>
        <v>1</v>
      </c>
      <c r="BB31" s="57">
        <f>VLOOKUP(Table7[[#This Row],[VBD]],BW:BY,3,FALSE)</f>
        <v>7</v>
      </c>
      <c r="BC31" s="60">
        <f>VLOOKUP(INDEX(ECR!$E:$E,MATCH(AR31,ECR!$C:$C,0)),RISK!A:B,2,FALSE())</f>
        <v>3</v>
      </c>
      <c r="BD31" s="57"/>
      <c r="BE31" s="61"/>
      <c r="BF31" s="91">
        <v>29</v>
      </c>
      <c r="BG31" s="61">
        <f t="shared" si="12"/>
        <v>182.14863529411764</v>
      </c>
      <c r="BH31" s="61">
        <f>IFERROR(LARGE($J$3:$J$52,29),"")</f>
        <v>-80.209167058823454</v>
      </c>
      <c r="BI31" s="61">
        <f t="shared" si="4"/>
        <v>-80.209167058823454</v>
      </c>
      <c r="BJ31" s="92">
        <f t="shared" si="5"/>
        <v>14</v>
      </c>
      <c r="BK31" s="91">
        <v>29</v>
      </c>
      <c r="BL31" s="61">
        <f t="shared" si="0"/>
        <v>136.84297905882354</v>
      </c>
      <c r="BM31" s="90">
        <f>IFERROR(LARGE($X$3:$X$102,29),"")</f>
        <v>23.393489725490198</v>
      </c>
      <c r="BN31" s="90">
        <f t="shared" si="6"/>
        <v>28.365349431372536</v>
      </c>
      <c r="BO31" s="92">
        <f t="shared" si="7"/>
        <v>6</v>
      </c>
      <c r="BP31" s="103">
        <v>29</v>
      </c>
      <c r="BQ31" s="61">
        <f t="shared" si="1"/>
        <v>129.83431588235291</v>
      </c>
      <c r="BR31" s="90">
        <f>IFERROR(LARGE($AL$3:$AL$102,29),"")</f>
        <v>14.737704245718533</v>
      </c>
      <c r="BS31" s="90">
        <f t="shared" si="8"/>
        <v>14.737704245718533</v>
      </c>
      <c r="BT31" s="92">
        <f t="shared" si="9"/>
        <v>5</v>
      </c>
      <c r="BU31" s="91">
        <v>29</v>
      </c>
      <c r="BV31" s="61">
        <f t="shared" si="2"/>
        <v>69.037647058823524</v>
      </c>
      <c r="BW31" s="90">
        <f>IFERROR(LARGE($AZ$3:$AZ$52,29),"")</f>
        <v>-39.255728549019622</v>
      </c>
      <c r="BX31" s="90">
        <f t="shared" si="10"/>
        <v>-31.555140313725502</v>
      </c>
      <c r="BY31" s="105">
        <f t="shared" si="11"/>
        <v>7</v>
      </c>
      <c r="BZ31" s="90"/>
      <c r="CA31" s="90"/>
      <c r="CB31" s="90"/>
      <c r="CC31" s="90"/>
      <c r="CD31" s="90"/>
      <c r="CE31" s="90"/>
      <c r="CF31" s="90"/>
      <c r="CG31" s="90"/>
    </row>
    <row r="32" spans="1:85" s="62" customFormat="1" ht="14.25" customHeight="1" x14ac:dyDescent="0.3">
      <c r="A32" s="56" t="s">
        <v>392</v>
      </c>
      <c r="B32" s="56" t="str">
        <f>VLOOKUP(A32,ECR!E:L,8,FALSE())</f>
        <v>Fernando Mendoza</v>
      </c>
      <c r="C32" s="46" t="str">
        <f>IFERROR(VLOOKUP(Table2[[#This Row],[PLAYER]],ECR!C:F,2,FALSE()),"-")</f>
        <v>LV</v>
      </c>
      <c r="D32" s="46">
        <f>IFERROR(VLOOKUP(Table2[[#This Row],[PLAYER]],ECR!C:F,4,FALSE()),"-")</f>
        <v>13</v>
      </c>
      <c r="E32" s="46" t="str">
        <f>Table2[[#This Row],[Team]] &amp; "/" &amp; Table2[[#This Row],[Bye]]</f>
        <v>LV/13</v>
      </c>
      <c r="F32" s="57">
        <f>IFERROR(VLOOKUP(Table2[[#This Row],[PLAYER]],QB!A:Q,15,FALSE())/17*(17-Table2[[#This Row],[Missed Games]]),0)</f>
        <v>134.80164705882351</v>
      </c>
      <c r="G32" s="57">
        <f>IFERROR(VLOOKUP(Table2[[#This Row],[PLAYER]],QB!A:Q,16,FALSE())/17*(17-Table2[[#This Row],[Missed Games]]),0)</f>
        <v>155.52112941176475</v>
      </c>
      <c r="H32" s="57">
        <f>IFERROR(VLOOKUP(Table2[[#This Row],[PLAYER]],QB!A:Q,17,FALSE())/17*(17-Table2[[#This Row],[Missed Games]]),0)</f>
        <v>176.42244705882354</v>
      </c>
      <c r="I32" s="58">
        <f>AVERAGE(AVERAGE(Table2[[#This Row],[LOW]],Table2[[#This Row],[HIGH]]),Table2[[#This Row],[AVG]],VLOOKUP(Table2[[#This Row],[PLAYER]],ECR!L:N,3,FALSE))</f>
        <v>155.55143529411768</v>
      </c>
      <c r="J32" s="58">
        <f>Table2[[#This Row],[Zscore Projection]]-$C$1</f>
        <v>-106.77984941176462</v>
      </c>
      <c r="K32" s="59">
        <f>MAX(Table2[[#This Row],[VBD]]*Scoring!$B$48+1,1)</f>
        <v>1</v>
      </c>
      <c r="L32" s="45">
        <f>VLOOKUP(Table2[[#This Row],[VBD]],BH:BJ,3,FALSE)</f>
        <v>15</v>
      </c>
      <c r="M32" s="60">
        <f>VLOOKUP(INDEX(ECR!$E:$E,MATCH(B32,ECR!$C:$C,0)),RISK!A:B,2,FALSE())</f>
        <v>3.2</v>
      </c>
      <c r="N32" s="61"/>
      <c r="O32" s="45" t="s">
        <v>149</v>
      </c>
      <c r="P32" s="56" t="str">
        <f>VLOOKUP(O32,ECR!E:L,8,FALSE())</f>
        <v>Jonathon Brooks</v>
      </c>
      <c r="Q32" s="46" t="str">
        <f>IFERROR(VLOOKUP(Table4[[#This Row],[PLAYER]],ECR!C:F,2,FALSE()),"-")</f>
        <v>CAR</v>
      </c>
      <c r="R32" s="46">
        <f>IFERROR(VLOOKUP(Table4[[#This Row],[PLAYER]],ECR!C:F,4,FALSE()),"-")</f>
        <v>5</v>
      </c>
      <c r="S32" s="46" t="str">
        <f>Table4[[#This Row],[Team]] &amp; "/" &amp; Table4[[#This Row],[Bye]]</f>
        <v>CAR/5</v>
      </c>
      <c r="T32" s="57">
        <f>IFERROR(VLOOKUP(Table4[[#This Row],[PLAYER]],RB!A:Q,13,FALSE())/17*(17-Table4[[#This Row],[Missed Games]]),0)</f>
        <v>100.89676470588235</v>
      </c>
      <c r="U32" s="57">
        <f>IFERROR(VLOOKUP(Table4[[#This Row],[PLAYER]],RB!A:Q,14,FALSE())/17*(17-Table4[[#This Row],[Missed Games]]),0)</f>
        <v>123.14347176470588</v>
      </c>
      <c r="V32" s="57">
        <f>IFERROR(VLOOKUP(Table4[[#This Row],[PLAYER]],RB!A:Q,15,FALSE())/17*(17-Table4[[#This Row],[Missed Games]]),0)</f>
        <v>145.59609058823528</v>
      </c>
      <c r="W32" s="58">
        <f>AVERAGE(AVERAGE(Table4[[#This Row],[LOW]],Table4[[#This Row],[HIGH]]),Table4[[#This Row],[AVG]],VLOOKUP(Table4[[#This Row],[PLAYER]],ECR!L:N,3,FALSE))</f>
        <v>127.54573839215686</v>
      </c>
      <c r="X32" s="58">
        <f>Table4[[#This Row],[Zscore Projection]]-$Q$1</f>
        <v>13.391260450980397</v>
      </c>
      <c r="Y32" s="59">
        <f>MAX(Table4[[#This Row],[VBD]]*Scoring!$B$48+1,1)</f>
        <v>7.5470162332903961</v>
      </c>
      <c r="Z32" s="45">
        <f>VLOOKUP(Table4[[#This Row],[VBD]],BM:BO,3,FALSE)</f>
        <v>6</v>
      </c>
      <c r="AA32" s="60">
        <f>VLOOKUP(INDEX(ECR!$E:$E,MATCH(P32,ECR!$C:$C,0)),RISK!A:B,2,FALSE())</f>
        <v>2.9980000000000011</v>
      </c>
      <c r="AB32" s="61"/>
      <c r="AC32" s="46" t="s">
        <v>189</v>
      </c>
      <c r="AD32" s="46" t="str">
        <f>VLOOKUP(AC32,ECR!E:L,8,FALSE())</f>
        <v>Parker Washington</v>
      </c>
      <c r="AE32" s="46" t="str">
        <f>IFERROR(VLOOKUP(Table6[[#This Row],[PLAYER]],ECR!C:F,2,FALSE()),"-")</f>
        <v>JAC</v>
      </c>
      <c r="AF32" s="46">
        <f>IFERROR(VLOOKUP(Table6[[#This Row],[PLAYER]],ECR!C:F,4,FALSE()),"-")</f>
        <v>7</v>
      </c>
      <c r="AG32" s="46" t="str">
        <f>Table6[[#This Row],[Team]] &amp; "/" &amp; Table6[[#This Row],[Bye]]</f>
        <v>JAC/7</v>
      </c>
      <c r="AH32" s="57">
        <f>IFERROR(VLOOKUP(Table6[[#This Row],[PLAYER]],WR!A:Q,13,FALSE())/17*(17-Table6[[#This Row],[Missed Games]]),0)</f>
        <v>111.67096470588235</v>
      </c>
      <c r="AI32" s="57">
        <f>IFERROR(VLOOKUP(Table6[[#This Row],[PLAYER]],WR!A:Q,14,FALSE())/17*(17-Table6[[#This Row],[Missed Games]]),0)</f>
        <v>121.28355058823527</v>
      </c>
      <c r="AJ32" s="57">
        <f>IFERROR(VLOOKUP(Table6[[#This Row],[PLAYER]],WR!A:Q,15,FALSE())/17*(17-Table6[[#This Row],[Missed Games]]),0)</f>
        <v>136.37657941176471</v>
      </c>
      <c r="AK32" s="58">
        <f>AVERAGE(AVERAGE(Table6[[#This Row],[LOW]],Table6[[#This Row],[HIGH]]),Table6[[#This Row],[AVG]],VLOOKUP(Table6[[#This Row],[PLAYER]],ECR!L:N,3,FALSE))</f>
        <v>124.73651476470589</v>
      </c>
      <c r="AL32" s="58">
        <f>Table6[[#This Row],[Zscore Projection]]-$AE$1</f>
        <v>10.032616775130307</v>
      </c>
      <c r="AM32" s="59">
        <f>MAX(Table6[[#This Row],[VBD]]*Scoring!$B$48+1,1)</f>
        <v>5.9049680670164886</v>
      </c>
      <c r="AN32" s="45">
        <f>VLOOKUP(Table6[[#This Row],[VBD]],BR:BT,3,FALSE)</f>
        <v>5</v>
      </c>
      <c r="AO32" s="60">
        <f>VLOOKUP(INDEX(ECR!$E:$E,MATCH(AD32,ECR!$C:$C,0)),RISK!A:B,2,FALSE())</f>
        <v>3.5170000000000012</v>
      </c>
      <c r="AP32" s="61"/>
      <c r="AQ32" s="47" t="s">
        <v>242</v>
      </c>
      <c r="AR32" s="47" t="str">
        <f>VLOOKUP(AQ32,ECR!E:L,8,FALSE())</f>
        <v>David Njoku</v>
      </c>
      <c r="AS32" s="47" t="str">
        <f>IFERROR(VLOOKUP(Table7[[#This Row],[PLAYER]],ECR!C:F,2,FALSE()),"-")</f>
        <v>LAC</v>
      </c>
      <c r="AT32" s="47">
        <f>IFERROR(VLOOKUP(Table7[[#This Row],[PLAYER]],ECR!C:F,4,FALSE()),"-")</f>
        <v>7</v>
      </c>
      <c r="AU32" s="47" t="str">
        <f>Table7[[#This Row],[Team]] &amp; "/" &amp; Table7[[#This Row],[Bye]]</f>
        <v>LAC/7</v>
      </c>
      <c r="AV32" s="57">
        <f>IFERROR(VLOOKUP(Table7[[#This Row],[PLAYER]],TE!A:K,9,FALSE())/17*(16-Table7[[#This Row],[Missed Games]]),0)</f>
        <v>56.779411764705877</v>
      </c>
      <c r="AW32" s="57">
        <f>IFERROR(VLOOKUP(Table7[[#This Row],[PLAYER]],TE!A:K,10,FALSE())/17*(16-Table7[[#This Row],[Missed Games]]),0)</f>
        <v>66.047647058823529</v>
      </c>
      <c r="AX32" s="57">
        <f>IFERROR(VLOOKUP(Table7[[#This Row],[PLAYER]],TE!A:K,11,FALSE())/17*(16-Table7[[#This Row],[Missed Games]]),0)</f>
        <v>76.600588235294126</v>
      </c>
      <c r="AY32" s="58">
        <f>AVERAGE(AVERAGE(Table7[[#This Row],[LOW]],Table7[[#This Row],[HIGH]]),Table7[[#This Row],[AVG]],VLOOKUP(Table7[[#This Row],[PLAYER]],ECR!L:N,3,FALSE))</f>
        <v>66.712941176470594</v>
      </c>
      <c r="AZ32" s="58">
        <f>Table7[[#This Row],[Zscore Projection]]-$AS$1</f>
        <v>-41.20190501960785</v>
      </c>
      <c r="BA32" s="59">
        <f>MAX(Table7[[#This Row],[VBD]]*Scoring!$B$48+1,1)</f>
        <v>1</v>
      </c>
      <c r="BB32" s="57">
        <f>VLOOKUP(Table7[[#This Row],[VBD]],BW:BY,3,FALSE)</f>
        <v>7</v>
      </c>
      <c r="BC32" s="60">
        <f>VLOOKUP(INDEX(ECR!$E:$E,MATCH(AR32,ECR!$C:$C,0)),RISK!A:B,2,FALSE())</f>
        <v>3</v>
      </c>
      <c r="BD32" s="57"/>
      <c r="BE32" s="61"/>
      <c r="BF32" s="91">
        <v>30</v>
      </c>
      <c r="BG32" s="61">
        <f t="shared" si="12"/>
        <v>155.52112941176475</v>
      </c>
      <c r="BH32" s="61">
        <f>IFERROR(LARGE($J$3:$J$52,30),"")</f>
        <v>-106.77984941176462</v>
      </c>
      <c r="BI32" s="61">
        <f t="shared" si="4"/>
        <v>-106.77984941176462</v>
      </c>
      <c r="BJ32" s="92">
        <f t="shared" si="5"/>
        <v>15</v>
      </c>
      <c r="BK32" s="91">
        <v>30</v>
      </c>
      <c r="BL32" s="61">
        <f t="shared" si="0"/>
        <v>136.24731576470586</v>
      </c>
      <c r="BM32" s="90">
        <f>IFERROR(LARGE($X$3:$X$102,30),"")</f>
        <v>20.094796823529421</v>
      </c>
      <c r="BN32" s="90">
        <f t="shared" si="6"/>
        <v>28.365349431372536</v>
      </c>
      <c r="BO32" s="92">
        <f t="shared" si="7"/>
        <v>6</v>
      </c>
      <c r="BP32" s="103">
        <v>30</v>
      </c>
      <c r="BQ32" s="61">
        <f t="shared" si="1"/>
        <v>128.90222164705884</v>
      </c>
      <c r="BR32" s="90">
        <f>IFERROR(LARGE($AL$3:$AL$102,30),"")</f>
        <v>13.857544618267553</v>
      </c>
      <c r="BS32" s="90">
        <f t="shared" si="8"/>
        <v>14.737704245718533</v>
      </c>
      <c r="BT32" s="92">
        <f t="shared" si="9"/>
        <v>5</v>
      </c>
      <c r="BU32" s="91">
        <v>30</v>
      </c>
      <c r="BV32" s="61">
        <f t="shared" si="2"/>
        <v>67.40117647058824</v>
      </c>
      <c r="BW32" s="90">
        <f>IFERROR(LARGE($AZ$3:$AZ$52,30),"")</f>
        <v>-41.20190501960785</v>
      </c>
      <c r="BX32" s="90">
        <f t="shared" si="10"/>
        <v>-31.555140313725502</v>
      </c>
      <c r="BY32" s="105">
        <f t="shared" si="11"/>
        <v>7</v>
      </c>
      <c r="BZ32" s="90"/>
      <c r="CA32" s="90"/>
      <c r="CB32" s="90"/>
      <c r="CC32" s="90"/>
      <c r="CD32" s="90"/>
      <c r="CE32" s="90"/>
      <c r="CF32" s="90"/>
      <c r="CG32" s="90"/>
    </row>
    <row r="33" spans="1:85" s="62" customFormat="1" ht="14.25" customHeight="1" x14ac:dyDescent="0.3">
      <c r="A33" s="56" t="s">
        <v>393</v>
      </c>
      <c r="B33" s="56" t="str">
        <f>VLOOKUP(A33,ECR!E:L,8,FALSE())</f>
        <v>Michael Penix Jr.</v>
      </c>
      <c r="C33" s="46" t="str">
        <f>IFERROR(VLOOKUP(Table2[[#This Row],[PLAYER]],ECR!C:F,2,FALSE()),"-")</f>
        <v>ATL</v>
      </c>
      <c r="D33" s="46">
        <f>IFERROR(VLOOKUP(Table2[[#This Row],[PLAYER]],ECR!C:F,4,FALSE()),"-")</f>
        <v>11</v>
      </c>
      <c r="E33" s="46" t="str">
        <f>Table2[[#This Row],[Team]] &amp; "/" &amp; Table2[[#This Row],[Bye]]</f>
        <v>ATL/11</v>
      </c>
      <c r="F33" s="57">
        <f>IFERROR(VLOOKUP(Table2[[#This Row],[PLAYER]],QB!A:Q,15,FALSE())/17*(17-Table2[[#This Row],[Missed Games]]),0)</f>
        <v>62.652000000000001</v>
      </c>
      <c r="G33" s="57">
        <f>IFERROR(VLOOKUP(Table2[[#This Row],[PLAYER]],QB!A:Q,16,FALSE())/17*(17-Table2[[#This Row],[Missed Games]]),0)</f>
        <v>79.992917647058817</v>
      </c>
      <c r="H33" s="57">
        <f>IFERROR(VLOOKUP(Table2[[#This Row],[PLAYER]],QB!A:Q,17,FALSE())/17*(17-Table2[[#This Row],[Missed Games]]),0)</f>
        <v>98.678117647058826</v>
      </c>
      <c r="I33" s="58">
        <f>AVERAGE(AVERAGE(Table2[[#This Row],[LOW]],Table2[[#This Row],[HIGH]]),Table2[[#This Row],[AVG]],VLOOKUP(Table2[[#This Row],[PLAYER]],ECR!L:N,3,FALSE))</f>
        <v>91.619552941176451</v>
      </c>
      <c r="J33" s="58">
        <f>Table2[[#This Row],[Zscore Projection]]-$C$1</f>
        <v>-170.71173176470586</v>
      </c>
      <c r="K33" s="59">
        <f>MAX(Table2[[#This Row],[VBD]]*Scoring!$B$48+1,1)</f>
        <v>1</v>
      </c>
      <c r="L33" s="45">
        <f>VLOOKUP(Table2[[#This Row],[VBD]],BH:BJ,3,FALSE)</f>
        <v>15</v>
      </c>
      <c r="M33" s="60">
        <f>VLOOKUP(INDEX(ECR!$E:$E,MATCH(B33,ECR!$C:$C,0)),RISK!A:B,2,FALSE())</f>
        <v>3.2</v>
      </c>
      <c r="N33" s="61"/>
      <c r="O33" s="45" t="s">
        <v>160</v>
      </c>
      <c r="P33" s="56" t="str">
        <f>VLOOKUP(O33,ECR!E:L,8,FALSE())</f>
        <v>J.K. Dobbins</v>
      </c>
      <c r="Q33" s="46" t="str">
        <f>IFERROR(VLOOKUP(Table4[[#This Row],[PLAYER]],ECR!C:F,2,FALSE()),"-")</f>
        <v>DEN</v>
      </c>
      <c r="R33" s="46">
        <f>IFERROR(VLOOKUP(Table4[[#This Row],[PLAYER]],ECR!C:F,4,FALSE()),"-")</f>
        <v>10</v>
      </c>
      <c r="S33" s="46" t="str">
        <f>Table4[[#This Row],[Team]] &amp; "/" &amp; Table4[[#This Row],[Bye]]</f>
        <v>DEN/10</v>
      </c>
      <c r="T33" s="57">
        <f>IFERROR(VLOOKUP(Table4[[#This Row],[PLAYER]],RB!A:Q,13,FALSE())/17*(17-Table4[[#This Row],[Missed Games]]),0)</f>
        <v>122.47175470588233</v>
      </c>
      <c r="U33" s="57">
        <f>IFERROR(VLOOKUP(Table4[[#This Row],[PLAYER]],RB!A:Q,14,FALSE())/17*(17-Table4[[#This Row],[Missed Games]]),0)</f>
        <v>136.84297905882354</v>
      </c>
      <c r="V33" s="57">
        <f>IFERROR(VLOOKUP(Table4[[#This Row],[PLAYER]],RB!A:Q,15,FALSE())/17*(17-Table4[[#This Row],[Missed Games]]),0)</f>
        <v>151.69899599999999</v>
      </c>
      <c r="W33" s="58">
        <f>AVERAGE(AVERAGE(Table4[[#This Row],[LOW]],Table4[[#This Row],[HIGH]]),Table4[[#This Row],[AVG]],VLOOKUP(Table4[[#This Row],[PLAYER]],ECR!L:N,3,FALSE))</f>
        <v>134.24927476470589</v>
      </c>
      <c r="X33" s="58">
        <f>Table4[[#This Row],[Zscore Projection]]-$Q$1</f>
        <v>20.094796823529421</v>
      </c>
      <c r="Y33" s="59">
        <f>MAX(Table4[[#This Row],[VBD]]*Scoring!$B$48+1,1)</f>
        <v>10.824389682353434</v>
      </c>
      <c r="Z33" s="45">
        <f>VLOOKUP(Table4[[#This Row],[VBD]],BM:BO,3,FALSE)</f>
        <v>6</v>
      </c>
      <c r="AA33" s="60">
        <f>VLOOKUP(INDEX(ECR!$E:$E,MATCH(P33,ECR!$C:$C,0)),RISK!A:B,2,FALSE())</f>
        <v>3.0313999999999997</v>
      </c>
      <c r="AB33" s="61"/>
      <c r="AC33" s="46" t="s">
        <v>183</v>
      </c>
      <c r="AD33" s="46" t="str">
        <f>VLOOKUP(AC33,ECR!E:L,8,FALSE())</f>
        <v>Marvin Harrison Jr.</v>
      </c>
      <c r="AE33" s="46" t="str">
        <f>IFERROR(VLOOKUP(Table6[[#This Row],[PLAYER]],ECR!C:F,2,FALSE()),"-")</f>
        <v>ARI</v>
      </c>
      <c r="AF33" s="46">
        <f>IFERROR(VLOOKUP(Table6[[#This Row],[PLAYER]],ECR!C:F,4,FALSE()),"-")</f>
        <v>14</v>
      </c>
      <c r="AG33" s="46" t="str">
        <f>Table6[[#This Row],[Team]] &amp; "/" &amp; Table6[[#This Row],[Bye]]</f>
        <v>ARI/14</v>
      </c>
      <c r="AH33" s="57">
        <f>IFERROR(VLOOKUP(Table6[[#This Row],[PLAYER]],WR!A:Q,13,FALSE())/17*(17-Table6[[#This Row],[Missed Games]]),0)</f>
        <v>121.77435235294119</v>
      </c>
      <c r="AI33" s="57">
        <f>IFERROR(VLOOKUP(Table6[[#This Row],[PLAYER]],WR!A:Q,14,FALSE())/17*(17-Table6[[#This Row],[Missed Games]]),0)</f>
        <v>128.90222164705884</v>
      </c>
      <c r="AJ33" s="57">
        <f>IFERROR(VLOOKUP(Table6[[#This Row],[PLAYER]],WR!A:Q,15,FALSE())/17*(17-Table6[[#This Row],[Missed Games]]),0)</f>
        <v>135.69819458823528</v>
      </c>
      <c r="AK33" s="58">
        <f>AVERAGE(AVERAGE(Table6[[#This Row],[LOW]],Table6[[#This Row],[HIGH]]),Table6[[#This Row],[AVG]],VLOOKUP(Table6[[#This Row],[PLAYER]],ECR!L:N,3,FALSE))</f>
        <v>128.56144260784313</v>
      </c>
      <c r="AL33" s="58">
        <f>Table6[[#This Row],[Zscore Projection]]-$AE$1</f>
        <v>13.857544618267553</v>
      </c>
      <c r="AM33" s="59">
        <f>MAX(Table6[[#This Row],[VBD]]*Scoring!$B$48+1,1)</f>
        <v>7.7749835724165504</v>
      </c>
      <c r="AN33" s="45">
        <f>VLOOKUP(Table6[[#This Row],[VBD]],BR:BT,3,FALSE)</f>
        <v>5</v>
      </c>
      <c r="AO33" s="60">
        <f>VLOOKUP(INDEX(ECR!$E:$E,MATCH(AD33,ECR!$C:$C,0)),RISK!A:B,2,FALSE())</f>
        <v>3.5661000000000005</v>
      </c>
      <c r="AP33" s="61"/>
      <c r="AQ33" s="47" t="s">
        <v>240</v>
      </c>
      <c r="AR33" s="47" t="str">
        <f>VLOOKUP(AQ33,ECR!E:L,8,FALSE())</f>
        <v>Colby Parkinson</v>
      </c>
      <c r="AS33" s="47" t="str">
        <f>IFERROR(VLOOKUP(Table7[[#This Row],[PLAYER]],ECR!C:F,2,FALSE()),"-")</f>
        <v>LAR</v>
      </c>
      <c r="AT33" s="47">
        <f>IFERROR(VLOOKUP(Table7[[#This Row],[PLAYER]],ECR!C:F,4,FALSE()),"-")</f>
        <v>11</v>
      </c>
      <c r="AU33" s="47" t="str">
        <f>Table7[[#This Row],[Team]] &amp; "/" &amp; Table7[[#This Row],[Bye]]</f>
        <v>LAR/11</v>
      </c>
      <c r="AV33" s="57">
        <f>IFERROR(VLOOKUP(Table7[[#This Row],[PLAYER]],TE!A:K,9,FALSE())/17*(16-Table7[[#This Row],[Missed Games]]),0)</f>
        <v>45.209411764705884</v>
      </c>
      <c r="AW33" s="57">
        <f>IFERROR(VLOOKUP(Table7[[#This Row],[PLAYER]],TE!A:K,10,FALSE())/17*(16-Table7[[#This Row],[Missed Games]]),0)</f>
        <v>56.374117647058817</v>
      </c>
      <c r="AX33" s="57">
        <f>IFERROR(VLOOKUP(Table7[[#This Row],[PLAYER]],TE!A:K,11,FALSE())/17*(16-Table7[[#This Row],[Missed Games]]),0)</f>
        <v>76.011764705882356</v>
      </c>
      <c r="AY33" s="58">
        <f>AVERAGE(AVERAGE(Table7[[#This Row],[LOW]],Table7[[#This Row],[HIGH]]),Table7[[#This Row],[AVG]],VLOOKUP(Table7[[#This Row],[PLAYER]],ECR!L:N,3,FALSE))</f>
        <v>61.173921568627442</v>
      </c>
      <c r="AZ33" s="58">
        <f>Table7[[#This Row],[Zscore Projection]]-$AS$1</f>
        <v>-46.740924627451001</v>
      </c>
      <c r="BA33" s="59">
        <f>MAX(Table7[[#This Row],[VBD]]*Scoring!$B$48+1,1)</f>
        <v>1</v>
      </c>
      <c r="BB33" s="57">
        <f>VLOOKUP(Table7[[#This Row],[VBD]],BW:BY,3,FALSE)</f>
        <v>8</v>
      </c>
      <c r="BC33" s="60">
        <f>VLOOKUP(INDEX(ECR!$E:$E,MATCH(AR33,ECR!$C:$C,0)),RISK!A:B,2,FALSE())</f>
        <v>3</v>
      </c>
      <c r="BD33" s="57"/>
      <c r="BE33" s="61"/>
      <c r="BF33" s="91">
        <v>31</v>
      </c>
      <c r="BG33" s="61">
        <f t="shared" si="12"/>
        <v>114.20068235294116</v>
      </c>
      <c r="BH33" s="61">
        <f>IFERROR(LARGE($J$3:$J$52,31),"")</f>
        <v>-149.39803764705874</v>
      </c>
      <c r="BI33" s="61">
        <f t="shared" si="4"/>
        <v>-149.39803764705874</v>
      </c>
      <c r="BJ33" s="92">
        <f t="shared" si="5"/>
        <v>15</v>
      </c>
      <c r="BK33" s="91">
        <v>31</v>
      </c>
      <c r="BL33" s="61">
        <f t="shared" si="0"/>
        <v>128.81946988235293</v>
      </c>
      <c r="BM33" s="90">
        <f>IFERROR(LARGE($X$3:$X$102,31),"")</f>
        <v>13.391260450980397</v>
      </c>
      <c r="BN33" s="90">
        <f t="shared" si="6"/>
        <v>28.365349431372536</v>
      </c>
      <c r="BO33" s="92">
        <f t="shared" si="7"/>
        <v>6</v>
      </c>
      <c r="BP33" s="103">
        <v>31</v>
      </c>
      <c r="BQ33" s="61">
        <f t="shared" si="1"/>
        <v>128.04583270588233</v>
      </c>
      <c r="BR33" s="90">
        <f>IFERROR(LARGE($AL$3:$AL$102,31),"")</f>
        <v>13.326196883365583</v>
      </c>
      <c r="BS33" s="90">
        <f t="shared" si="8"/>
        <v>14.737704245718533</v>
      </c>
      <c r="BT33" s="92">
        <f t="shared" si="9"/>
        <v>5</v>
      </c>
      <c r="BU33" s="91">
        <v>31</v>
      </c>
      <c r="BV33" s="61">
        <f t="shared" si="2"/>
        <v>66.537058823529406</v>
      </c>
      <c r="BW33" s="90">
        <f>IFERROR(LARGE($AZ$3:$AZ$52,31),"")</f>
        <v>-43.171022666666687</v>
      </c>
      <c r="BX33" s="90">
        <f t="shared" si="10"/>
        <v>-43.171022666666687</v>
      </c>
      <c r="BY33" s="105">
        <f t="shared" si="11"/>
        <v>8</v>
      </c>
      <c r="BZ33" s="90"/>
      <c r="CA33" s="90"/>
      <c r="CB33" s="90"/>
      <c r="CC33" s="90"/>
      <c r="CD33" s="90"/>
      <c r="CE33" s="90"/>
      <c r="CF33" s="90"/>
      <c r="CG33" s="90"/>
    </row>
    <row r="34" spans="1:85" s="62" customFormat="1" ht="14.25" customHeight="1" x14ac:dyDescent="0.3">
      <c r="A34" s="56" t="s">
        <v>394</v>
      </c>
      <c r="B34" s="56" t="str">
        <f>VLOOKUP(A34,ECR!E:L,8,FALSE())</f>
        <v>Tua Tagovailoa</v>
      </c>
      <c r="C34" s="46" t="str">
        <f>IFERROR(VLOOKUP(Table2[[#This Row],[PLAYER]],ECR!C:F,2,FALSE()),"-")</f>
        <v>ATL</v>
      </c>
      <c r="D34" s="46">
        <f>IFERROR(VLOOKUP(Table2[[#This Row],[PLAYER]],ECR!C:F,4,FALSE()),"-")</f>
        <v>11</v>
      </c>
      <c r="E34" s="46" t="str">
        <f>Table2[[#This Row],[Team]] &amp; "/" &amp; Table2[[#This Row],[Bye]]</f>
        <v>ATL/11</v>
      </c>
      <c r="F34" s="57">
        <f>IFERROR(VLOOKUP(Table2[[#This Row],[PLAYER]],QB!A:Q,15,FALSE())/17*(17-Table2[[#This Row],[Missed Games]]),0)</f>
        <v>97.343576470588246</v>
      </c>
      <c r="G34" s="57">
        <f>IFERROR(VLOOKUP(Table2[[#This Row],[PLAYER]],QB!A:Q,16,FALSE())/17*(17-Table2[[#This Row],[Missed Games]]),0)</f>
        <v>114.20068235294116</v>
      </c>
      <c r="H34" s="57">
        <f>IFERROR(VLOOKUP(Table2[[#This Row],[PLAYER]],QB!A:Q,17,FALSE())/17*(17-Table2[[#This Row],[Missed Games]]),0)</f>
        <v>132.28517647058825</v>
      </c>
      <c r="I34" s="58">
        <f>AVERAGE(AVERAGE(Table2[[#This Row],[LOW]],Table2[[#This Row],[HIGH]]),Table2[[#This Row],[AVG]],VLOOKUP(Table2[[#This Row],[PLAYER]],ECR!L:N,3,FALSE))</f>
        <v>112.93324705882354</v>
      </c>
      <c r="J34" s="58">
        <f>Table2[[#This Row],[Zscore Projection]]-$C$1</f>
        <v>-149.39803764705874</v>
      </c>
      <c r="K34" s="59">
        <f>MAX(Table2[[#This Row],[VBD]]*Scoring!$B$48+1,1)</f>
        <v>1</v>
      </c>
      <c r="L34" s="45">
        <f>VLOOKUP(Table2[[#This Row],[VBD]],BH:BJ,3,FALSE)</f>
        <v>15</v>
      </c>
      <c r="M34" s="60">
        <f>VLOOKUP(INDEX(ECR!$E:$E,MATCH(B34,ECR!$C:$C,0)),RISK!A:B,2,FALSE())</f>
        <v>3.2</v>
      </c>
      <c r="N34" s="61"/>
      <c r="O34" s="45" t="s">
        <v>148</v>
      </c>
      <c r="P34" s="56" t="str">
        <f>VLOOKUP(O34,ECR!E:L,8,FALSE())</f>
        <v>Blake Corum</v>
      </c>
      <c r="Q34" s="46" t="str">
        <f>IFERROR(VLOOKUP(Table4[[#This Row],[PLAYER]],ECR!C:F,2,FALSE()),"-")</f>
        <v>LAR</v>
      </c>
      <c r="R34" s="46">
        <f>IFERROR(VLOOKUP(Table4[[#This Row],[PLAYER]],ECR!C:F,4,FALSE()),"-")</f>
        <v>11</v>
      </c>
      <c r="S34" s="46" t="str">
        <f>Table4[[#This Row],[Team]] &amp; "/" &amp; Table4[[#This Row],[Bye]]</f>
        <v>LAR/11</v>
      </c>
      <c r="T34" s="57">
        <f>IFERROR(VLOOKUP(Table4[[#This Row],[PLAYER]],RB!A:Q,13,FALSE())/17*(17-Table4[[#This Row],[Missed Games]]),0)</f>
        <v>94.34137647058823</v>
      </c>
      <c r="U34" s="57">
        <f>IFERROR(VLOOKUP(Table4[[#This Row],[PLAYER]],RB!A:Q,14,FALSE())/17*(17-Table4[[#This Row],[Missed Games]]),0)</f>
        <v>110.24252941176468</v>
      </c>
      <c r="V34" s="57">
        <f>IFERROR(VLOOKUP(Table4[[#This Row],[PLAYER]],RB!A:Q,15,FALSE())/17*(17-Table4[[#This Row],[Missed Games]]),0)</f>
        <v>127.30758117647056</v>
      </c>
      <c r="W34" s="58">
        <f>AVERAGE(AVERAGE(Table4[[#This Row],[LOW]],Table4[[#This Row],[HIGH]]),Table4[[#This Row],[AVG]],VLOOKUP(Table4[[#This Row],[PLAYER]],ECR!L:N,3,FALSE))</f>
        <v>114.9230545490196</v>
      </c>
      <c r="X34" s="58">
        <f>Table4[[#This Row],[Zscore Projection]]-$Q$1</f>
        <v>0.76857660784312998</v>
      </c>
      <c r="Y34" s="59">
        <f>MAX(Table4[[#This Row],[VBD]]*Scoring!$B$48+1,1)</f>
        <v>1.3757587679289627</v>
      </c>
      <c r="Z34" s="45">
        <f>VLOOKUP(Table4[[#This Row],[VBD]],BM:BO,3,FALSE)</f>
        <v>7</v>
      </c>
      <c r="AA34" s="60">
        <f>VLOOKUP(INDEX(ECR!$E:$E,MATCH(P34,ECR!$C:$C,0)),RISK!A:B,2,FALSE())</f>
        <v>3.0660000000000007</v>
      </c>
      <c r="AB34" s="61"/>
      <c r="AC34" s="46" t="s">
        <v>184</v>
      </c>
      <c r="AD34" s="46" t="str">
        <f>VLOOKUP(AC34,ECR!E:L,8,FALSE())</f>
        <v>Carnell Tate</v>
      </c>
      <c r="AE34" s="46" t="str">
        <f>IFERROR(VLOOKUP(Table6[[#This Row],[PLAYER]],ECR!C:F,2,FALSE()),"-")</f>
        <v>TEN</v>
      </c>
      <c r="AF34" s="46">
        <f>IFERROR(VLOOKUP(Table6[[#This Row],[PLAYER]],ECR!C:F,4,FALSE()),"-")</f>
        <v>9</v>
      </c>
      <c r="AG34" s="46" t="str">
        <f>Table6[[#This Row],[Team]] &amp; "/" &amp; Table6[[#This Row],[Bye]]</f>
        <v>TEN/9</v>
      </c>
      <c r="AH34" s="57">
        <f>IFERROR(VLOOKUP(Table6[[#This Row],[PLAYER]],WR!A:Q,13,FALSE())/17*(17-Table6[[#This Row],[Missed Games]]),0)</f>
        <v>111.25975975058822</v>
      </c>
      <c r="AI34" s="57">
        <f>IFERROR(VLOOKUP(Table6[[#This Row],[PLAYER]],WR!A:Q,14,FALSE())/17*(17-Table6[[#This Row],[Missed Games]]),0)</f>
        <v>127.61356904470587</v>
      </c>
      <c r="AJ34" s="57">
        <f>IFERROR(VLOOKUP(Table6[[#This Row],[PLAYER]],WR!A:Q,15,FALSE())/17*(17-Table6[[#This Row],[Missed Games]]),0)</f>
        <v>145.80196551529409</v>
      </c>
      <c r="AK34" s="58">
        <f>AVERAGE(AVERAGE(Table6[[#This Row],[LOW]],Table6[[#This Row],[HIGH]]),Table6[[#This Row],[AVG]],VLOOKUP(Table6[[#This Row],[PLAYER]],ECR!L:N,3,FALSE))</f>
        <v>128.03009487294116</v>
      </c>
      <c r="AL34" s="58">
        <f>Table6[[#This Row],[Zscore Projection]]-$AE$1</f>
        <v>13.326196883365583</v>
      </c>
      <c r="AM34" s="59">
        <f>MAX(Table6[[#This Row],[VBD]]*Scoring!$B$48+1,1)</f>
        <v>7.5152065141882041</v>
      </c>
      <c r="AN34" s="45">
        <f>VLOOKUP(Table6[[#This Row],[VBD]],BR:BT,3,FALSE)</f>
        <v>5</v>
      </c>
      <c r="AO34" s="60">
        <f>VLOOKUP(INDEX(ECR!$E:$E,MATCH(AD34,ECR!$C:$C,0)),RISK!A:B,2,FALSE())</f>
        <v>3.6146000000000011</v>
      </c>
      <c r="AP34" s="61"/>
      <c r="AQ34" s="47" t="s">
        <v>264</v>
      </c>
      <c r="AR34" s="47" t="str">
        <f>VLOOKUP(AQ34,ECR!E:L,8,FALSE())</f>
        <v>Greg Dulcich</v>
      </c>
      <c r="AS34" s="47" t="str">
        <f>IFERROR(VLOOKUP(Table7[[#This Row],[PLAYER]],ECR!C:F,2,FALSE()),"-")</f>
        <v>MIA</v>
      </c>
      <c r="AT34" s="47">
        <f>IFERROR(VLOOKUP(Table7[[#This Row],[PLAYER]],ECR!C:F,4,FALSE()),"-")</f>
        <v>6</v>
      </c>
      <c r="AU34" s="47" t="str">
        <f>Table7[[#This Row],[Team]] &amp; "/" &amp; Table7[[#This Row],[Bye]]</f>
        <v>MIA/6</v>
      </c>
      <c r="AV34" s="57">
        <f>IFERROR(VLOOKUP(Table7[[#This Row],[PLAYER]],TE!A:K,9,FALSE())/17*(16-Table7[[#This Row],[Missed Games]]),0)</f>
        <v>68.47176470588235</v>
      </c>
      <c r="AW34" s="57">
        <f>IFERROR(VLOOKUP(Table7[[#This Row],[PLAYER]],TE!A:K,10,FALSE())/17*(16-Table7[[#This Row],[Missed Games]]),0)</f>
        <v>81.311176470588236</v>
      </c>
      <c r="AX34" s="57">
        <f>IFERROR(VLOOKUP(Table7[[#This Row],[PLAYER]],TE!A:K,11,FALSE())/17*(16-Table7[[#This Row],[Missed Games]]),0)</f>
        <v>91.917647058823519</v>
      </c>
      <c r="AY34" s="58">
        <f>AVERAGE(AVERAGE(Table7[[#This Row],[LOW]],Table7[[#This Row],[HIGH]]),Table7[[#This Row],[AVG]],VLOOKUP(Table7[[#This Row],[PLAYER]],ECR!L:N,3,FALSE))</f>
        <v>75.851176470588243</v>
      </c>
      <c r="AZ34" s="58">
        <f>Table7[[#This Row],[Zscore Projection]]-$AS$1</f>
        <v>-32.0636697254902</v>
      </c>
      <c r="BA34" s="59">
        <f>MAX(Table7[[#This Row],[VBD]]*Scoring!$B$48+1,1)</f>
        <v>1</v>
      </c>
      <c r="BB34" s="57">
        <f>VLOOKUP(Table7[[#This Row],[VBD]],BW:BY,3,FALSE)</f>
        <v>7</v>
      </c>
      <c r="BC34" s="60">
        <f>VLOOKUP(INDEX(ECR!$E:$E,MATCH(AR34,ECR!$C:$C,0)),RISK!A:B,2,FALSE())</f>
        <v>3</v>
      </c>
      <c r="BD34" s="57"/>
      <c r="BE34" s="61"/>
      <c r="BF34" s="91">
        <v>32</v>
      </c>
      <c r="BG34" s="61">
        <f t="shared" si="12"/>
        <v>109.78468235294118</v>
      </c>
      <c r="BH34" s="61">
        <f>IFERROR(LARGE($J$3:$J$52,32),"")</f>
        <v>-170.71173176470586</v>
      </c>
      <c r="BI34" s="61">
        <f t="shared" si="4"/>
        <v>-170.71173176470586</v>
      </c>
      <c r="BJ34" s="92">
        <f t="shared" si="5"/>
        <v>15</v>
      </c>
      <c r="BK34" s="91">
        <v>32</v>
      </c>
      <c r="BL34" s="61">
        <f t="shared" si="0"/>
        <v>123.70215541176469</v>
      </c>
      <c r="BM34" s="90">
        <f>IFERROR(LARGE($X$3:$X$102,32),"")</f>
        <v>11.298232450980393</v>
      </c>
      <c r="BN34" s="90">
        <f t="shared" si="6"/>
        <v>28.365349431372536</v>
      </c>
      <c r="BO34" s="92">
        <f t="shared" si="7"/>
        <v>6</v>
      </c>
      <c r="BP34" s="103">
        <v>32</v>
      </c>
      <c r="BQ34" s="61">
        <f t="shared" si="1"/>
        <v>127.94585294117647</v>
      </c>
      <c r="BR34" s="90">
        <f>IFERROR(LARGE($AL$3:$AL$102,32),"")</f>
        <v>13.190035564542043</v>
      </c>
      <c r="BS34" s="90">
        <f t="shared" si="8"/>
        <v>14.737704245718533</v>
      </c>
      <c r="BT34" s="92">
        <f t="shared" si="9"/>
        <v>5</v>
      </c>
      <c r="BU34" s="91">
        <v>32</v>
      </c>
      <c r="BV34" s="61">
        <f t="shared" si="2"/>
        <v>66.047647058823529</v>
      </c>
      <c r="BW34" s="90">
        <f>IFERROR(LARGE($AZ$3:$AZ$52,32),"")</f>
        <v>-44.994846196078448</v>
      </c>
      <c r="BX34" s="90">
        <f t="shared" si="10"/>
        <v>-43.171022666666687</v>
      </c>
      <c r="BY34" s="105">
        <f t="shared" si="11"/>
        <v>8</v>
      </c>
      <c r="BZ34" s="90"/>
      <c r="CA34" s="90"/>
      <c r="CB34" s="90"/>
      <c r="CC34" s="90"/>
      <c r="CD34" s="90"/>
      <c r="CE34" s="90"/>
      <c r="CF34" s="90"/>
      <c r="CG34" s="90"/>
    </row>
    <row r="35" spans="1:85" s="62" customFormat="1" ht="14.25" customHeight="1" x14ac:dyDescent="0.3">
      <c r="A35" s="56" t="s">
        <v>395</v>
      </c>
      <c r="B35" s="56" t="str">
        <f>VLOOKUP(A35,ECR!E:L,8,FALSE())</f>
        <v>Kirk Cousins</v>
      </c>
      <c r="C35" s="46" t="str">
        <f>IFERROR(VLOOKUP(Table2[[#This Row],[PLAYER]],ECR!C:F,2,FALSE()),"-")</f>
        <v>LV</v>
      </c>
      <c r="D35" s="46">
        <f>IFERROR(VLOOKUP(Table2[[#This Row],[PLAYER]],ECR!C:F,4,FALSE()),"-")</f>
        <v>13</v>
      </c>
      <c r="E35" s="46" t="str">
        <f>Table2[[#This Row],[Team]] &amp; "/" &amp; Table2[[#This Row],[Bye]]</f>
        <v>LV/13</v>
      </c>
      <c r="F35" s="57">
        <f>IFERROR(VLOOKUP(Table2[[#This Row],[PLAYER]],QB!A:Q,15,FALSE())/17*(17-Table2[[#This Row],[Missed Games]]),0)</f>
        <v>29.921647058823527</v>
      </c>
      <c r="G35" s="57">
        <f>IFERROR(VLOOKUP(Table2[[#This Row],[PLAYER]],QB!A:Q,16,FALSE())/17*(17-Table2[[#This Row],[Missed Games]]),0)</f>
        <v>38.211388235294123</v>
      </c>
      <c r="H35" s="57">
        <f>IFERROR(VLOOKUP(Table2[[#This Row],[PLAYER]],QB!A:Q,17,FALSE())/17*(17-Table2[[#This Row],[Missed Games]]),0)</f>
        <v>45.58870588235294</v>
      </c>
      <c r="I35" s="58">
        <f>AVERAGE(AVERAGE(Table2[[#This Row],[LOW]],Table2[[#This Row],[HIGH]]),Table2[[#This Row],[AVG]],VLOOKUP(Table2[[#This Row],[PLAYER]],ECR!L:N,3,FALSE))</f>
        <v>54.02943529411764</v>
      </c>
      <c r="J35" s="58">
        <f>Table2[[#This Row],[Zscore Projection]]-$C$1</f>
        <v>-208.30184941176466</v>
      </c>
      <c r="K35" s="59">
        <f>MAX(Table2[[#This Row],[VBD]]*Scoring!$B$48+1,1)</f>
        <v>1</v>
      </c>
      <c r="L35" s="45">
        <f>VLOOKUP(Table2[[#This Row],[VBD]],BH:BJ,3,FALSE)</f>
        <v>15</v>
      </c>
      <c r="M35" s="60">
        <f>VLOOKUP(INDEX(ECR!$E:$E,MATCH(B35,ECR!$C:$C,0)),RISK!A:B,2,FALSE())</f>
        <v>3.2</v>
      </c>
      <c r="N35" s="61"/>
      <c r="O35" s="45" t="s">
        <v>178</v>
      </c>
      <c r="P35" s="56" t="str">
        <f>VLOOKUP(O35,ECR!E:L,8,FALSE())</f>
        <v>MarShawn Lloyd</v>
      </c>
      <c r="Q35" s="46" t="str">
        <f>IFERROR(VLOOKUP(Table4[[#This Row],[PLAYER]],ECR!C:F,2,FALSE()),"-")</f>
        <v>GB</v>
      </c>
      <c r="R35" s="46">
        <f>IFERROR(VLOOKUP(Table4[[#This Row],[PLAYER]],ECR!C:F,4,FALSE()),"-")</f>
        <v>11</v>
      </c>
      <c r="S35" s="46" t="str">
        <f>Table4[[#This Row],[Team]] &amp; "/" &amp; Table4[[#This Row],[Bye]]</f>
        <v>GB/11</v>
      </c>
      <c r="T35" s="57">
        <f>IFERROR(VLOOKUP(Table4[[#This Row],[PLAYER]],RB!A:Q,13,FALSE())/17*(17-Table4[[#This Row],[Missed Games]]),0)</f>
        <v>93.207869529411767</v>
      </c>
      <c r="U35" s="57">
        <f>IFERROR(VLOOKUP(Table4[[#This Row],[PLAYER]],RB!A:Q,14,FALSE())/17*(17-Table4[[#This Row],[Missed Games]]),0)</f>
        <v>123.70215541176469</v>
      </c>
      <c r="V35" s="57">
        <f>IFERROR(VLOOKUP(Table4[[#This Row],[PLAYER]],RB!A:Q,15,FALSE())/17*(17-Table4[[#This Row],[Missed Games]]),0)</f>
        <v>153.69774117647054</v>
      </c>
      <c r="W35" s="58">
        <f>AVERAGE(AVERAGE(Table4[[#This Row],[LOW]],Table4[[#This Row],[HIGH]]),Table4[[#This Row],[AVG]],VLOOKUP(Table4[[#This Row],[PLAYER]],ECR!L:N,3,FALSE))</f>
        <v>123.43281084313723</v>
      </c>
      <c r="X35" s="58">
        <f>Table4[[#This Row],[Zscore Projection]]-$Q$1</f>
        <v>9.2783329019607663</v>
      </c>
      <c r="Y35" s="59">
        <f>MAX(Table4[[#This Row],[VBD]]*Scoring!$B$48+1,1)</f>
        <v>5.5361970480203944</v>
      </c>
      <c r="Z35" s="45">
        <f>VLOOKUP(Table4[[#This Row],[VBD]],BM:BO,3,FALSE)</f>
        <v>6</v>
      </c>
      <c r="AA35" s="60">
        <f>VLOOKUP(INDEX(ECR!$E:$E,MATCH(P35,ECR!$C:$C,0)),RISK!A:B,2,FALSE())</f>
        <v>3.1018000000000008</v>
      </c>
      <c r="AB35" s="61"/>
      <c r="AC35" s="46" t="s">
        <v>193</v>
      </c>
      <c r="AD35" s="46" t="str">
        <f>VLOOKUP(AC35,ECR!E:L,8,FALSE())</f>
        <v>DK Metcalf</v>
      </c>
      <c r="AE35" s="46" t="str">
        <f>IFERROR(VLOOKUP(Table6[[#This Row],[PLAYER]],ECR!C:F,2,FALSE()),"-")</f>
        <v>PIT</v>
      </c>
      <c r="AF35" s="46">
        <f>IFERROR(VLOOKUP(Table6[[#This Row],[PLAYER]],ECR!C:F,4,FALSE()),"-")</f>
        <v>9</v>
      </c>
      <c r="AG35" s="46" t="str">
        <f>Table6[[#This Row],[Team]] &amp; "/" &amp; Table6[[#This Row],[Bye]]</f>
        <v>PIT/9</v>
      </c>
      <c r="AH35" s="57">
        <f>IFERROR(VLOOKUP(Table6[[#This Row],[PLAYER]],WR!A:Q,13,FALSE())/17*(17-Table6[[#This Row],[Missed Games]]),0)</f>
        <v>121.21433823529411</v>
      </c>
      <c r="AI35" s="57">
        <f>IFERROR(VLOOKUP(Table6[[#This Row],[PLAYER]],WR!A:Q,14,FALSE())/17*(17-Table6[[#This Row],[Missed Games]]),0)</f>
        <v>127.94585294117647</v>
      </c>
      <c r="AJ35" s="57">
        <f>IFERROR(VLOOKUP(Table6[[#This Row],[PLAYER]],WR!A:Q,15,FALSE())/17*(17-Table6[[#This Row],[Missed Games]]),0)</f>
        <v>135.03041911764706</v>
      </c>
      <c r="AK35" s="58">
        <f>AVERAGE(AVERAGE(Table6[[#This Row],[LOW]],Table6[[#This Row],[HIGH]]),Table6[[#This Row],[AVG]],VLOOKUP(Table6[[#This Row],[PLAYER]],ECR!L:N,3,FALSE))</f>
        <v>127.89393355411762</v>
      </c>
      <c r="AL35" s="58">
        <f>Table6[[#This Row],[Zscore Projection]]-$AE$1</f>
        <v>13.190035564542043</v>
      </c>
      <c r="AM35" s="59">
        <f>MAX(Table6[[#This Row],[VBD]]*Scoring!$B$48+1,1)</f>
        <v>7.4486369505577192</v>
      </c>
      <c r="AN35" s="45">
        <f>VLOOKUP(Table6[[#This Row],[VBD]],BR:BT,3,FALSE)</f>
        <v>5</v>
      </c>
      <c r="AO35" s="60">
        <f>VLOOKUP(INDEX(ECR!$E:$E,MATCH(AD35,ECR!$C:$C,0)),RISK!A:B,2,FALSE())</f>
        <v>3.6625000000000014</v>
      </c>
      <c r="AP35" s="61"/>
      <c r="AQ35" s="47" t="s">
        <v>228</v>
      </c>
      <c r="AR35" s="47" t="str">
        <f>VLOOKUP(AQ35,ECR!E:L,8,FALSE())</f>
        <v>Mason Taylor</v>
      </c>
      <c r="AS35" s="47" t="str">
        <f>IFERROR(VLOOKUP(Table7[[#This Row],[PLAYER]],ECR!C:F,2,FALSE()),"-")</f>
        <v>NYJ</v>
      </c>
      <c r="AT35" s="47">
        <f>IFERROR(VLOOKUP(Table7[[#This Row],[PLAYER]],ECR!C:F,4,FALSE()),"-")</f>
        <v>13</v>
      </c>
      <c r="AU35" s="47" t="str">
        <f>Table7[[#This Row],[Team]] &amp; "/" &amp; Table7[[#This Row],[Bye]]</f>
        <v>NYJ/13</v>
      </c>
      <c r="AV35" s="57">
        <f>IFERROR(VLOOKUP(Table7[[#This Row],[PLAYER]],TE!A:K,9,FALSE())/17*(16-Table7[[#This Row],[Missed Games]]),0)</f>
        <v>40.705294117647064</v>
      </c>
      <c r="AW35" s="57">
        <f>IFERROR(VLOOKUP(Table7[[#This Row],[PLAYER]],TE!A:K,10,FALSE())/17*(16-Table7[[#This Row],[Missed Games]]),0)</f>
        <v>57.80411764705881</v>
      </c>
      <c r="AX35" s="57">
        <f>IFERROR(VLOOKUP(Table7[[#This Row],[PLAYER]],TE!A:K,11,FALSE())/17*(16-Table7[[#This Row],[Missed Games]]),0)</f>
        <v>75.017647058823528</v>
      </c>
      <c r="AY35" s="58">
        <f>AVERAGE(AVERAGE(Table7[[#This Row],[LOW]],Table7[[#This Row],[HIGH]]),Table7[[#This Row],[AVG]],VLOOKUP(Table7[[#This Row],[PLAYER]],ECR!L:N,3,FALSE))</f>
        <v>57.823235294117637</v>
      </c>
      <c r="AZ35" s="58">
        <f>Table7[[#This Row],[Zscore Projection]]-$AS$1</f>
        <v>-50.091610901960806</v>
      </c>
      <c r="BA35" s="59">
        <f>MAX(Table7[[#This Row],[VBD]]*Scoring!$B$48+1,1)</f>
        <v>1</v>
      </c>
      <c r="BB35" s="57">
        <f>VLOOKUP(Table7[[#This Row],[VBD]],BW:BY,3,FALSE)</f>
        <v>8</v>
      </c>
      <c r="BC35" s="60">
        <f>VLOOKUP(INDEX(ECR!$E:$E,MATCH(AR35,ECR!$C:$C,0)),RISK!A:B,2,FALSE())</f>
        <v>3</v>
      </c>
      <c r="BD35" s="57"/>
      <c r="BE35" s="61"/>
      <c r="BF35" s="91">
        <v>33</v>
      </c>
      <c r="BG35" s="61">
        <f t="shared" si="12"/>
        <v>86.121741176470593</v>
      </c>
      <c r="BH35" s="61">
        <f>IFERROR(LARGE($J$3:$J$52,33),"")</f>
        <v>-176.12809647058816</v>
      </c>
      <c r="BI35" s="61">
        <f t="shared" si="4"/>
        <v>-176.12809647058816</v>
      </c>
      <c r="BJ35" s="92">
        <f t="shared" si="5"/>
        <v>15</v>
      </c>
      <c r="BK35" s="91">
        <v>33</v>
      </c>
      <c r="BL35" s="61">
        <f t="shared" si="0"/>
        <v>123.14347176470588</v>
      </c>
      <c r="BM35" s="90">
        <f>IFERROR(LARGE($X$3:$X$102,33),"")</f>
        <v>9.2783329019607663</v>
      </c>
      <c r="BN35" s="90">
        <f t="shared" si="6"/>
        <v>28.365349431372536</v>
      </c>
      <c r="BO35" s="92">
        <f t="shared" si="7"/>
        <v>6</v>
      </c>
      <c r="BP35" s="103">
        <v>33</v>
      </c>
      <c r="BQ35" s="61">
        <f t="shared" si="1"/>
        <v>127.61356904470587</v>
      </c>
      <c r="BR35" s="90">
        <f>IFERROR(LARGE($AL$3:$AL$102,33),"")</f>
        <v>10.973980755522447</v>
      </c>
      <c r="BS35" s="90">
        <f t="shared" si="8"/>
        <v>14.737704245718533</v>
      </c>
      <c r="BT35" s="92">
        <f t="shared" si="9"/>
        <v>5</v>
      </c>
      <c r="BU35" s="91">
        <v>33</v>
      </c>
      <c r="BV35" s="61">
        <f t="shared" si="2"/>
        <v>57.80411764705881</v>
      </c>
      <c r="BW35" s="90">
        <f>IFERROR(LARGE($AZ$3:$AZ$52,33),"")</f>
        <v>-45.3121991372549</v>
      </c>
      <c r="BX35" s="90">
        <f t="shared" si="10"/>
        <v>-43.171022666666687</v>
      </c>
      <c r="BY35" s="105">
        <f t="shared" si="11"/>
        <v>8</v>
      </c>
      <c r="BZ35" s="90"/>
      <c r="CA35" s="90"/>
      <c r="CB35" s="90"/>
      <c r="CC35" s="90"/>
      <c r="CD35" s="90"/>
      <c r="CE35" s="90"/>
      <c r="CF35" s="90"/>
      <c r="CG35" s="90"/>
    </row>
    <row r="36" spans="1:85" s="62" customFormat="1" ht="14.25" customHeight="1" x14ac:dyDescent="0.3">
      <c r="A36" s="56" t="s">
        <v>396</v>
      </c>
      <c r="B36" s="56" t="str">
        <f>VLOOKUP(A36,ECR!E:L,8,FALSE())</f>
        <v>Shedeur Sanders</v>
      </c>
      <c r="C36" s="46" t="str">
        <f>IFERROR(VLOOKUP(Table2[[#This Row],[PLAYER]],ECR!C:F,2,FALSE()),"-")</f>
        <v>CLE</v>
      </c>
      <c r="D36" s="46">
        <f>IFERROR(VLOOKUP(Table2[[#This Row],[PLAYER]],ECR!C:F,4,FALSE()),"-")</f>
        <v>11</v>
      </c>
      <c r="E36" s="46" t="str">
        <f>Table2[[#This Row],[Team]] &amp; "/" &amp; Table2[[#This Row],[Bye]]</f>
        <v>CLE/11</v>
      </c>
      <c r="F36" s="57">
        <f>IFERROR(VLOOKUP(Table2[[#This Row],[PLAYER]],QB!A:Q,15,FALSE())/17*(17-Table2[[#This Row],[Missed Games]]),0)</f>
        <v>29.515764705882354</v>
      </c>
      <c r="G36" s="57">
        <f>IFERROR(VLOOKUP(Table2[[#This Row],[PLAYER]],QB!A:Q,16,FALSE())/17*(17-Table2[[#This Row],[Missed Games]]),0)</f>
        <v>86.121741176470593</v>
      </c>
      <c r="H36" s="57">
        <f>IFERROR(VLOOKUP(Table2[[#This Row],[PLAYER]],QB!A:Q,17,FALSE())/17*(17-Table2[[#This Row],[Missed Games]]),0)</f>
        <v>127.76851764705881</v>
      </c>
      <c r="I36" s="58">
        <f>AVERAGE(AVERAGE(Table2[[#This Row],[LOW]],Table2[[#This Row],[HIGH]]),Table2[[#This Row],[AVG]],VLOOKUP(Table2[[#This Row],[PLAYER]],ECR!L:N,3,FALSE))</f>
        <v>81.585599999999999</v>
      </c>
      <c r="J36" s="58">
        <f>Table2[[#This Row],[Zscore Projection]]-$C$1</f>
        <v>-180.7456847058823</v>
      </c>
      <c r="K36" s="59">
        <f>MAX(Table2[[#This Row],[VBD]]*Scoring!$B$48+1,1)</f>
        <v>1</v>
      </c>
      <c r="L36" s="45">
        <f>VLOOKUP(Table2[[#This Row],[VBD]],BH:BJ,3,FALSE)</f>
        <v>15</v>
      </c>
      <c r="M36" s="60">
        <f>VLOOKUP(INDEX(ECR!$E:$E,MATCH(B36,ECR!$C:$C,0)),RISK!A:B,2,FALSE())</f>
        <v>3.2</v>
      </c>
      <c r="N36" s="61"/>
      <c r="O36" s="45" t="s">
        <v>152</v>
      </c>
      <c r="P36" s="56" t="str">
        <f>VLOOKUP(O36,ECR!E:L,8,FALSE())</f>
        <v>Chuba Hubbard</v>
      </c>
      <c r="Q36" s="46" t="str">
        <f>IFERROR(VLOOKUP(Table4[[#This Row],[PLAYER]],ECR!C:F,2,FALSE()),"-")</f>
        <v>CAR</v>
      </c>
      <c r="R36" s="46">
        <f>IFERROR(VLOOKUP(Table4[[#This Row],[PLAYER]],ECR!C:F,4,FALSE()),"-")</f>
        <v>5</v>
      </c>
      <c r="S36" s="46" t="str">
        <f>Table4[[#This Row],[Team]] &amp; "/" &amp; Table4[[#This Row],[Bye]]</f>
        <v>CAR/5</v>
      </c>
      <c r="T36" s="57">
        <f>IFERROR(VLOOKUP(Table4[[#This Row],[PLAYER]],RB!A:Q,13,FALSE())/17*(17-Table4[[#This Row],[Missed Games]]),0)</f>
        <v>112.43879294117647</v>
      </c>
      <c r="U36" s="57">
        <f>IFERROR(VLOOKUP(Table4[[#This Row],[PLAYER]],RB!A:Q,14,FALSE())/17*(17-Table4[[#This Row],[Missed Games]]),0)</f>
        <v>128.81946988235293</v>
      </c>
      <c r="V36" s="57">
        <f>IFERROR(VLOOKUP(Table4[[#This Row],[PLAYER]],RB!A:Q,15,FALSE())/17*(17-Table4[[#This Row],[Missed Games]]),0)</f>
        <v>146.30088917647058</v>
      </c>
      <c r="W36" s="58">
        <f>AVERAGE(AVERAGE(Table4[[#This Row],[LOW]],Table4[[#This Row],[HIGH]]),Table4[[#This Row],[AVG]],VLOOKUP(Table4[[#This Row],[PLAYER]],ECR!L:N,3,FALSE))</f>
        <v>125.45271039215686</v>
      </c>
      <c r="X36" s="58">
        <f>Table4[[#This Row],[Zscore Projection]]-$Q$1</f>
        <v>11.298232450980393</v>
      </c>
      <c r="Y36" s="59">
        <f>MAX(Table4[[#This Row],[VBD]]*Scoring!$B$48+1,1)</f>
        <v>6.523730311633325</v>
      </c>
      <c r="Z36" s="45">
        <f>VLOOKUP(Table4[[#This Row],[VBD]],BM:BO,3,FALSE)</f>
        <v>6</v>
      </c>
      <c r="AA36" s="60">
        <f>VLOOKUP(INDEX(ECR!$E:$E,MATCH(P36,ECR!$C:$C,0)),RISK!A:B,2,FALSE())</f>
        <v>3.1387999999999998</v>
      </c>
      <c r="AB36" s="61"/>
      <c r="AC36" s="46" t="s">
        <v>186</v>
      </c>
      <c r="AD36" s="46" t="str">
        <f>VLOOKUP(AC36,ECR!E:L,8,FALSE())</f>
        <v>Brian Thomas Jr.</v>
      </c>
      <c r="AE36" s="46" t="str">
        <f>IFERROR(VLOOKUP(Table6[[#This Row],[PLAYER]],ECR!C:F,2,FALSE()),"-")</f>
        <v>JAC</v>
      </c>
      <c r="AF36" s="46">
        <f>IFERROR(VLOOKUP(Table6[[#This Row],[PLAYER]],ECR!C:F,4,FALSE()),"-")</f>
        <v>7</v>
      </c>
      <c r="AG36" s="46" t="str">
        <f>Table6[[#This Row],[Team]] &amp; "/" &amp; Table6[[#This Row],[Bye]]</f>
        <v>JAC/7</v>
      </c>
      <c r="AH36" s="57">
        <f>IFERROR(VLOOKUP(Table6[[#This Row],[PLAYER]],WR!A:Q,13,FALSE())/17*(17-Table6[[#This Row],[Missed Games]]),0)</f>
        <v>108.35421882352939</v>
      </c>
      <c r="AI36" s="57">
        <f>IFERROR(VLOOKUP(Table6[[#This Row],[PLAYER]],WR!A:Q,14,FALSE())/17*(17-Table6[[#This Row],[Missed Games]]),0)</f>
        <v>119.05673870588235</v>
      </c>
      <c r="AJ36" s="57">
        <f>IFERROR(VLOOKUP(Table6[[#This Row],[PLAYER]],WR!A:Q,15,FALSE())/17*(17-Table6[[#This Row],[Missed Games]]),0)</f>
        <v>132.66746705882352</v>
      </c>
      <c r="AK36" s="58">
        <f>AVERAGE(AVERAGE(Table6[[#This Row],[LOW]],Table6[[#This Row],[HIGH]]),Table6[[#This Row],[AVG]],VLOOKUP(Table6[[#This Row],[PLAYER]],ECR!L:N,3,FALSE))</f>
        <v>122.05540386001489</v>
      </c>
      <c r="AL36" s="58">
        <f>Table6[[#This Row],[Zscore Projection]]-$AE$1</f>
        <v>7.3515058704393113</v>
      </c>
      <c r="AM36" s="59">
        <f>MAX(Table6[[#This Row],[VBD]]*Scoring!$B$48+1,1)</f>
        <v>4.5941671397610744</v>
      </c>
      <c r="AN36" s="45">
        <f>VLOOKUP(Table6[[#This Row],[VBD]],BR:BT,3,FALSE)</f>
        <v>5</v>
      </c>
      <c r="AO36" s="60">
        <f>VLOOKUP(INDEX(ECR!$E:$E,MATCH(AD36,ECR!$C:$C,0)),RISK!A:B,2,FALSE())</f>
        <v>3.7098000000000013</v>
      </c>
      <c r="AP36" s="61"/>
      <c r="AQ36" s="47" t="s">
        <v>274</v>
      </c>
      <c r="AR36" s="47" t="str">
        <f>VLOOKUP(AQ36,ECR!E:L,8,FALSE())</f>
        <v>Theo Johnson</v>
      </c>
      <c r="AS36" s="47" t="str">
        <f>IFERROR(VLOOKUP(Table7[[#This Row],[PLAYER]],ECR!C:F,2,FALSE()),"-")</f>
        <v>NYG</v>
      </c>
      <c r="AT36" s="47">
        <f>IFERROR(VLOOKUP(Table7[[#This Row],[PLAYER]],ECR!C:F,4,FALSE()),"-")</f>
        <v>8</v>
      </c>
      <c r="AU36" s="47" t="str">
        <f>Table7[[#This Row],[Team]] &amp; "/" &amp; Table7[[#This Row],[Bye]]</f>
        <v>NYG/8</v>
      </c>
      <c r="AV36" s="57">
        <f>IFERROR(VLOOKUP(Table7[[#This Row],[PLAYER]],TE!A:K,9,FALSE())/17*(16-Table7[[#This Row],[Missed Games]]),0)</f>
        <v>36.92</v>
      </c>
      <c r="AW36" s="57">
        <f>IFERROR(VLOOKUP(Table7[[#This Row],[PLAYER]],TE!A:K,10,FALSE())/17*(16-Table7[[#This Row],[Missed Games]]),0)</f>
        <v>47.855294117647055</v>
      </c>
      <c r="AX36" s="57">
        <f>IFERROR(VLOOKUP(Table7[[#This Row],[PLAYER]],TE!A:K,11,FALSE())/17*(16-Table7[[#This Row],[Missed Games]]),0)</f>
        <v>66.070588235294125</v>
      </c>
      <c r="AY36" s="58">
        <f>AVERAGE(AVERAGE(Table7[[#This Row],[LOW]],Table7[[#This Row],[HIGH]]),Table7[[#This Row],[AVG]],VLOOKUP(Table7[[#This Row],[PLAYER]],ECR!L:N,3,FALSE))</f>
        <v>51.908235294117645</v>
      </c>
      <c r="AZ36" s="58">
        <f>Table7[[#This Row],[Zscore Projection]]-$AS$1</f>
        <v>-56.006610901960798</v>
      </c>
      <c r="BA36" s="59">
        <f>MAX(Table7[[#This Row],[VBD]]*Scoring!$B$48+1,1)</f>
        <v>1</v>
      </c>
      <c r="BB36" s="57">
        <f>VLOOKUP(Table7[[#This Row],[VBD]],BW:BY,3,FALSE)</f>
        <v>9</v>
      </c>
      <c r="BC36" s="60">
        <f>VLOOKUP(INDEX(ECR!$E:$E,MATCH(AR36,ECR!$C:$C,0)),RISK!A:B,2,FALSE())</f>
        <v>3</v>
      </c>
      <c r="BD36" s="57"/>
      <c r="BE36" s="61"/>
      <c r="BF36" s="91">
        <v>34</v>
      </c>
      <c r="BG36" s="61">
        <f t="shared" si="12"/>
        <v>79.992917647058817</v>
      </c>
      <c r="BH36" s="61">
        <f>IFERROR(LARGE($J$3:$J$52,34),"")</f>
        <v>-180.7456847058823</v>
      </c>
      <c r="BI36" s="61">
        <f t="shared" si="4"/>
        <v>-176.12809647058816</v>
      </c>
      <c r="BJ36" s="92">
        <f t="shared" si="5"/>
        <v>15</v>
      </c>
      <c r="BK36" s="91">
        <v>34</v>
      </c>
      <c r="BL36" s="61">
        <f t="shared" si="0"/>
        <v>118.16882023529409</v>
      </c>
      <c r="BM36" s="90">
        <f>IFERROR(LARGE($X$3:$X$102,34),"")</f>
        <v>2.448186450980387</v>
      </c>
      <c r="BN36" s="90">
        <f t="shared" si="6"/>
        <v>2.448186450980387</v>
      </c>
      <c r="BO36" s="92">
        <f t="shared" si="7"/>
        <v>7</v>
      </c>
      <c r="BP36" s="103">
        <v>34</v>
      </c>
      <c r="BQ36" s="61">
        <f t="shared" si="1"/>
        <v>126.59862993298584</v>
      </c>
      <c r="BR36" s="90">
        <f>IFERROR(LARGE($AL$3:$AL$102,34),"")</f>
        <v>10.032616775130307</v>
      </c>
      <c r="BS36" s="90">
        <f t="shared" si="8"/>
        <v>14.737704245718533</v>
      </c>
      <c r="BT36" s="92">
        <f t="shared" si="9"/>
        <v>5</v>
      </c>
      <c r="BU36" s="91">
        <v>34</v>
      </c>
      <c r="BV36" s="61">
        <f t="shared" si="2"/>
        <v>56.374117647058817</v>
      </c>
      <c r="BW36" s="90">
        <f>IFERROR(LARGE($AZ$3:$AZ$52,34),"")</f>
        <v>-46.740924627451001</v>
      </c>
      <c r="BX36" s="90">
        <f t="shared" si="10"/>
        <v>-43.171022666666687</v>
      </c>
      <c r="BY36" s="105">
        <f t="shared" si="11"/>
        <v>8</v>
      </c>
      <c r="BZ36" s="90"/>
      <c r="CA36" s="90"/>
      <c r="CB36" s="90"/>
      <c r="CC36" s="90"/>
      <c r="CD36" s="90"/>
      <c r="CE36" s="90"/>
      <c r="CF36" s="90"/>
      <c r="CG36" s="90"/>
    </row>
    <row r="37" spans="1:85" s="62" customFormat="1" ht="14.25" customHeight="1" x14ac:dyDescent="0.3">
      <c r="A37" s="56" t="s">
        <v>397</v>
      </c>
      <c r="B37" s="56" t="str">
        <f>VLOOKUP(A37,ECR!E:L,8,FALSE())</f>
        <v>Deshaun Watson</v>
      </c>
      <c r="C37" s="46" t="str">
        <f>IFERROR(VLOOKUP(Table2[[#This Row],[PLAYER]],ECR!C:F,2,FALSE()),"-")</f>
        <v>CLE</v>
      </c>
      <c r="D37" s="46">
        <f>IFERROR(VLOOKUP(Table2[[#This Row],[PLAYER]],ECR!C:F,4,FALSE()),"-")</f>
        <v>11</v>
      </c>
      <c r="E37" s="46" t="str">
        <f>Table2[[#This Row],[Team]] &amp; "/" &amp; Table2[[#This Row],[Bye]]</f>
        <v>CLE/11</v>
      </c>
      <c r="F37" s="57">
        <f>IFERROR(VLOOKUP(Table2[[#This Row],[PLAYER]],QB!A:Q,15,FALSE())/17*(17-Table2[[#This Row],[Missed Games]]),0)</f>
        <v>55.594517647058822</v>
      </c>
      <c r="G37" s="57">
        <f>IFERROR(VLOOKUP(Table2[[#This Row],[PLAYER]],QB!A:Q,16,FALSE())/17*(17-Table2[[#This Row],[Missed Games]]),0)</f>
        <v>109.78468235294118</v>
      </c>
      <c r="H37" s="57">
        <f>IFERROR(VLOOKUP(Table2[[#This Row],[PLAYER]],QB!A:Q,17,FALSE())/17*(17-Table2[[#This Row],[Missed Games]]),0)</f>
        <v>165.63247058823529</v>
      </c>
      <c r="I37" s="58">
        <f>AVERAGE(AVERAGE(Table2[[#This Row],[LOW]],Table2[[#This Row],[HIGH]]),Table2[[#This Row],[AVG]],VLOOKUP(Table2[[#This Row],[PLAYER]],ECR!L:N,3,FALSE))</f>
        <v>86.203188235294121</v>
      </c>
      <c r="J37" s="58">
        <f>Table2[[#This Row],[Zscore Projection]]-$C$1</f>
        <v>-176.12809647058816</v>
      </c>
      <c r="K37" s="59">
        <f>MAX(Table2[[#This Row],[VBD]]*Scoring!$B$48+1,1)</f>
        <v>1</v>
      </c>
      <c r="L37" s="45">
        <f>VLOOKUP(Table2[[#This Row],[VBD]],BH:BJ,3,FALSE)</f>
        <v>15</v>
      </c>
      <c r="M37" s="60">
        <f>VLOOKUP(INDEX(ECR!$E:$E,MATCH(B37,ECR!$C:$C,0)),RISK!A:B,2,FALSE())</f>
        <v>3.2</v>
      </c>
      <c r="N37" s="61"/>
      <c r="O37" s="45" t="s">
        <v>165</v>
      </c>
      <c r="P37" s="56" t="str">
        <f>VLOOKUP(O37,ECR!E:L,8,FALSE())</f>
        <v>RJ Harvey</v>
      </c>
      <c r="Q37" s="46" t="str">
        <f>IFERROR(VLOOKUP(Table4[[#This Row],[PLAYER]],ECR!C:F,2,FALSE()),"-")</f>
        <v>DEN</v>
      </c>
      <c r="R37" s="46">
        <f>IFERROR(VLOOKUP(Table4[[#This Row],[PLAYER]],ECR!C:F,4,FALSE()),"-")</f>
        <v>10</v>
      </c>
      <c r="S37" s="46" t="str">
        <f>Table4[[#This Row],[Team]] &amp; "/" &amp; Table4[[#This Row],[Bye]]</f>
        <v>DEN/10</v>
      </c>
      <c r="T37" s="57">
        <f>IFERROR(VLOOKUP(Table4[[#This Row],[PLAYER]],RB!A:Q,13,FALSE())/17*(17-Table4[[#This Row],[Missed Games]]),0)</f>
        <v>95.26486352941177</v>
      </c>
      <c r="U37" s="57">
        <f>IFERROR(VLOOKUP(Table4[[#This Row],[PLAYER]],RB!A:Q,14,FALSE())/17*(17-Table4[[#This Row],[Missed Games]]),0)</f>
        <v>113.44617411764706</v>
      </c>
      <c r="V37" s="57">
        <f>IFERROR(VLOOKUP(Table4[[#This Row],[PLAYER]],RB!A:Q,15,FALSE())/17*(17-Table4[[#This Row],[Missed Games]]),0)</f>
        <v>140.83197647058822</v>
      </c>
      <c r="W37" s="58">
        <f>AVERAGE(AVERAGE(Table4[[#This Row],[LOW]],Table4[[#This Row],[HIGH]]),Table4[[#This Row],[AVG]],VLOOKUP(Table4[[#This Row],[PLAYER]],ECR!L:N,3,FALSE))</f>
        <v>115.74526258823529</v>
      </c>
      <c r="X37" s="58">
        <f>Table4[[#This Row],[Zscore Projection]]-$Q$1</f>
        <v>1.5907846470588254</v>
      </c>
      <c r="Y37" s="59">
        <f>MAX(Table4[[#This Row],[VBD]]*Scoring!$B$48+1,1)</f>
        <v>1.7777380587949636</v>
      </c>
      <c r="Z37" s="45">
        <f>VLOOKUP(Table4[[#This Row],[VBD]],BM:BO,3,FALSE)</f>
        <v>7</v>
      </c>
      <c r="AA37" s="60">
        <f>VLOOKUP(INDEX(ECR!$E:$E,MATCH(P37,ECR!$C:$C,0)),RISK!A:B,2,FALSE())</f>
        <v>3.1769999999999996</v>
      </c>
      <c r="AB37" s="61"/>
      <c r="AC37" s="46" t="s">
        <v>198</v>
      </c>
      <c r="AD37" s="46" t="str">
        <f>VLOOKUP(AC37,ECR!E:L,8,FALSE())</f>
        <v>Chris Godwin Jr.</v>
      </c>
      <c r="AE37" s="46" t="str">
        <f>IFERROR(VLOOKUP(Table6[[#This Row],[PLAYER]],ECR!C:F,2,FALSE()),"-")</f>
        <v>TB</v>
      </c>
      <c r="AF37" s="46">
        <f>IFERROR(VLOOKUP(Table6[[#This Row],[PLAYER]],ECR!C:F,4,FALSE()),"-")</f>
        <v>10</v>
      </c>
      <c r="AG37" s="46" t="str">
        <f>Table6[[#This Row],[Team]] &amp; "/" &amp; Table6[[#This Row],[Bye]]</f>
        <v>TB/10</v>
      </c>
      <c r="AH37" s="57">
        <f>IFERROR(VLOOKUP(Table6[[#This Row],[PLAYER]],WR!A:Q,13,FALSE())/17*(17-Table6[[#This Row],[Missed Games]]),0)</f>
        <v>98.181076764705878</v>
      </c>
      <c r="AI37" s="57">
        <f>IFERROR(VLOOKUP(Table6[[#This Row],[PLAYER]],WR!A:Q,14,FALSE())/17*(17-Table6[[#This Row],[Missed Games]]),0)</f>
        <v>110.52090264705882</v>
      </c>
      <c r="AJ37" s="57">
        <f>IFERROR(VLOOKUP(Table6[[#This Row],[PLAYER]],WR!A:Q,15,FALSE())/17*(17-Table6[[#This Row],[Missed Games]]),0)</f>
        <v>122.85293823529409</v>
      </c>
      <c r="AK37" s="58">
        <f>AVERAGE(AVERAGE(Table6[[#This Row],[LOW]],Table6[[#This Row],[HIGH]]),Table6[[#This Row],[AVG]],VLOOKUP(Table6[[#This Row],[PLAYER]],ECR!L:N,3,FALSE))</f>
        <v>114.11040628629932</v>
      </c>
      <c r="AL37" s="58">
        <f>Table6[[#This Row],[Zscore Projection]]-$AE$1</f>
        <v>-0.593491703276257</v>
      </c>
      <c r="AM37" s="59">
        <f>MAX(Table6[[#This Row],[VBD]]*Scoring!$B$48+1,1)</f>
        <v>1</v>
      </c>
      <c r="AN37" s="45">
        <f>VLOOKUP(Table6[[#This Row],[VBD]],BR:BT,3,FALSE)</f>
        <v>5</v>
      </c>
      <c r="AO37" s="60">
        <f>VLOOKUP(INDEX(ECR!$E:$E,MATCH(AD37,ECR!$C:$C,0)),RISK!A:B,2,FALSE())</f>
        <v>3.7565000000000008</v>
      </c>
      <c r="AP37" s="61"/>
      <c r="AQ37" s="47" t="s">
        <v>313</v>
      </c>
      <c r="AR37" s="47" t="str">
        <f>VLOOKUP(AQ37,ECR!E:L,8,FALSE())</f>
        <v>Eli Stowers</v>
      </c>
      <c r="AS37" s="47" t="str">
        <f>IFERROR(VLOOKUP(Table7[[#This Row],[PLAYER]],ECR!C:F,2,FALSE()),"-")</f>
        <v>PHI</v>
      </c>
      <c r="AT37" s="47">
        <f>IFERROR(VLOOKUP(Table7[[#This Row],[PLAYER]],ECR!C:F,4,FALSE()),"-")</f>
        <v>10</v>
      </c>
      <c r="AU37" s="47" t="str">
        <f>Table7[[#This Row],[Team]] &amp; "/" &amp; Table7[[#This Row],[Bye]]</f>
        <v>PHI/10</v>
      </c>
      <c r="AV37" s="57">
        <f>IFERROR(VLOOKUP(Table7[[#This Row],[PLAYER]],TE!A:K,9,FALSE())/17*(16-Table7[[#This Row],[Missed Games]]),0)</f>
        <v>14.445294117647061</v>
      </c>
      <c r="AW37" s="57">
        <f>IFERROR(VLOOKUP(Table7[[#This Row],[PLAYER]],TE!A:K,10,FALSE())/17*(16-Table7[[#This Row],[Missed Games]]),0)</f>
        <v>29.930588235294117</v>
      </c>
      <c r="AX37" s="57">
        <f>IFERROR(VLOOKUP(Table7[[#This Row],[PLAYER]],TE!A:K,11,FALSE())/17*(16-Table7[[#This Row],[Missed Games]]),0)</f>
        <v>45.576470588235289</v>
      </c>
      <c r="AY37" s="58">
        <f>AVERAGE(AVERAGE(Table7[[#This Row],[LOW]],Table7[[#This Row],[HIGH]]),Table7[[#This Row],[AVG]],VLOOKUP(Table7[[#This Row],[PLAYER]],ECR!L:N,3,FALSE))</f>
        <v>38.249313725490197</v>
      </c>
      <c r="AZ37" s="58">
        <f>Table7[[#This Row],[Zscore Projection]]-$AS$1</f>
        <v>-69.665532470588246</v>
      </c>
      <c r="BA37" s="59">
        <f>MAX(Table7[[#This Row],[VBD]]*Scoring!$B$48+1,1)</f>
        <v>1</v>
      </c>
      <c r="BB37" s="57">
        <f>VLOOKUP(Table7[[#This Row],[VBD]],BW:BY,3,FALSE)</f>
        <v>10</v>
      </c>
      <c r="BC37" s="60">
        <f>VLOOKUP(INDEX(ECR!$E:$E,MATCH(AR37,ECR!$C:$C,0)),RISK!A:B,2,FALSE())</f>
        <v>3</v>
      </c>
      <c r="BD37" s="57"/>
      <c r="BE37" s="61"/>
      <c r="BF37" s="91">
        <v>35</v>
      </c>
      <c r="BG37" s="61">
        <f t="shared" si="12"/>
        <v>38.211388235294123</v>
      </c>
      <c r="BH37" s="61">
        <f>IFERROR(LARGE($J$3:$J$52,35),"")</f>
        <v>-208.30184941176466</v>
      </c>
      <c r="BI37" s="61">
        <f t="shared" si="4"/>
        <v>-208.30184941176466</v>
      </c>
      <c r="BJ37" s="92">
        <f t="shared" si="5"/>
        <v>15</v>
      </c>
      <c r="BK37" s="91">
        <v>35</v>
      </c>
      <c r="BL37" s="61">
        <f t="shared" si="0"/>
        <v>115.74119364705882</v>
      </c>
      <c r="BM37" s="90">
        <f>IFERROR(LARGE($X$3:$X$102,35),"")</f>
        <v>1.5907846470588254</v>
      </c>
      <c r="BN37" s="90">
        <f t="shared" si="6"/>
        <v>2.448186450980387</v>
      </c>
      <c r="BO37" s="92">
        <f t="shared" si="7"/>
        <v>7</v>
      </c>
      <c r="BP37" s="103">
        <v>35</v>
      </c>
      <c r="BQ37" s="61">
        <f t="shared" si="1"/>
        <v>121.29330871183919</v>
      </c>
      <c r="BR37" s="90">
        <f>IFERROR(LARGE($AL$3:$AL$102,35),"")</f>
        <v>8.5287742367833062</v>
      </c>
      <c r="BS37" s="90">
        <f t="shared" si="8"/>
        <v>14.737704245718533</v>
      </c>
      <c r="BT37" s="92">
        <f t="shared" si="9"/>
        <v>5</v>
      </c>
      <c r="BU37" s="91">
        <v>35</v>
      </c>
      <c r="BV37" s="61">
        <f t="shared" si="2"/>
        <v>54.806470588235292</v>
      </c>
      <c r="BW37" s="90">
        <f>IFERROR(LARGE($AZ$3:$AZ$52,35),"")</f>
        <v>-50.091610901960806</v>
      </c>
      <c r="BX37" s="90">
        <f t="shared" si="10"/>
        <v>-43.171022666666687</v>
      </c>
      <c r="BY37" s="105">
        <f t="shared" si="11"/>
        <v>8</v>
      </c>
      <c r="BZ37" s="90"/>
      <c r="CA37" s="90"/>
      <c r="CB37" s="90"/>
      <c r="CC37" s="90"/>
      <c r="CD37" s="90"/>
      <c r="CE37" s="90"/>
      <c r="CF37" s="90"/>
      <c r="CG37" s="90"/>
    </row>
    <row r="38" spans="1:85" s="62" customFormat="1" ht="14.25" customHeight="1" x14ac:dyDescent="0.3">
      <c r="A38" s="56" t="s">
        <v>398</v>
      </c>
      <c r="B38" s="56" t="str">
        <f>VLOOKUP(A38,ECR!E:L,8,FALSE())</f>
        <v>Carson Beck</v>
      </c>
      <c r="C38" s="46" t="str">
        <f>IFERROR(VLOOKUP(Table2[[#This Row],[PLAYER]],ECR!C:F,2,FALSE()),"-")</f>
        <v>ARI</v>
      </c>
      <c r="D38" s="46">
        <f>IFERROR(VLOOKUP(Table2[[#This Row],[PLAYER]],ECR!C:F,4,FALSE()),"-")</f>
        <v>14</v>
      </c>
      <c r="E38" s="46" t="str">
        <f>Table2[[#This Row],[Team]] &amp; "/" &amp; Table2[[#This Row],[Bye]]</f>
        <v>ARI/14</v>
      </c>
      <c r="F38" s="57">
        <f>IFERROR(VLOOKUP(Table2[[#This Row],[PLAYER]],QB!A:Q,15,FALSE())/17*(17-Table2[[#This Row],[Missed Games]]),0)</f>
        <v>22.534588235294116</v>
      </c>
      <c r="G38" s="57">
        <f>IFERROR(VLOOKUP(Table2[[#This Row],[PLAYER]],QB!A:Q,16,FALSE())/17*(17-Table2[[#This Row],[Missed Games]]),0)</f>
        <v>24.078564705882354</v>
      </c>
      <c r="H38" s="57">
        <f>IFERROR(VLOOKUP(Table2[[#This Row],[PLAYER]],QB!A:Q,17,FALSE())/17*(17-Table2[[#This Row],[Missed Games]]),0)</f>
        <v>26.190776470588236</v>
      </c>
      <c r="I38" s="58">
        <f>AVERAGE(AVERAGE(Table2[[#This Row],[LOW]],Table2[[#This Row],[HIGH]]),Table2[[#This Row],[AVG]],VLOOKUP(Table2[[#This Row],[PLAYER]],ECR!L:N,3,FALSE))</f>
        <v>24.173270588235297</v>
      </c>
      <c r="J38" s="58">
        <f>Table2[[#This Row],[Zscore Projection]]-$C$1</f>
        <v>-238.15801411764699</v>
      </c>
      <c r="K38" s="59">
        <f>MAX(Table2[[#This Row],[VBD]]*Scoring!$B$48+1,1)</f>
        <v>1</v>
      </c>
      <c r="L38" s="45">
        <f>VLOOKUP(Table2[[#This Row],[VBD]],BH:BJ,3,FALSE)</f>
        <v>15</v>
      </c>
      <c r="M38" s="60">
        <f>VLOOKUP(INDEX(ECR!$E:$E,MATCH(B38,ECR!$C:$C,0)),RISK!A:B,2,FALSE())</f>
        <v>3.2</v>
      </c>
      <c r="N38" s="61"/>
      <c r="O38" s="45" t="s">
        <v>169</v>
      </c>
      <c r="P38" s="56" t="str">
        <f>VLOOKUP(O38,ECR!E:L,8,FALSE())</f>
        <v>Jordan Mason</v>
      </c>
      <c r="Q38" s="46" t="str">
        <f>IFERROR(VLOOKUP(Table4[[#This Row],[PLAYER]],ECR!C:F,2,FALSE()),"-")</f>
        <v>MIN</v>
      </c>
      <c r="R38" s="46">
        <f>IFERROR(VLOOKUP(Table4[[#This Row],[PLAYER]],ECR!C:F,4,FALSE()),"-")</f>
        <v>6</v>
      </c>
      <c r="S38" s="46" t="str">
        <f>Table4[[#This Row],[Team]] &amp; "/" &amp; Table4[[#This Row],[Bye]]</f>
        <v>MIN/6</v>
      </c>
      <c r="T38" s="57">
        <f>IFERROR(VLOOKUP(Table4[[#This Row],[PLAYER]],RB!A:Q,13,FALSE())/17*(17-Table4[[#This Row],[Missed Games]]),0)</f>
        <v>99.647319999999993</v>
      </c>
      <c r="U38" s="57">
        <f>IFERROR(VLOOKUP(Table4[[#This Row],[PLAYER]],RB!A:Q,14,FALSE())/17*(17-Table4[[#This Row],[Missed Games]]),0)</f>
        <v>112.344448</v>
      </c>
      <c r="V38" s="57">
        <f>IFERROR(VLOOKUP(Table4[[#This Row],[PLAYER]],RB!A:Q,15,FALSE())/17*(17-Table4[[#This Row],[Missed Games]]),0)</f>
        <v>121.8227</v>
      </c>
      <c r="W38" s="58">
        <f>AVERAGE(AVERAGE(Table4[[#This Row],[LOW]],Table4[[#This Row],[HIGH]]),Table4[[#This Row],[AVG]],VLOOKUP(Table4[[#This Row],[PLAYER]],ECR!L:N,3,FALSE))</f>
        <v>112.67655580392157</v>
      </c>
      <c r="X38" s="58">
        <f>Table4[[#This Row],[Zscore Projection]]-$Q$1</f>
        <v>-1.4779221372548932</v>
      </c>
      <c r="Y38" s="59">
        <f>MAX(Table4[[#This Row],[VBD]]*Scoring!$B$48+1,1)</f>
        <v>1</v>
      </c>
      <c r="Z38" s="45">
        <f>VLOOKUP(Table4[[#This Row],[VBD]],BM:BO,3,FALSE)</f>
        <v>7</v>
      </c>
      <c r="AA38" s="60">
        <f>VLOOKUP(INDEX(ECR!$E:$E,MATCH(P38,ECR!$C:$C,0)),RISK!A:B,2,FALSE())</f>
        <v>3.2164000000000001</v>
      </c>
      <c r="AB38" s="61"/>
      <c r="AC38" s="46" t="s">
        <v>188</v>
      </c>
      <c r="AD38" s="46" t="str">
        <f>VLOOKUP(AC38,ECR!E:L,8,FALSE())</f>
        <v>Courtland Sutton</v>
      </c>
      <c r="AE38" s="46" t="str">
        <f>IFERROR(VLOOKUP(Table6[[#This Row],[PLAYER]],ECR!C:F,2,FALSE()),"-")</f>
        <v>DEN</v>
      </c>
      <c r="AF38" s="46">
        <f>IFERROR(VLOOKUP(Table6[[#This Row],[PLAYER]],ECR!C:F,4,FALSE()),"-")</f>
        <v>10</v>
      </c>
      <c r="AG38" s="46" t="str">
        <f>Table6[[#This Row],[Team]] &amp; "/" &amp; Table6[[#This Row],[Bye]]</f>
        <v>DEN/10</v>
      </c>
      <c r="AH38" s="57">
        <f>IFERROR(VLOOKUP(Table6[[#This Row],[PLAYER]],WR!A:Q,13,FALSE())/17*(17-Table6[[#This Row],[Missed Games]]),0)</f>
        <v>122.11476588235294</v>
      </c>
      <c r="AI38" s="57">
        <f>IFERROR(VLOOKUP(Table6[[#This Row],[PLAYER]],WR!A:Q,14,FALSE())/17*(17-Table6[[#This Row],[Missed Games]]),0)</f>
        <v>128.04583270588233</v>
      </c>
      <c r="AJ38" s="57">
        <f>IFERROR(VLOOKUP(Table6[[#This Row],[PLAYER]],WR!A:Q,15,FALSE())/17*(17-Table6[[#This Row],[Missed Games]]),0)</f>
        <v>133.29373999999999</v>
      </c>
      <c r="AK38" s="58">
        <f>AVERAGE(AVERAGE(Table6[[#This Row],[LOW]],Table6[[#This Row],[HIGH]]),Table6[[#This Row],[AVG]],VLOOKUP(Table6[[#This Row],[PLAYER]],ECR!L:N,3,FALSE))</f>
        <v>125.67787874509803</v>
      </c>
      <c r="AL38" s="58">
        <f>Table6[[#This Row],[Zscore Projection]]-$AE$1</f>
        <v>10.973980755522447</v>
      </c>
      <c r="AM38" s="59">
        <f>MAX(Table6[[#This Row],[VBD]]*Scoring!$B$48+1,1)</f>
        <v>6.3652029555561249</v>
      </c>
      <c r="AN38" s="45">
        <f>VLOOKUP(Table6[[#This Row],[VBD]],BR:BT,3,FALSE)</f>
        <v>5</v>
      </c>
      <c r="AO38" s="60">
        <f>VLOOKUP(INDEX(ECR!$E:$E,MATCH(AD38,ECR!$C:$C,0)),RISK!A:B,2,FALSE())</f>
        <v>3.8026000000000018</v>
      </c>
      <c r="AP38" s="61"/>
      <c r="AQ38" s="47" t="s">
        <v>256</v>
      </c>
      <c r="AR38" s="47" t="str">
        <f>VLOOKUP(AQ38,ECR!E:L,8,FALSE())</f>
        <v>Mike Gesicki</v>
      </c>
      <c r="AS38" s="47" t="str">
        <f>IFERROR(VLOOKUP(Table7[[#This Row],[PLAYER]],ECR!C:F,2,FALSE()),"-")</f>
        <v>CIN</v>
      </c>
      <c r="AT38" s="47">
        <f>IFERROR(VLOOKUP(Table7[[#This Row],[PLAYER]],ECR!C:F,4,FALSE()),"-")</f>
        <v>6</v>
      </c>
      <c r="AU38" s="47" t="str">
        <f>Table7[[#This Row],[Team]] &amp; "/" &amp; Table7[[#This Row],[Bye]]</f>
        <v>CIN/6</v>
      </c>
      <c r="AV38" s="57">
        <f>IFERROR(VLOOKUP(Table7[[#This Row],[PLAYER]],TE!A:K,9,FALSE())/17*(16-Table7[[#This Row],[Missed Games]]),0)</f>
        <v>54.271176470588237</v>
      </c>
      <c r="AW38" s="57">
        <f>IFERROR(VLOOKUP(Table7[[#This Row],[PLAYER]],TE!A:K,10,FALSE())/17*(16-Table7[[#This Row],[Missed Games]]),0)</f>
        <v>67.40117647058824</v>
      </c>
      <c r="AX38" s="57">
        <f>IFERROR(VLOOKUP(Table7[[#This Row],[PLAYER]],TE!A:K,11,FALSE())/17*(16-Table7[[#This Row],[Missed Games]]),0)</f>
        <v>79.376470588235293</v>
      </c>
      <c r="AY38" s="58">
        <f>AVERAGE(AVERAGE(Table7[[#This Row],[LOW]],Table7[[#This Row],[HIGH]]),Table7[[#This Row],[AVG]],VLOOKUP(Table7[[#This Row],[PLAYER]],ECR!L:N,3,FALSE))</f>
        <v>62.602647058823543</v>
      </c>
      <c r="AZ38" s="58">
        <f>Table7[[#This Row],[Zscore Projection]]-$AS$1</f>
        <v>-45.3121991372549</v>
      </c>
      <c r="BA38" s="59">
        <f>MAX(Table7[[#This Row],[VBD]]*Scoring!$B$48+1,1)</f>
        <v>1</v>
      </c>
      <c r="BB38" s="57">
        <f>VLOOKUP(Table7[[#This Row],[VBD]],BW:BY,3,FALSE)</f>
        <v>8</v>
      </c>
      <c r="BC38" s="60">
        <f>VLOOKUP(INDEX(ECR!$E:$E,MATCH(AR38,ECR!$C:$C,0)),RISK!A:B,2,FALSE())</f>
        <v>3</v>
      </c>
      <c r="BD38" s="57"/>
      <c r="BE38" s="61"/>
      <c r="BF38" s="91">
        <v>36</v>
      </c>
      <c r="BG38" s="61">
        <f t="shared" si="12"/>
        <v>24.078564705882354</v>
      </c>
      <c r="BH38" s="61">
        <f>IFERROR(LARGE($J$3:$J$52,36),"")</f>
        <v>-238.15801411764699</v>
      </c>
      <c r="BI38" s="61">
        <f t="shared" si="4"/>
        <v>-238.15801411764699</v>
      </c>
      <c r="BJ38" s="92">
        <f t="shared" si="5"/>
        <v>15</v>
      </c>
      <c r="BK38" s="91">
        <v>36</v>
      </c>
      <c r="BL38" s="61">
        <f t="shared" si="0"/>
        <v>114.95020941176472</v>
      </c>
      <c r="BM38" s="90">
        <f>IFERROR(LARGE($X$3:$X$102,36),"")</f>
        <v>1.038280254901963</v>
      </c>
      <c r="BN38" s="90">
        <f t="shared" si="6"/>
        <v>2.448186450980387</v>
      </c>
      <c r="BO38" s="92">
        <f t="shared" si="7"/>
        <v>7</v>
      </c>
      <c r="BP38" s="103">
        <v>36</v>
      </c>
      <c r="BQ38" s="61">
        <f t="shared" si="1"/>
        <v>121.28355058823527</v>
      </c>
      <c r="BR38" s="90">
        <f>IFERROR(LARGE($AL$3:$AL$102,36),"")</f>
        <v>7.3515058704393113</v>
      </c>
      <c r="BS38" s="90">
        <f t="shared" si="8"/>
        <v>14.737704245718533</v>
      </c>
      <c r="BT38" s="92">
        <f t="shared" si="9"/>
        <v>5</v>
      </c>
      <c r="BU38" s="91">
        <v>36</v>
      </c>
      <c r="BV38" s="61">
        <f t="shared" si="2"/>
        <v>53.582941176470591</v>
      </c>
      <c r="BW38" s="90">
        <f>IFERROR(LARGE($AZ$3:$AZ$52,36),"")</f>
        <v>-56.006610901960798</v>
      </c>
      <c r="BX38" s="90">
        <f t="shared" si="10"/>
        <v>-56.006610901960798</v>
      </c>
      <c r="BY38" s="105">
        <f t="shared" si="11"/>
        <v>9</v>
      </c>
      <c r="BZ38" s="90"/>
      <c r="CA38" s="90"/>
      <c r="CB38" s="90"/>
      <c r="CC38" s="90"/>
      <c r="CD38" s="90"/>
      <c r="CE38" s="90"/>
      <c r="CF38" s="90"/>
      <c r="CG38" s="90"/>
    </row>
    <row r="39" spans="1:85" s="62" customFormat="1" ht="14.25" customHeight="1" x14ac:dyDescent="0.3">
      <c r="A39" s="56" t="s">
        <v>399</v>
      </c>
      <c r="B39" s="56" t="str">
        <f>VLOOKUP(A39,ECR!E:L,8,FALSE())</f>
        <v>Mac Jones</v>
      </c>
      <c r="C39" s="46" t="str">
        <f>IFERROR(VLOOKUP(Table2[[#This Row],[PLAYER]],ECR!C:F,2,FALSE()),"-")</f>
        <v>SF</v>
      </c>
      <c r="D39" s="46">
        <f>IFERROR(VLOOKUP(Table2[[#This Row],[PLAYER]],ECR!C:F,4,FALSE()),"-")</f>
        <v>8</v>
      </c>
      <c r="E39" s="46" t="str">
        <f>Table2[[#This Row],[Team]] &amp; "/" &amp; Table2[[#This Row],[Bye]]</f>
        <v>SF/8</v>
      </c>
      <c r="F39" s="57">
        <f>IFERROR(VLOOKUP(Table2[[#This Row],[PLAYER]],QB!A:Q,15,FALSE())/17*(17-Table2[[#This Row],[Missed Games]]),0)</f>
        <v>6.8545411764705895</v>
      </c>
      <c r="G39" s="57">
        <f>IFERROR(VLOOKUP(Table2[[#This Row],[PLAYER]],QB!A:Q,16,FALSE())/17*(17-Table2[[#This Row],[Missed Games]]),0)</f>
        <v>8.5624941176470593</v>
      </c>
      <c r="H39" s="57">
        <f>IFERROR(VLOOKUP(Table2[[#This Row],[PLAYER]],QB!A:Q,17,FALSE())/17*(17-Table2[[#This Row],[Missed Games]]),0)</f>
        <v>10.163294117647059</v>
      </c>
      <c r="I39" s="58">
        <f>AVERAGE(AVERAGE(Table2[[#This Row],[LOW]],Table2[[#This Row],[HIGH]]),Table2[[#This Row],[AVG]],VLOOKUP(Table2[[#This Row],[PLAYER]],ECR!L:N,3,FALSE))</f>
        <v>10.778070588235295</v>
      </c>
      <c r="J39" s="58">
        <f>Table2[[#This Row],[Zscore Projection]]-$C$1</f>
        <v>-251.553214117647</v>
      </c>
      <c r="K39" s="59">
        <f>MAX(Table2[[#This Row],[VBD]]*Scoring!$B$48+1,1)</f>
        <v>1</v>
      </c>
      <c r="L39" s="45">
        <f>VLOOKUP(Table2[[#This Row],[VBD]],BH:BJ,3,FALSE)</f>
        <v>15</v>
      </c>
      <c r="M39" s="60">
        <f>VLOOKUP(INDEX(ECR!$E:$E,MATCH(B39,ECR!$C:$C,0)),RISK!A:B,2,FALSE())</f>
        <v>3.2</v>
      </c>
      <c r="N39" s="61"/>
      <c r="O39" s="45" t="s">
        <v>175</v>
      </c>
      <c r="P39" s="56" t="str">
        <f>VLOOKUP(O39,ECR!E:L,8,FALSE())</f>
        <v>Jacory Croskey-Merritt</v>
      </c>
      <c r="Q39" s="46" t="str">
        <f>IFERROR(VLOOKUP(Table4[[#This Row],[PLAYER]],ECR!C:F,2,FALSE()),"-")</f>
        <v>WAS</v>
      </c>
      <c r="R39" s="46">
        <f>IFERROR(VLOOKUP(Table4[[#This Row],[PLAYER]],ECR!C:F,4,FALSE()),"-")</f>
        <v>7</v>
      </c>
      <c r="S39" s="46" t="str">
        <f>Table4[[#This Row],[Team]] &amp; "/" &amp; Table4[[#This Row],[Bye]]</f>
        <v>WAS/7</v>
      </c>
      <c r="T39" s="57">
        <f>IFERROR(VLOOKUP(Table4[[#This Row],[PLAYER]],RB!A:Q,13,FALSE())/17*(17-Table4[[#This Row],[Missed Games]]),0)</f>
        <v>103.8000705882353</v>
      </c>
      <c r="U39" s="57">
        <f>IFERROR(VLOOKUP(Table4[[#This Row],[PLAYER]],RB!A:Q,14,FALSE())/17*(17-Table4[[#This Row],[Missed Games]]),0)</f>
        <v>113.96180647058824</v>
      </c>
      <c r="V39" s="57">
        <f>IFERROR(VLOOKUP(Table4[[#This Row],[PLAYER]],RB!A:Q,15,FALSE())/17*(17-Table4[[#This Row],[Missed Games]]),0)</f>
        <v>125.27957117647058</v>
      </c>
      <c r="W39" s="58">
        <f>AVERAGE(AVERAGE(Table4[[#This Row],[LOW]],Table4[[#This Row],[HIGH]]),Table4[[#This Row],[AVG]],VLOOKUP(Table4[[#This Row],[PLAYER]],ECR!L:N,3,FALSE))</f>
        <v>114.15447794117647</v>
      </c>
      <c r="X39" s="58">
        <f>Table4[[#This Row],[Zscore Projection]]-$Q$1</f>
        <v>0</v>
      </c>
      <c r="Y39" s="59">
        <f>MAX(Table4[[#This Row],[VBD]]*Scoring!$B$48+1,1)</f>
        <v>1</v>
      </c>
      <c r="Z39" s="45">
        <f>VLOOKUP(Table4[[#This Row],[VBD]],BM:BO,3,FALSE)</f>
        <v>7</v>
      </c>
      <c r="AA39" s="60">
        <f>VLOOKUP(INDEX(ECR!$E:$E,MATCH(P39,ECR!$C:$C,0)),RISK!A:B,2,FALSE())</f>
        <v>3.2569999999999997</v>
      </c>
      <c r="AB39" s="61"/>
      <c r="AC39" s="46" t="s">
        <v>197</v>
      </c>
      <c r="AD39" s="46" t="str">
        <f>VLOOKUP(AC39,ECR!E:L,8,FALSE())</f>
        <v>Quentin Johnston</v>
      </c>
      <c r="AE39" s="46" t="str">
        <f>IFERROR(VLOOKUP(Table6[[#This Row],[PLAYER]],ECR!C:F,2,FALSE()),"-")</f>
        <v>LAC</v>
      </c>
      <c r="AF39" s="46">
        <f>IFERROR(VLOOKUP(Table6[[#This Row],[PLAYER]],ECR!C:F,4,FALSE()),"-")</f>
        <v>7</v>
      </c>
      <c r="AG39" s="46" t="str">
        <f>Table6[[#This Row],[Team]] &amp; "/" &amp; Table6[[#This Row],[Bye]]</f>
        <v>LAC/7</v>
      </c>
      <c r="AH39" s="57">
        <f>IFERROR(VLOOKUP(Table6[[#This Row],[PLAYER]],WR!A:Q,13,FALSE())/17*(17-Table6[[#This Row],[Missed Games]]),0)</f>
        <v>100.41862470588235</v>
      </c>
      <c r="AI39" s="57">
        <f>IFERROR(VLOOKUP(Table6[[#This Row],[PLAYER]],WR!A:Q,14,FALSE())/17*(17-Table6[[#This Row],[Missed Games]]),0)</f>
        <v>111.27281041176468</v>
      </c>
      <c r="AJ39" s="57">
        <f>IFERROR(VLOOKUP(Table6[[#This Row],[PLAYER]],WR!A:Q,15,FALSE())/17*(17-Table6[[#This Row],[Missed Games]]),0)</f>
        <v>125.39176188235295</v>
      </c>
      <c r="AK39" s="58">
        <f>AVERAGE(AVERAGE(Table6[[#This Row],[LOW]],Table6[[#This Row],[HIGH]]),Table6[[#This Row],[AVG]],VLOOKUP(Table6[[#This Row],[PLAYER]],ECR!L:N,3,FALSE))</f>
        <v>114.41158080392155</v>
      </c>
      <c r="AL39" s="58">
        <f>Table6[[#This Row],[Zscore Projection]]-$AE$1</f>
        <v>-0.29231718565402787</v>
      </c>
      <c r="AM39" s="59">
        <f>MAX(Table6[[#This Row],[VBD]]*Scoring!$B$48+1,1)</f>
        <v>1</v>
      </c>
      <c r="AN39" s="45">
        <f>VLOOKUP(Table6[[#This Row],[VBD]],BR:BT,3,FALSE)</f>
        <v>5</v>
      </c>
      <c r="AO39" s="60">
        <f>VLOOKUP(INDEX(ECR!$E:$E,MATCH(AD39,ECR!$C:$C,0)),RISK!A:B,2,FALSE())</f>
        <v>3.8481000000000005</v>
      </c>
      <c r="AP39" s="61"/>
      <c r="AQ39" s="47" t="s">
        <v>319</v>
      </c>
      <c r="AR39" s="47" t="str">
        <f>VLOOKUP(AQ39,ECR!E:L,8,FALSE())</f>
        <v>Darren Waller</v>
      </c>
      <c r="AS39" s="47" t="str">
        <f>IFERROR(VLOOKUP(Table7[[#This Row],[PLAYER]],ECR!C:F,2,FALSE()),"-")</f>
        <v>CAR</v>
      </c>
      <c r="AT39" s="47">
        <f>IFERROR(VLOOKUP(Table7[[#This Row],[PLAYER]],ECR!C:F,4,FALSE()),"-")</f>
        <v>5</v>
      </c>
      <c r="AU39" s="47" t="str">
        <f>Table7[[#This Row],[Team]] &amp; "/" &amp; Table7[[#This Row],[Bye]]</f>
        <v>CAR/5</v>
      </c>
      <c r="AV39" s="57">
        <f>IFERROR(VLOOKUP(Table7[[#This Row],[PLAYER]],TE!A:K,9,FALSE())/17*(16-Table7[[#This Row],[Missed Games]]),0)</f>
        <v>64.082352941176481</v>
      </c>
      <c r="AW39" s="57">
        <f>IFERROR(VLOOKUP(Table7[[#This Row],[PLAYER]],TE!A:K,10,FALSE())/17*(16-Table7[[#This Row],[Missed Games]]),0)</f>
        <v>72.088823529411755</v>
      </c>
      <c r="AX39" s="57">
        <f>IFERROR(VLOOKUP(Table7[[#This Row],[PLAYER]],TE!A:K,11,FALSE())/17*(16-Table7[[#This Row],[Missed Games]]),0)</f>
        <v>81.265294117647059</v>
      </c>
      <c r="AY39" s="58">
        <f>AVERAGE(AVERAGE(Table7[[#This Row],[LOW]],Table7[[#This Row],[HIGH]]),Table7[[#This Row],[AVG]],VLOOKUP(Table7[[#This Row],[PLAYER]],ECR!L:N,3,FALSE))</f>
        <v>64.743823529411756</v>
      </c>
      <c r="AZ39" s="58">
        <f>Table7[[#This Row],[Zscore Projection]]-$AS$1</f>
        <v>-43.171022666666687</v>
      </c>
      <c r="BA39" s="59">
        <f>MAX(Table7[[#This Row],[VBD]]*Scoring!$B$48+1,1)</f>
        <v>1</v>
      </c>
      <c r="BB39" s="57">
        <f>VLOOKUP(Table7[[#This Row],[VBD]],BW:BY,3,FALSE)</f>
        <v>8</v>
      </c>
      <c r="BC39" s="60">
        <f>VLOOKUP(INDEX(ECR!$E:$E,MATCH(AR39,ECR!$C:$C,0)),RISK!A:B,2,FALSE())</f>
        <v>3</v>
      </c>
      <c r="BD39" s="57"/>
      <c r="BE39" s="61"/>
      <c r="BF39" s="91">
        <v>37</v>
      </c>
      <c r="BG39" s="61">
        <f t="shared" si="12"/>
        <v>15.262800000000002</v>
      </c>
      <c r="BH39" s="61">
        <f>IFERROR(LARGE($J$3:$J$52,37),"")</f>
        <v>-247.63239058823524</v>
      </c>
      <c r="BI39" s="61">
        <f t="shared" si="4"/>
        <v>-247.63239058823524</v>
      </c>
      <c r="BJ39" s="92">
        <f t="shared" si="5"/>
        <v>15</v>
      </c>
      <c r="BK39" s="91">
        <v>37</v>
      </c>
      <c r="BL39" s="61">
        <f t="shared" si="0"/>
        <v>113.96180647058824</v>
      </c>
      <c r="BM39" s="90">
        <f>IFERROR(LARGE($X$3:$X$102,37),"")</f>
        <v>0.76857660784312998</v>
      </c>
      <c r="BN39" s="90">
        <f t="shared" si="6"/>
        <v>2.448186450980387</v>
      </c>
      <c r="BO39" s="92">
        <f t="shared" si="7"/>
        <v>7</v>
      </c>
      <c r="BP39" s="103">
        <v>37</v>
      </c>
      <c r="BQ39" s="61">
        <f t="shared" si="1"/>
        <v>119.05673870588235</v>
      </c>
      <c r="BR39" s="90">
        <f>IFERROR(LARGE($AL$3:$AL$102,37),"")</f>
        <v>2.114567436088393</v>
      </c>
      <c r="BS39" s="90">
        <f t="shared" si="8"/>
        <v>14.737704245718533</v>
      </c>
      <c r="BT39" s="92">
        <f t="shared" si="9"/>
        <v>5</v>
      </c>
      <c r="BU39" s="91">
        <v>37</v>
      </c>
      <c r="BV39" s="61">
        <f t="shared" si="2"/>
        <v>49.468823529411765</v>
      </c>
      <c r="BW39" s="90">
        <f>IFERROR(LARGE($AZ$3:$AZ$52,37),"")</f>
        <v>-57.548767764705886</v>
      </c>
      <c r="BX39" s="90">
        <f t="shared" si="10"/>
        <v>-56.006610901960798</v>
      </c>
      <c r="BY39" s="105">
        <f t="shared" si="11"/>
        <v>9</v>
      </c>
      <c r="BZ39" s="90"/>
      <c r="CA39" s="90"/>
      <c r="CB39" s="90"/>
      <c r="CC39" s="90"/>
      <c r="CD39" s="90"/>
      <c r="CE39" s="90"/>
      <c r="CF39" s="90"/>
      <c r="CG39" s="90"/>
    </row>
    <row r="40" spans="1:85" s="62" customFormat="1" ht="14.25" customHeight="1" x14ac:dyDescent="0.3">
      <c r="A40" s="56" t="s">
        <v>400</v>
      </c>
      <c r="B40" s="56" t="str">
        <f>VLOOKUP(A40,ECR!E:L,8,FALSE())</f>
        <v>J.J. McCarthy</v>
      </c>
      <c r="C40" s="46" t="str">
        <f>IFERROR(VLOOKUP(Table2[[#This Row],[PLAYER]],ECR!C:F,2,FALSE()),"-")</f>
        <v>MIN</v>
      </c>
      <c r="D40" s="46">
        <f>IFERROR(VLOOKUP(Table2[[#This Row],[PLAYER]],ECR!C:F,4,FALSE()),"-")</f>
        <v>6</v>
      </c>
      <c r="E40" s="46" t="str">
        <f>Table2[[#This Row],[Team]] &amp; "/" &amp; Table2[[#This Row],[Bye]]</f>
        <v>MIN/6</v>
      </c>
      <c r="F40" s="57">
        <f>IFERROR(VLOOKUP(Table2[[#This Row],[PLAYER]],QB!A:Q,15,FALSE())/17*(17-Table2[[#This Row],[Missed Games]]),0)</f>
        <v>7.0542352941176469</v>
      </c>
      <c r="G40" s="57">
        <f>IFERROR(VLOOKUP(Table2[[#This Row],[PLAYER]],QB!A:Q,16,FALSE())/17*(17-Table2[[#This Row],[Missed Games]]),0)</f>
        <v>9.887294117647059</v>
      </c>
      <c r="H40" s="57">
        <f>IFERROR(VLOOKUP(Table2[[#This Row],[PLAYER]],QB!A:Q,17,FALSE())/17*(17-Table2[[#This Row],[Missed Games]]),0)</f>
        <v>13.994823529411766</v>
      </c>
      <c r="I40" s="58">
        <f>AVERAGE(AVERAGE(Table2[[#This Row],[LOW]],Table2[[#This Row],[HIGH]]),Table2[[#This Row],[AVG]],VLOOKUP(Table2[[#This Row],[PLAYER]],ECR!L:N,3,FALSE))</f>
        <v>11.659917647058824</v>
      </c>
      <c r="J40" s="58">
        <f>Table2[[#This Row],[Zscore Projection]]-$C$1</f>
        <v>-250.67136705882348</v>
      </c>
      <c r="K40" s="59">
        <f>MAX(Table2[[#This Row],[VBD]]*Scoring!$B$48+1,1)</f>
        <v>1</v>
      </c>
      <c r="L40" s="45">
        <f>VLOOKUP(Table2[[#This Row],[VBD]],BH:BJ,3,FALSE)</f>
        <v>15</v>
      </c>
      <c r="M40" s="60">
        <f>VLOOKUP(INDEX(ECR!$E:$E,MATCH(B40,ECR!$C:$C,0)),RISK!A:B,2,FALSE())</f>
        <v>3.2</v>
      </c>
      <c r="N40" s="61"/>
      <c r="O40" s="45" t="s">
        <v>166</v>
      </c>
      <c r="P40" s="56" t="str">
        <f>VLOOKUP(O40,ECR!E:L,8,FALSE())</f>
        <v>Kenny Gainwell</v>
      </c>
      <c r="Q40" s="46" t="str">
        <f>IFERROR(VLOOKUP(Table4[[#This Row],[PLAYER]],ECR!C:F,2,FALSE()),"-")</f>
        <v>TB</v>
      </c>
      <c r="R40" s="46">
        <f>IFERROR(VLOOKUP(Table4[[#This Row],[PLAYER]],ECR!C:F,4,FALSE()),"-")</f>
        <v>10</v>
      </c>
      <c r="S40" s="46" t="str">
        <f>Table4[[#This Row],[Team]] &amp; "/" &amp; Table4[[#This Row],[Bye]]</f>
        <v>TB/10</v>
      </c>
      <c r="T40" s="57">
        <f>IFERROR(VLOOKUP(Table4[[#This Row],[PLAYER]],RB!A:Q,13,FALSE())/17*(17-Table4[[#This Row],[Missed Games]]),0)</f>
        <v>103.08138117647059</v>
      </c>
      <c r="U40" s="57">
        <f>IFERROR(VLOOKUP(Table4[[#This Row],[PLAYER]],RB!A:Q,14,FALSE())/17*(17-Table4[[#This Row],[Missed Games]]),0)</f>
        <v>118.16882023529409</v>
      </c>
      <c r="V40" s="57">
        <f>IFERROR(VLOOKUP(Table4[[#This Row],[PLAYER]],RB!A:Q,15,FALSE())/17*(17-Table4[[#This Row],[Missed Games]]),0)</f>
        <v>133.30461647058826</v>
      </c>
      <c r="W40" s="58">
        <f>AVERAGE(AVERAGE(Table4[[#This Row],[LOW]],Table4[[#This Row],[HIGH]]),Table4[[#This Row],[AVG]],VLOOKUP(Table4[[#This Row],[PLAYER]],ECR!L:N,3,FALSE))</f>
        <v>116.60266439215685</v>
      </c>
      <c r="X40" s="58">
        <f>Table4[[#This Row],[Zscore Projection]]-$Q$1</f>
        <v>2.448186450980387</v>
      </c>
      <c r="Y40" s="59">
        <f>MAX(Table4[[#This Row],[VBD]]*Scoring!$B$48+1,1)</f>
        <v>2.1969236574378428</v>
      </c>
      <c r="Z40" s="45">
        <f>VLOOKUP(Table4[[#This Row],[VBD]],BM:BO,3,FALSE)</f>
        <v>7</v>
      </c>
      <c r="AA40" s="60">
        <f>VLOOKUP(INDEX(ECR!$E:$E,MATCH(P40,ECR!$C:$C,0)),RISK!A:B,2,FALSE())</f>
        <v>3.2988</v>
      </c>
      <c r="AB40" s="61"/>
      <c r="AC40" s="46" t="s">
        <v>201</v>
      </c>
      <c r="AD40" s="46" t="str">
        <f>VLOOKUP(AC40,ECR!E:L,8,FALSE())</f>
        <v>Michael Pittman Jr.</v>
      </c>
      <c r="AE40" s="46" t="str">
        <f>IFERROR(VLOOKUP(Table6[[#This Row],[PLAYER]],ECR!C:F,2,FALSE()),"-")</f>
        <v>PIT</v>
      </c>
      <c r="AF40" s="46">
        <f>IFERROR(VLOOKUP(Table6[[#This Row],[PLAYER]],ECR!C:F,4,FALSE()),"-")</f>
        <v>9</v>
      </c>
      <c r="AG40" s="46" t="str">
        <f>Table6[[#This Row],[Team]] &amp; "/" &amp; Table6[[#This Row],[Bye]]</f>
        <v>PIT/9</v>
      </c>
      <c r="AH40" s="57">
        <f>IFERROR(VLOOKUP(Table6[[#This Row],[PLAYER]],WR!A:Q,13,FALSE())/17*(17-Table6[[#This Row],[Missed Games]]),0)</f>
        <v>98.793968726731194</v>
      </c>
      <c r="AI40" s="57">
        <f>IFERROR(VLOOKUP(Table6[[#This Row],[PLAYER]],WR!A:Q,14,FALSE())/17*(17-Table6[[#This Row],[Missed Games]]),0)</f>
        <v>116.20862993298586</v>
      </c>
      <c r="AJ40" s="57">
        <f>IFERROR(VLOOKUP(Table6[[#This Row],[PLAYER]],WR!A:Q,15,FALSE())/17*(17-Table6[[#This Row],[Missed Games]]),0)</f>
        <v>129.89434102755027</v>
      </c>
      <c r="AK40" s="58">
        <f>AVERAGE(AVERAGE(Table6[[#This Row],[LOW]],Table6[[#This Row],[HIGH]]),Table6[[#This Row],[AVG]],VLOOKUP(Table6[[#This Row],[PLAYER]],ECR!L:N,3,FALSE))</f>
        <v>116.27567882849343</v>
      </c>
      <c r="AL40" s="58">
        <f>Table6[[#This Row],[Zscore Projection]]-$AE$1</f>
        <v>1.5717808389178458</v>
      </c>
      <c r="AM40" s="59">
        <f>MAX(Table6[[#This Row],[VBD]]*Scoring!$B$48+1,1)</f>
        <v>1.7684470558420475</v>
      </c>
      <c r="AN40" s="45">
        <f>VLOOKUP(Table6[[#This Row],[VBD]],BR:BT,3,FALSE)</f>
        <v>5</v>
      </c>
      <c r="AO40" s="60">
        <f>VLOOKUP(INDEX(ECR!$E:$E,MATCH(AD40,ECR!$C:$C,0)),RISK!A:B,2,FALSE())</f>
        <v>3.848101265822784</v>
      </c>
      <c r="AP40" s="61"/>
      <c r="AQ40" s="47" t="s">
        <v>285</v>
      </c>
      <c r="AR40" s="47" t="str">
        <f>VLOOKUP(AQ40,ECR!E:L,8,FALSE())</f>
        <v>Jake Tonges</v>
      </c>
      <c r="AS40" s="47" t="str">
        <f>IFERROR(VLOOKUP(Table7[[#This Row],[PLAYER]],ECR!C:F,2,FALSE()),"-")</f>
        <v>SF</v>
      </c>
      <c r="AT40" s="47">
        <f>IFERROR(VLOOKUP(Table7[[#This Row],[PLAYER]],ECR!C:F,4,FALSE()),"-")</f>
        <v>8</v>
      </c>
      <c r="AU40" s="47" t="str">
        <f>Table7[[#This Row],[Team]] &amp; "/" &amp; Table7[[#This Row],[Bye]]</f>
        <v>SF/8</v>
      </c>
      <c r="AV40" s="57">
        <f>IFERROR(VLOOKUP(Table7[[#This Row],[PLAYER]],TE!A:K,9,FALSE())/17*(16-Table7[[#This Row],[Missed Games]]),0)</f>
        <v>12.09</v>
      </c>
      <c r="AW40" s="57">
        <f>IFERROR(VLOOKUP(Table7[[#This Row],[PLAYER]],TE!A:K,10,FALSE())/17*(16-Table7[[#This Row],[Missed Games]]),0)</f>
        <v>22.74235294117647</v>
      </c>
      <c r="AX40" s="57">
        <f>IFERROR(VLOOKUP(Table7[[#This Row],[PLAYER]],TE!A:K,11,FALSE())/17*(16-Table7[[#This Row],[Missed Games]]),0)</f>
        <v>39</v>
      </c>
      <c r="AY40" s="58">
        <f>AVERAGE(AVERAGE(Table7[[#This Row],[LOW]],Table7[[#This Row],[HIGH]]),Table7[[#This Row],[AVG]],VLOOKUP(Table7[[#This Row],[PLAYER]],ECR!L:N,3,FALSE))</f>
        <v>32.047549019607843</v>
      </c>
      <c r="AZ40" s="58">
        <f>Table7[[#This Row],[Zscore Projection]]-$AS$1</f>
        <v>-75.867297176470601</v>
      </c>
      <c r="BA40" s="59">
        <f>MAX(Table7[[#This Row],[VBD]]*Scoring!$B$48+1,1)</f>
        <v>1</v>
      </c>
      <c r="BB40" s="57">
        <f>VLOOKUP(Table7[[#This Row],[VBD]],BW:BY,3,FALSE)</f>
        <v>10</v>
      </c>
      <c r="BC40" s="60">
        <f>VLOOKUP(INDEX(ECR!$E:$E,MATCH(AR40,ECR!$C:$C,0)),RISK!A:B,2,FALSE())</f>
        <v>3</v>
      </c>
      <c r="BD40" s="57"/>
      <c r="BE40" s="61"/>
      <c r="BF40" s="91">
        <v>38</v>
      </c>
      <c r="BG40" s="61">
        <f t="shared" si="12"/>
        <v>14.567929411764705</v>
      </c>
      <c r="BH40" s="61">
        <f>IFERROR(LARGE($J$3:$J$52,38),"")</f>
        <v>-249.69697882352935</v>
      </c>
      <c r="BI40" s="61">
        <f t="shared" si="4"/>
        <v>-247.63239058823524</v>
      </c>
      <c r="BJ40" s="92">
        <f t="shared" si="5"/>
        <v>15</v>
      </c>
      <c r="BK40" s="91">
        <v>38</v>
      </c>
      <c r="BL40" s="61">
        <f t="shared" si="0"/>
        <v>113.44617411764706</v>
      </c>
      <c r="BM40" s="90">
        <f>IFERROR(LARGE($X$3:$X$102,38),"")</f>
        <v>0</v>
      </c>
      <c r="BN40" s="90">
        <f t="shared" si="6"/>
        <v>2.448186450980387</v>
      </c>
      <c r="BO40" s="92">
        <f t="shared" si="7"/>
        <v>7</v>
      </c>
      <c r="BP40" s="103">
        <v>38</v>
      </c>
      <c r="BQ40" s="61">
        <f t="shared" si="1"/>
        <v>118.27425167535368</v>
      </c>
      <c r="BR40" s="90">
        <f>IFERROR(LARGE($AL$3:$AL$102,38),"")</f>
        <v>1.5717808389178458</v>
      </c>
      <c r="BS40" s="90">
        <f t="shared" si="8"/>
        <v>14.737704245718533</v>
      </c>
      <c r="BT40" s="92">
        <f t="shared" si="9"/>
        <v>5</v>
      </c>
      <c r="BU40" s="91">
        <v>38</v>
      </c>
      <c r="BV40" s="61">
        <f t="shared" si="2"/>
        <v>47.855294117647055</v>
      </c>
      <c r="BW40" s="90">
        <f>IFERROR(LARGE($AZ$3:$AZ$52,38),"")</f>
        <v>-62.580532470588246</v>
      </c>
      <c r="BX40" s="90">
        <f t="shared" si="10"/>
        <v>-56.006610901960798</v>
      </c>
      <c r="BY40" s="105">
        <f t="shared" si="11"/>
        <v>9</v>
      </c>
      <c r="BZ40" s="90"/>
      <c r="CA40" s="90"/>
      <c r="CB40" s="90"/>
      <c r="CC40" s="90"/>
      <c r="CD40" s="90"/>
      <c r="CE40" s="90"/>
      <c r="CF40" s="90"/>
      <c r="CG40" s="90"/>
    </row>
    <row r="41" spans="1:85" s="62" customFormat="1" ht="14.25" customHeight="1" x14ac:dyDescent="0.3">
      <c r="A41" s="56" t="s">
        <v>401</v>
      </c>
      <c r="B41" s="56" t="str">
        <f>VLOOKUP(A41,ECR!E:L,8,FALSE())</f>
        <v>Justin Fields</v>
      </c>
      <c r="C41" s="46" t="str">
        <f>IFERROR(VLOOKUP(Table2[[#This Row],[PLAYER]],ECR!C:F,2,FALSE()),"-")</f>
        <v>KC</v>
      </c>
      <c r="D41" s="46">
        <f>IFERROR(VLOOKUP(Table2[[#This Row],[PLAYER]],ECR!C:F,4,FALSE()),"-")</f>
        <v>5</v>
      </c>
      <c r="E41" s="46" t="str">
        <f>Table2[[#This Row],[Team]] &amp; "/" &amp; Table2[[#This Row],[Bye]]</f>
        <v>KC/5</v>
      </c>
      <c r="F41" s="57">
        <f>IFERROR(VLOOKUP(Table2[[#This Row],[PLAYER]],QB!A:Q,15,FALSE())/17*(17-Table2[[#This Row],[Missed Games]]),0)</f>
        <v>7.59</v>
      </c>
      <c r="G41" s="57">
        <f>IFERROR(VLOOKUP(Table2[[#This Row],[PLAYER]],QB!A:Q,16,FALSE())/17*(17-Table2[[#This Row],[Missed Games]]),0)</f>
        <v>10.104847058823529</v>
      </c>
      <c r="H41" s="57">
        <f>IFERROR(VLOOKUP(Table2[[#This Row],[PLAYER]],QB!A:Q,17,FALSE())/17*(17-Table2[[#This Row],[Missed Games]]),0)</f>
        <v>13.296705882352942</v>
      </c>
      <c r="I41" s="58">
        <f>AVERAGE(AVERAGE(Table2[[#This Row],[LOW]],Table2[[#This Row],[HIGH]]),Table2[[#This Row],[AVG]],VLOOKUP(Table2[[#This Row],[PLAYER]],ECR!L:N,3,FALSE))</f>
        <v>10.217682352941177</v>
      </c>
      <c r="J41" s="58">
        <f>Table2[[#This Row],[Zscore Projection]]-$C$1</f>
        <v>-252.11360235294111</v>
      </c>
      <c r="K41" s="59">
        <f>MAX(Table2[[#This Row],[VBD]]*Scoring!$B$48+1,1)</f>
        <v>1</v>
      </c>
      <c r="L41" s="45">
        <f>VLOOKUP(Table2[[#This Row],[VBD]],BH:BJ,3,FALSE)</f>
        <v>15</v>
      </c>
      <c r="M41" s="60">
        <f>VLOOKUP(INDEX(ECR!$E:$E,MATCH(B41,ECR!$C:$C,0)),RISK!A:B,2,FALSE())</f>
        <v>3.2</v>
      </c>
      <c r="N41" s="61"/>
      <c r="O41" s="45" t="s">
        <v>162</v>
      </c>
      <c r="P41" s="56" t="str">
        <f>VLOOKUP(O41,ECR!E:L,8,FALSE())</f>
        <v>Kyle Monangai</v>
      </c>
      <c r="Q41" s="46" t="str">
        <f>IFERROR(VLOOKUP(Table4[[#This Row],[PLAYER]],ECR!C:F,2,FALSE()),"-")</f>
        <v>CHI</v>
      </c>
      <c r="R41" s="46">
        <f>IFERROR(VLOOKUP(Table4[[#This Row],[PLAYER]],ECR!C:F,4,FALSE()),"-")</f>
        <v>10</v>
      </c>
      <c r="S41" s="46" t="str">
        <f>Table4[[#This Row],[Team]] &amp; "/" &amp; Table4[[#This Row],[Bye]]</f>
        <v>CHI/10</v>
      </c>
      <c r="T41" s="57">
        <f>IFERROR(VLOOKUP(Table4[[#This Row],[PLAYER]],RB!A:Q,13,FALSE())/17*(17-Table4[[#This Row],[Missed Games]]),0)</f>
        <v>100.99033764705882</v>
      </c>
      <c r="U41" s="57">
        <f>IFERROR(VLOOKUP(Table4[[#This Row],[PLAYER]],RB!A:Q,14,FALSE())/17*(17-Table4[[#This Row],[Missed Games]]),0)</f>
        <v>115.74119364705882</v>
      </c>
      <c r="V41" s="57">
        <f>IFERROR(VLOOKUP(Table4[[#This Row],[PLAYER]],RB!A:Q,15,FALSE())/17*(17-Table4[[#This Row],[Missed Games]]),0)</f>
        <v>132.9023202352941</v>
      </c>
      <c r="W41" s="58">
        <f>AVERAGE(AVERAGE(Table4[[#This Row],[LOW]],Table4[[#This Row],[HIGH]]),Table4[[#This Row],[AVG]],VLOOKUP(Table4[[#This Row],[PLAYER]],ECR!L:N,3,FALSE))</f>
        <v>115.19275819607843</v>
      </c>
      <c r="X41" s="58">
        <f>Table4[[#This Row],[Zscore Projection]]-$Q$1</f>
        <v>1.038280254901963</v>
      </c>
      <c r="Y41" s="59">
        <f>MAX(Table4[[#This Row],[VBD]]*Scoring!$B$48+1,1)</f>
        <v>1.5076174650199097</v>
      </c>
      <c r="Z41" s="45">
        <f>VLOOKUP(Table4[[#This Row],[VBD]],BM:BO,3,FALSE)</f>
        <v>7</v>
      </c>
      <c r="AA41" s="60">
        <f>VLOOKUP(INDEX(ECR!$E:$E,MATCH(P41,ECR!$C:$C,0)),RISK!A:B,2,FALSE())</f>
        <v>3.341800000000001</v>
      </c>
      <c r="AB41" s="61"/>
      <c r="AC41" s="46" t="s">
        <v>202</v>
      </c>
      <c r="AD41" s="46" t="str">
        <f>VLOOKUP(AC41,ECR!E:L,8,FALSE())</f>
        <v>Michael Wilson</v>
      </c>
      <c r="AE41" s="46" t="str">
        <f>IFERROR(VLOOKUP(Table6[[#This Row],[PLAYER]],ECR!C:F,2,FALSE()),"-")</f>
        <v>ARI</v>
      </c>
      <c r="AF41" s="46">
        <f>IFERROR(VLOOKUP(Table6[[#This Row],[PLAYER]],ECR!C:F,4,FALSE()),"-")</f>
        <v>14</v>
      </c>
      <c r="AG41" s="46" t="str">
        <f>Table6[[#This Row],[Team]] &amp; "/" &amp; Table6[[#This Row],[Bye]]</f>
        <v>ARI/14</v>
      </c>
      <c r="AH41" s="57">
        <f>IFERROR(VLOOKUP(Table6[[#This Row],[PLAYER]],WR!A:Q,13,FALSE())/17*(17-Table6[[#This Row],[Missed Games]]),0)</f>
        <v>104.28682055100521</v>
      </c>
      <c r="AI41" s="57">
        <f>IFERROR(VLOOKUP(Table6[[#This Row],[PLAYER]],WR!A:Q,14,FALSE())/17*(17-Table6[[#This Row],[Missed Games]]),0)</f>
        <v>111.70603871928517</v>
      </c>
      <c r="AJ41" s="57">
        <f>IFERROR(VLOOKUP(Table6[[#This Row],[PLAYER]],WR!A:Q,15,FALSE())/17*(17-Table6[[#This Row],[Missed Games]]),0)</f>
        <v>121.80979151154133</v>
      </c>
      <c r="AK41" s="58">
        <f>AVERAGE(AVERAGE(Table6[[#This Row],[LOW]],Table6[[#This Row],[HIGH]]),Table6[[#This Row],[AVG]],VLOOKUP(Table6[[#This Row],[PLAYER]],ECR!L:N,3,FALSE))</f>
        <v>113.65432489451477</v>
      </c>
      <c r="AL41" s="58">
        <f>Table6[[#This Row],[Zscore Projection]]-$AE$1</f>
        <v>-1.0495730950608078</v>
      </c>
      <c r="AM41" s="59">
        <f>MAX(Table6[[#This Row],[VBD]]*Scoring!$B$48+1,1)</f>
        <v>1</v>
      </c>
      <c r="AN41" s="45">
        <f>VLOOKUP(Table6[[#This Row],[VBD]],BR:BT,3,FALSE)</f>
        <v>5</v>
      </c>
      <c r="AO41" s="60">
        <f>VLOOKUP(INDEX(ECR!$E:$E,MATCH(AD41,ECR!$C:$C,0)),RISK!A:B,2,FALSE())</f>
        <v>3.848101265822784</v>
      </c>
      <c r="AP41" s="61"/>
      <c r="AQ41" s="47" t="s">
        <v>251</v>
      </c>
      <c r="AR41" s="47" t="str">
        <f>VLOOKUP(AQ41,ECR!E:L,8,FALSE())</f>
        <v>Darnell Washington</v>
      </c>
      <c r="AS41" s="47" t="str">
        <f>IFERROR(VLOOKUP(Table7[[#This Row],[PLAYER]],ECR!C:F,2,FALSE()),"-")</f>
        <v>PIT</v>
      </c>
      <c r="AT41" s="47">
        <f>IFERROR(VLOOKUP(Table7[[#This Row],[PLAYER]],ECR!C:F,4,FALSE()),"-")</f>
        <v>9</v>
      </c>
      <c r="AU41" s="47" t="str">
        <f>Table7[[#This Row],[Team]] &amp; "/" &amp; Table7[[#This Row],[Bye]]</f>
        <v>PIT/9</v>
      </c>
      <c r="AV41" s="57">
        <f>IFERROR(VLOOKUP(Table7[[#This Row],[PLAYER]],TE!A:K,9,FALSE())/17*(16-Table7[[#This Row],[Missed Games]]),0)</f>
        <v>39.994117647058822</v>
      </c>
      <c r="AW41" s="57">
        <f>IFERROR(VLOOKUP(Table7[[#This Row],[PLAYER]],TE!A:K,10,FALSE())/17*(16-Table7[[#This Row],[Missed Games]]),0)</f>
        <v>45.15588235294117</v>
      </c>
      <c r="AX41" s="57">
        <f>IFERROR(VLOOKUP(Table7[[#This Row],[PLAYER]],TE!A:K,11,FALSE())/17*(16-Table7[[#This Row],[Missed Games]]),0)</f>
        <v>51.388235294117649</v>
      </c>
      <c r="AY41" s="58">
        <f>AVERAGE(AVERAGE(Table7[[#This Row],[LOW]],Table7[[#This Row],[HIGH]]),Table7[[#This Row],[AVG]],VLOOKUP(Table7[[#This Row],[PLAYER]],ECR!L:N,3,FALSE))</f>
        <v>45.334313725490198</v>
      </c>
      <c r="AZ41" s="58">
        <f>Table7[[#This Row],[Zscore Projection]]-$AS$1</f>
        <v>-62.580532470588246</v>
      </c>
      <c r="BA41" s="59">
        <f>MAX(Table7[[#This Row],[VBD]]*Scoring!$B$48+1,1)</f>
        <v>1</v>
      </c>
      <c r="BB41" s="57">
        <f>VLOOKUP(Table7[[#This Row],[VBD]],BW:BY,3,FALSE)</f>
        <v>9</v>
      </c>
      <c r="BC41" s="60">
        <f>VLOOKUP(INDEX(ECR!$E:$E,MATCH(AR41,ECR!$C:$C,0)),RISK!A:B,2,FALSE())</f>
        <v>3</v>
      </c>
      <c r="BD41" s="57"/>
      <c r="BE41" s="61"/>
      <c r="BF41" s="91">
        <v>39</v>
      </c>
      <c r="BG41" s="61">
        <f t="shared" si="12"/>
        <v>10.104847058823529</v>
      </c>
      <c r="BH41" s="61">
        <f>IFERROR(LARGE($J$3:$J$52,39),"")</f>
        <v>-250.67136705882348</v>
      </c>
      <c r="BI41" s="61">
        <f t="shared" si="4"/>
        <v>-247.63239058823524</v>
      </c>
      <c r="BJ41" s="92">
        <f t="shared" si="5"/>
        <v>15</v>
      </c>
      <c r="BK41" s="91">
        <v>39</v>
      </c>
      <c r="BL41" s="61">
        <f t="shared" si="0"/>
        <v>112.89075200000001</v>
      </c>
      <c r="BM41" s="90">
        <f>IFERROR(LARGE($X$3:$X$102,39),"")</f>
        <v>-9.6880372549023264E-2</v>
      </c>
      <c r="BN41" s="90">
        <f t="shared" si="6"/>
        <v>2.448186450980387</v>
      </c>
      <c r="BO41" s="92">
        <f t="shared" si="7"/>
        <v>7</v>
      </c>
      <c r="BP41" s="103">
        <v>39</v>
      </c>
      <c r="BQ41" s="61">
        <f t="shared" si="1"/>
        <v>116.20862993298586</v>
      </c>
      <c r="BR41" s="90">
        <f>IFERROR(LARGE($AL$3:$AL$102,39),"")</f>
        <v>0</v>
      </c>
      <c r="BS41" s="90">
        <f t="shared" si="8"/>
        <v>14.737704245718533</v>
      </c>
      <c r="BT41" s="92">
        <f t="shared" si="9"/>
        <v>5</v>
      </c>
      <c r="BU41" s="91">
        <v>39</v>
      </c>
      <c r="BV41" s="61">
        <f t="shared" si="2"/>
        <v>45.15588235294117</v>
      </c>
      <c r="BW41" s="90">
        <f>IFERROR(LARGE($AZ$3:$AZ$52,39),"")</f>
        <v>-64.405630509803927</v>
      </c>
      <c r="BX41" s="90">
        <f t="shared" si="10"/>
        <v>-56.006610901960798</v>
      </c>
      <c r="BY41" s="105">
        <f t="shared" si="11"/>
        <v>9</v>
      </c>
      <c r="BZ41" s="90"/>
      <c r="CA41" s="90"/>
      <c r="CB41" s="90"/>
      <c r="CC41" s="90"/>
      <c r="CD41" s="90"/>
      <c r="CE41" s="90"/>
      <c r="CF41" s="90"/>
      <c r="CG41" s="90"/>
    </row>
    <row r="42" spans="1:85" s="62" customFormat="1" ht="14.25" customHeight="1" x14ac:dyDescent="0.3">
      <c r="A42" s="56" t="s">
        <v>402</v>
      </c>
      <c r="B42" s="56" t="str">
        <f>VLOOKUP(A42,ECR!E:L,8,FALSE())</f>
        <v>Ty Simpson</v>
      </c>
      <c r="C42" s="46" t="str">
        <f>IFERROR(VLOOKUP(Table2[[#This Row],[PLAYER]],ECR!C:F,2,FALSE()),"-")</f>
        <v>LAR</v>
      </c>
      <c r="D42" s="46">
        <f>IFERROR(VLOOKUP(Table2[[#This Row],[PLAYER]],ECR!C:F,4,FALSE()),"-")</f>
        <v>11</v>
      </c>
      <c r="E42" s="46" t="str">
        <f>Table2[[#This Row],[Team]] &amp; "/" &amp; Table2[[#This Row],[Bye]]</f>
        <v>LAR/11</v>
      </c>
      <c r="F42" s="57">
        <f>IFERROR(VLOOKUP(Table2[[#This Row],[PLAYER]],QB!A:Q,15,FALSE())/17*(17-Table2[[#This Row],[Missed Games]]),0)</f>
        <v>6.7863529411764718</v>
      </c>
      <c r="G42" s="57">
        <f>IFERROR(VLOOKUP(Table2[[#This Row],[PLAYER]],QB!A:Q,16,FALSE())/17*(17-Table2[[#This Row],[Missed Games]]),0)</f>
        <v>15.262800000000002</v>
      </c>
      <c r="H42" s="57">
        <f>IFERROR(VLOOKUP(Table2[[#This Row],[PLAYER]],QB!A:Q,17,FALSE())/17*(17-Table2[[#This Row],[Missed Games]]),0)</f>
        <v>30.684705882352944</v>
      </c>
      <c r="I42" s="58">
        <f>AVERAGE(AVERAGE(Table2[[#This Row],[LOW]],Table2[[#This Row],[HIGH]]),Table2[[#This Row],[AVG]],VLOOKUP(Table2[[#This Row],[PLAYER]],ECR!L:N,3,FALSE))</f>
        <v>14.698894117647063</v>
      </c>
      <c r="J42" s="58">
        <f>Table2[[#This Row],[Zscore Projection]]-$C$1</f>
        <v>-247.63239058823524</v>
      </c>
      <c r="K42" s="59">
        <f>MAX(Table2[[#This Row],[VBD]]*Scoring!$B$48+1,1)</f>
        <v>1</v>
      </c>
      <c r="L42" s="45">
        <f>VLOOKUP(Table2[[#This Row],[VBD]],BH:BJ,3,FALSE)</f>
        <v>15</v>
      </c>
      <c r="M42" s="60">
        <f>VLOOKUP(INDEX(ECR!$E:$E,MATCH(B42,ECR!$C:$C,0)),RISK!A:B,2,FALSE())</f>
        <v>3.2</v>
      </c>
      <c r="N42" s="61"/>
      <c r="O42" s="45" t="s">
        <v>163</v>
      </c>
      <c r="P42" s="56" t="str">
        <f>VLOOKUP(O42,ECR!E:L,8,FALSE())</f>
        <v>Rachaad White</v>
      </c>
      <c r="Q42" s="46" t="str">
        <f>IFERROR(VLOOKUP(Table4[[#This Row],[PLAYER]],ECR!C:F,2,FALSE()),"-")</f>
        <v>WAS</v>
      </c>
      <c r="R42" s="46">
        <f>IFERROR(VLOOKUP(Table4[[#This Row],[PLAYER]],ECR!C:F,4,FALSE()),"-")</f>
        <v>7</v>
      </c>
      <c r="S42" s="46" t="str">
        <f>Table4[[#This Row],[Team]] &amp; "/" &amp; Table4[[#This Row],[Bye]]</f>
        <v>WAS/7</v>
      </c>
      <c r="T42" s="57">
        <f>IFERROR(VLOOKUP(Table4[[#This Row],[PLAYER]],RB!A:Q,13,FALSE())/17*(17-Table4[[#This Row],[Missed Games]]),0)</f>
        <v>93.776435294117647</v>
      </c>
      <c r="U42" s="57">
        <f>IFERROR(VLOOKUP(Table4[[#This Row],[PLAYER]],RB!A:Q,14,FALSE())/17*(17-Table4[[#This Row],[Missed Games]]),0)</f>
        <v>114.95020941176472</v>
      </c>
      <c r="V42" s="57">
        <f>IFERROR(VLOOKUP(Table4[[#This Row],[PLAYER]],RB!A:Q,15,FALSE())/17*(17-Table4[[#This Row],[Missed Games]]),0)</f>
        <v>135.97983529411763</v>
      </c>
      <c r="W42" s="58">
        <f>AVERAGE(AVERAGE(Table4[[#This Row],[LOW]],Table4[[#This Row],[HIGH]]),Table4[[#This Row],[AVG]],VLOOKUP(Table4[[#This Row],[PLAYER]],ECR!L:N,3,FALSE))</f>
        <v>114.05759756862744</v>
      </c>
      <c r="X42" s="58">
        <f>Table4[[#This Row],[Zscore Projection]]-$Q$1</f>
        <v>-9.6880372549023264E-2</v>
      </c>
      <c r="Y42" s="59">
        <f>MAX(Table4[[#This Row],[VBD]]*Scoring!$B$48+1,1)</f>
        <v>1</v>
      </c>
      <c r="Z42" s="45">
        <f>VLOOKUP(Table4[[#This Row],[VBD]],BM:BO,3,FALSE)</f>
        <v>7</v>
      </c>
      <c r="AA42" s="60">
        <f>VLOOKUP(INDEX(ECR!$E:$E,MATCH(P42,ECR!$C:$C,0)),RISK!A:B,2,FALSE())</f>
        <v>3.386000000000001</v>
      </c>
      <c r="AB42" s="61"/>
      <c r="AC42" s="46" t="s">
        <v>192</v>
      </c>
      <c r="AD42" s="46" t="str">
        <f>VLOOKUP(AC42,ECR!E:L,8,FALSE())</f>
        <v>Alec Pierce</v>
      </c>
      <c r="AE42" s="46" t="str">
        <f>IFERROR(VLOOKUP(Table6[[#This Row],[PLAYER]],ECR!C:F,2,FALSE()),"-")</f>
        <v>IND</v>
      </c>
      <c r="AF42" s="46">
        <f>IFERROR(VLOOKUP(Table6[[#This Row],[PLAYER]],ECR!C:F,4,FALSE()),"-")</f>
        <v>13</v>
      </c>
      <c r="AG42" s="46" t="str">
        <f>Table6[[#This Row],[Team]] &amp; "/" &amp; Table6[[#This Row],[Bye]]</f>
        <v>IND/13</v>
      </c>
      <c r="AH42" s="57">
        <f>IFERROR(VLOOKUP(Table6[[#This Row],[PLAYER]],WR!A:Q,13,FALSE())/17*(17-Table6[[#This Row],[Missed Games]]),0)</f>
        <v>112.33268801191363</v>
      </c>
      <c r="AI42" s="57">
        <f>IFERROR(VLOOKUP(Table6[[#This Row],[PLAYER]],WR!A:Q,14,FALSE())/17*(17-Table6[[#This Row],[Missed Games]]),0)</f>
        <v>126.59862993298584</v>
      </c>
      <c r="AJ42" s="57">
        <f>IFERROR(VLOOKUP(Table6[[#This Row],[PLAYER]],WR!A:Q,15,FALSE())/17*(17-Table6[[#This Row],[Missed Games]]),0)</f>
        <v>147.53335815338792</v>
      </c>
      <c r="AK42" s="58">
        <f>AVERAGE(AVERAGE(Table6[[#This Row],[LOW]],Table6[[#This Row],[HIGH]]),Table6[[#This Row],[AVG]],VLOOKUP(Table6[[#This Row],[PLAYER]],ECR!L:N,3,FALSE))</f>
        <v>123.23267222635889</v>
      </c>
      <c r="AL42" s="58">
        <f>Table6[[#This Row],[Zscore Projection]]-$AE$1</f>
        <v>8.5287742367833062</v>
      </c>
      <c r="AM42" s="59">
        <f>MAX(Table6[[#This Row],[VBD]]*Scoring!$B$48+1,1)</f>
        <v>5.1697361934440771</v>
      </c>
      <c r="AN42" s="45">
        <f>VLOOKUP(Table6[[#This Row],[VBD]],BR:BT,3,FALSE)</f>
        <v>5</v>
      </c>
      <c r="AO42" s="60">
        <f>VLOOKUP(INDEX(ECR!$E:$E,MATCH(AD42,ECR!$C:$C,0)),RISK!A:B,2,FALSE())</f>
        <v>3.848101265822784</v>
      </c>
      <c r="AP42" s="61"/>
      <c r="AQ42" s="47" t="s">
        <v>330</v>
      </c>
      <c r="AR42" s="47" t="str">
        <f>VLOOKUP(AQ42,ECR!E:L,8,FALSE())</f>
        <v>Charlie Kolar</v>
      </c>
      <c r="AS42" s="47" t="str">
        <f>IFERROR(VLOOKUP(Table7[[#This Row],[PLAYER]],ECR!C:F,2,FALSE()),"-")</f>
        <v>LAC</v>
      </c>
      <c r="AT42" s="47">
        <f>IFERROR(VLOOKUP(Table7[[#This Row],[PLAYER]],ECR!C:F,4,FALSE()),"-")</f>
        <v>7</v>
      </c>
      <c r="AU42" s="47" t="str">
        <f>Table7[[#This Row],[Team]] &amp; "/" &amp; Table7[[#This Row],[Bye]]</f>
        <v>LAC/7</v>
      </c>
      <c r="AV42" s="57">
        <f>IFERROR(VLOOKUP(Table7[[#This Row],[PLAYER]],TE!A:K,9,FALSE())/17*(16-Table7[[#This Row],[Missed Games]]),0)</f>
        <v>21.434705882352944</v>
      </c>
      <c r="AW42" s="57">
        <f>IFERROR(VLOOKUP(Table7[[#This Row],[PLAYER]],TE!A:K,10,FALSE())/17*(16-Table7[[#This Row],[Missed Games]]),0)</f>
        <v>35.887647058823532</v>
      </c>
      <c r="AX42" s="57">
        <f>IFERROR(VLOOKUP(Table7[[#This Row],[PLAYER]],TE!A:K,11,FALSE())/17*(16-Table7[[#This Row],[Missed Games]]),0)</f>
        <v>53.300000000000004</v>
      </c>
      <c r="AY42" s="58">
        <f>AVERAGE(AVERAGE(Table7[[#This Row],[LOW]],Table7[[#This Row],[HIGH]]),Table7[[#This Row],[AVG]],VLOOKUP(Table7[[#This Row],[PLAYER]],ECR!L:N,3,FALSE))</f>
        <v>39.151666666666671</v>
      </c>
      <c r="AZ42" s="58">
        <f>Table7[[#This Row],[Zscore Projection]]-$AS$1</f>
        <v>-68.763179529411772</v>
      </c>
      <c r="BA42" s="59">
        <f>MAX(Table7[[#This Row],[VBD]]*Scoring!$B$48+1,1)</f>
        <v>1</v>
      </c>
      <c r="BB42" s="57">
        <f>VLOOKUP(Table7[[#This Row],[VBD]],BW:BY,3,FALSE)</f>
        <v>10</v>
      </c>
      <c r="BC42" s="60">
        <f>VLOOKUP(INDEX(ECR!$E:$E,MATCH(AR42,ECR!$C:$C,0)),RISK!A:B,2,FALSE())</f>
        <v>3</v>
      </c>
      <c r="BD42" s="57"/>
      <c r="BE42" s="61"/>
      <c r="BF42" s="91">
        <v>40</v>
      </c>
      <c r="BG42" s="61">
        <f t="shared" si="12"/>
        <v>10.098352941176472</v>
      </c>
      <c r="BH42" s="61">
        <f>IFERROR(LARGE($J$3:$J$52,40),"")</f>
        <v>-251.553214117647</v>
      </c>
      <c r="BI42" s="61">
        <f t="shared" si="4"/>
        <v>-247.63239058823524</v>
      </c>
      <c r="BJ42" s="92">
        <f t="shared" si="5"/>
        <v>15</v>
      </c>
      <c r="BK42" s="91">
        <v>40</v>
      </c>
      <c r="BL42" s="61">
        <f t="shared" si="0"/>
        <v>112.344448</v>
      </c>
      <c r="BM42" s="90">
        <f>IFERROR(LARGE($X$3:$X$102,40),"")</f>
        <v>-1.4779221372548932</v>
      </c>
      <c r="BN42" s="90">
        <f t="shared" si="6"/>
        <v>2.448186450980387</v>
      </c>
      <c r="BO42" s="92">
        <f t="shared" si="7"/>
        <v>7</v>
      </c>
      <c r="BP42" s="103">
        <v>40</v>
      </c>
      <c r="BQ42" s="61">
        <f t="shared" si="1"/>
        <v>113.16636366344007</v>
      </c>
      <c r="BR42" s="90">
        <f>IFERROR(LARGE($AL$3:$AL$102,40),"")</f>
        <v>-0.29231718565402787</v>
      </c>
      <c r="BS42" s="90">
        <f t="shared" si="8"/>
        <v>14.737704245718533</v>
      </c>
      <c r="BT42" s="92">
        <f t="shared" si="9"/>
        <v>5</v>
      </c>
      <c r="BU42" s="91">
        <v>40</v>
      </c>
      <c r="BV42" s="61">
        <f t="shared" si="2"/>
        <v>44.2</v>
      </c>
      <c r="BW42" s="90">
        <f>IFERROR(LARGE($AZ$3:$AZ$52,40),"")</f>
        <v>-68.464944235294126</v>
      </c>
      <c r="BX42" s="90">
        <f t="shared" si="10"/>
        <v>-68.464944235294126</v>
      </c>
      <c r="BY42" s="105">
        <f t="shared" si="11"/>
        <v>10</v>
      </c>
      <c r="BZ42" s="90"/>
      <c r="CA42" s="90"/>
      <c r="CB42" s="90"/>
      <c r="CC42" s="90"/>
      <c r="CD42" s="90"/>
      <c r="CE42" s="90"/>
      <c r="CF42" s="90"/>
      <c r="CG42" s="90"/>
    </row>
    <row r="43" spans="1:85" s="62" customFormat="1" ht="14.25" customHeight="1" x14ac:dyDescent="0.3">
      <c r="A43" s="56" t="s">
        <v>403</v>
      </c>
      <c r="B43" s="56" t="str">
        <f>VLOOKUP(A43,ECR!E:L,8,FALSE())</f>
        <v>Anthony Richardson Sr.</v>
      </c>
      <c r="C43" s="46" t="str">
        <f>IFERROR(VLOOKUP(Table2[[#This Row],[PLAYER]],ECR!C:F,2,FALSE()),"-")</f>
        <v>IND</v>
      </c>
      <c r="D43" s="46">
        <f>IFERROR(VLOOKUP(Table2[[#This Row],[PLAYER]],ECR!C:F,4,FALSE()),"-")</f>
        <v>13</v>
      </c>
      <c r="E43" s="46" t="str">
        <f>Table2[[#This Row],[Team]] &amp; "/" &amp; Table2[[#This Row],[Bye]]</f>
        <v>IND/13</v>
      </c>
      <c r="F43" s="57">
        <f>IFERROR(VLOOKUP(Table2[[#This Row],[PLAYER]],QB!A:Q,15,FALSE())/17*(17-Table2[[#This Row],[Missed Games]]),0)</f>
        <v>10.098352941176472</v>
      </c>
      <c r="G43" s="57">
        <f>IFERROR(VLOOKUP(Table2[[#This Row],[PLAYER]],QB!A:Q,16,FALSE())/17*(17-Table2[[#This Row],[Missed Games]]),0)</f>
        <v>10.098352941176472</v>
      </c>
      <c r="H43" s="57">
        <f>IFERROR(VLOOKUP(Table2[[#This Row],[PLAYER]],QB!A:Q,17,FALSE())/17*(17-Table2[[#This Row],[Missed Games]]),0)</f>
        <v>10.098352941176472</v>
      </c>
      <c r="I43" s="58">
        <f>AVERAGE(AVERAGE(Table2[[#This Row],[LOW]],Table2[[#This Row],[HIGH]]),Table2[[#This Row],[AVG]],VLOOKUP(Table2[[#This Row],[PLAYER]],ECR!L:N,3,FALSE))</f>
        <v>10.028</v>
      </c>
      <c r="J43" s="58">
        <f>Table2[[#This Row],[Zscore Projection]]-$C$1</f>
        <v>-252.30328470588231</v>
      </c>
      <c r="K43" s="59">
        <f>MAX(Table2[[#This Row],[VBD]]*Scoring!$B$48+1,1)</f>
        <v>1</v>
      </c>
      <c r="L43" s="45">
        <f>VLOOKUP(Table2[[#This Row],[VBD]],BH:BJ,3,FALSE)</f>
        <v>15</v>
      </c>
      <c r="M43" s="60">
        <f>VLOOKUP(INDEX(ECR!$E:$E,MATCH(B43,ECR!$C:$C,0)),RISK!A:B,2,FALSE())</f>
        <v>3.2</v>
      </c>
      <c r="N43" s="61"/>
      <c r="O43" s="45" t="s">
        <v>173</v>
      </c>
      <c r="P43" s="56" t="str">
        <f>VLOOKUP(O43,ECR!E:L,8,FALSE())</f>
        <v>Aaron Jones Sr.</v>
      </c>
      <c r="Q43" s="46" t="str">
        <f>IFERROR(VLOOKUP(Table4[[#This Row],[PLAYER]],ECR!C:F,2,FALSE()),"-")</f>
        <v>MIN</v>
      </c>
      <c r="R43" s="46">
        <f>IFERROR(VLOOKUP(Table4[[#This Row],[PLAYER]],ECR!C:F,4,FALSE()),"-")</f>
        <v>6</v>
      </c>
      <c r="S43" s="46" t="str">
        <f>Table4[[#This Row],[Team]] &amp; "/" &amp; Table4[[#This Row],[Bye]]</f>
        <v>MIN/6</v>
      </c>
      <c r="T43" s="57">
        <f>IFERROR(VLOOKUP(Table4[[#This Row],[PLAYER]],RB!A:Q,13,FALSE())/17*(17-Table4[[#This Row],[Missed Games]]),0)</f>
        <v>101.7645</v>
      </c>
      <c r="U43" s="57">
        <f>IFERROR(VLOOKUP(Table4[[#This Row],[PLAYER]],RB!A:Q,14,FALSE())/17*(17-Table4[[#This Row],[Missed Games]]),0)</f>
        <v>112.89075200000001</v>
      </c>
      <c r="V43" s="57">
        <f>IFERROR(VLOOKUP(Table4[[#This Row],[PLAYER]],RB!A:Q,15,FALSE())/17*(17-Table4[[#This Row],[Missed Games]]),0)</f>
        <v>123.81746576470586</v>
      </c>
      <c r="W43" s="58">
        <f>AVERAGE(AVERAGE(Table4[[#This Row],[LOW]],Table4[[#This Row],[HIGH]]),Table4[[#This Row],[AVG]],VLOOKUP(Table4[[#This Row],[PLAYER]],ECR!L:N,3,FALSE))</f>
        <v>111.97475476470588</v>
      </c>
      <c r="X43" s="58">
        <f>Table4[[#This Row],[Zscore Projection]]-$Q$1</f>
        <v>-2.1797231764705884</v>
      </c>
      <c r="Y43" s="59">
        <f>MAX(Table4[[#This Row],[VBD]]*Scoring!$B$48+1,1)</f>
        <v>1</v>
      </c>
      <c r="Z43" s="45">
        <f>VLOOKUP(Table4[[#This Row],[VBD]],BM:BO,3,FALSE)</f>
        <v>7</v>
      </c>
      <c r="AA43" s="60">
        <f>VLOOKUP(INDEX(ECR!$E:$E,MATCH(P43,ECR!$C:$C,0)),RISK!A:B,2,FALSE())</f>
        <v>3.4314</v>
      </c>
      <c r="AB43" s="61"/>
      <c r="AC43" s="46" t="s">
        <v>220</v>
      </c>
      <c r="AD43" s="46" t="str">
        <f>VLOOKUP(AC43,ECR!E:L,8,FALSE())</f>
        <v>Josh Downs</v>
      </c>
      <c r="AE43" s="46" t="str">
        <f>IFERROR(VLOOKUP(Table6[[#This Row],[PLAYER]],ECR!C:F,2,FALSE()),"-")</f>
        <v>IND</v>
      </c>
      <c r="AF43" s="46">
        <f>IFERROR(VLOOKUP(Table6[[#This Row],[PLAYER]],ECR!C:F,4,FALSE()),"-")</f>
        <v>13</v>
      </c>
      <c r="AG43" s="46" t="str">
        <f>Table6[[#This Row],[Team]] &amp; "/" &amp; Table6[[#This Row],[Bye]]</f>
        <v>IND/13</v>
      </c>
      <c r="AH43" s="57">
        <f>IFERROR(VLOOKUP(Table6[[#This Row],[PLAYER]],WR!A:Q,13,FALSE())/17*(17-Table6[[#This Row],[Missed Games]]),0)</f>
        <v>91.127185405807907</v>
      </c>
      <c r="AI43" s="57">
        <f>IFERROR(VLOOKUP(Table6[[#This Row],[PLAYER]],WR!A:Q,14,FALSE())/17*(17-Table6[[#This Row],[Missed Games]]),0)</f>
        <v>99.761020104244238</v>
      </c>
      <c r="AJ43" s="57">
        <f>IFERROR(VLOOKUP(Table6[[#This Row],[PLAYER]],WR!A:Q,15,FALSE())/17*(17-Table6[[#This Row],[Missed Games]]),0)</f>
        <v>110.25932985852572</v>
      </c>
      <c r="AK43" s="58">
        <f>AVERAGE(AVERAGE(Table6[[#This Row],[LOW]],Table6[[#This Row],[HIGH]]),Table6[[#This Row],[AVG]],VLOOKUP(Table6[[#This Row],[PLAYER]],ECR!L:N,3,FALSE))</f>
        <v>104.32937081161579</v>
      </c>
      <c r="AL43" s="58">
        <f>Table6[[#This Row],[Zscore Projection]]-$AE$1</f>
        <v>-10.374527177959791</v>
      </c>
      <c r="AM43" s="59">
        <f>MAX(Table6[[#This Row],[VBD]]*Scoring!$B$48+1,1)</f>
        <v>1</v>
      </c>
      <c r="AN43" s="45">
        <f>VLOOKUP(Table6[[#This Row],[VBD]],BR:BT,3,FALSE)</f>
        <v>6</v>
      </c>
      <c r="AO43" s="60">
        <f>VLOOKUP(INDEX(ECR!$E:$E,MATCH(AD43,ECR!$C:$C,0)),RISK!A:B,2,FALSE())</f>
        <v>3.848101265822784</v>
      </c>
      <c r="AP43" s="61"/>
      <c r="AQ43" s="47" t="s">
        <v>281</v>
      </c>
      <c r="AR43" s="47" t="str">
        <f>VLOOKUP(AQ43,ECR!E:L,8,FALSE())</f>
        <v>Michael Mayer</v>
      </c>
      <c r="AS43" s="47" t="str">
        <f>IFERROR(VLOOKUP(Table7[[#This Row],[PLAYER]],ECR!C:F,2,FALSE()),"-")</f>
        <v>LV</v>
      </c>
      <c r="AT43" s="47">
        <f>IFERROR(VLOOKUP(Table7[[#This Row],[PLAYER]],ECR!C:F,4,FALSE()),"-")</f>
        <v>13</v>
      </c>
      <c r="AU43" s="47" t="str">
        <f>Table7[[#This Row],[Team]] &amp; "/" &amp; Table7[[#This Row],[Bye]]</f>
        <v>LV/13</v>
      </c>
      <c r="AV43" s="57">
        <f>IFERROR(VLOOKUP(Table7[[#This Row],[PLAYER]],TE!A:K,9,FALSE())/17*(16-Table7[[#This Row],[Missed Games]]),0)</f>
        <v>46.111764705882358</v>
      </c>
      <c r="AW43" s="57">
        <f>IFERROR(VLOOKUP(Table7[[#This Row],[PLAYER]],TE!A:K,10,FALSE())/17*(16-Table7[[#This Row],[Missed Games]]),0)</f>
        <v>53.582941176470591</v>
      </c>
      <c r="AX43" s="57">
        <f>IFERROR(VLOOKUP(Table7[[#This Row],[PLAYER]],TE!A:K,11,FALSE())/17*(16-Table7[[#This Row],[Missed Games]]),0)</f>
        <v>62.323529411764703</v>
      </c>
      <c r="AY43" s="58">
        <f>AVERAGE(AVERAGE(Table7[[#This Row],[LOW]],Table7[[#This Row],[HIGH]]),Table7[[#This Row],[AVG]],VLOOKUP(Table7[[#This Row],[PLAYER]],ECR!L:N,3,FALSE))</f>
        <v>50.366078431372557</v>
      </c>
      <c r="AZ43" s="58">
        <f>Table7[[#This Row],[Zscore Projection]]-$AS$1</f>
        <v>-57.548767764705886</v>
      </c>
      <c r="BA43" s="59">
        <f>MAX(Table7[[#This Row],[VBD]]*Scoring!$B$48+1,1)</f>
        <v>1</v>
      </c>
      <c r="BB43" s="57">
        <f>VLOOKUP(Table7[[#This Row],[VBD]],BW:BY,3,FALSE)</f>
        <v>9</v>
      </c>
      <c r="BC43" s="60">
        <f>VLOOKUP(INDEX(ECR!$E:$E,MATCH(AR43,ECR!$C:$C,0)),RISK!A:B,2,FALSE())</f>
        <v>3</v>
      </c>
      <c r="BD43" s="57"/>
      <c r="BE43" s="61"/>
      <c r="BF43" s="91">
        <v>41</v>
      </c>
      <c r="BG43" s="61">
        <f t="shared" si="12"/>
        <v>9.887294117647059</v>
      </c>
      <c r="BH43" s="61">
        <f>IFERROR(LARGE($J$3:$J$52,41),"")</f>
        <v>-252.11360235294111</v>
      </c>
      <c r="BI43" s="61">
        <f t="shared" si="4"/>
        <v>-247.63239058823524</v>
      </c>
      <c r="BJ43" s="92">
        <f t="shared" si="5"/>
        <v>15</v>
      </c>
      <c r="BK43" s="91">
        <v>41</v>
      </c>
      <c r="BL43" s="61">
        <f t="shared" si="0"/>
        <v>110.24252941176468</v>
      </c>
      <c r="BM43" s="90">
        <f>IFERROR(LARGE($X$3:$X$102,41),"")</f>
        <v>-2.1797231764705884</v>
      </c>
      <c r="BN43" s="90">
        <f t="shared" si="6"/>
        <v>2.448186450980387</v>
      </c>
      <c r="BO43" s="92">
        <f t="shared" si="7"/>
        <v>7</v>
      </c>
      <c r="BP43" s="103">
        <v>41</v>
      </c>
      <c r="BQ43" s="61">
        <f t="shared" si="1"/>
        <v>112.53383469843629</v>
      </c>
      <c r="BR43" s="90">
        <f>IFERROR(LARGE($AL$3:$AL$102,41),"")</f>
        <v>-0.593491703276257</v>
      </c>
      <c r="BS43" s="90">
        <f t="shared" si="8"/>
        <v>14.737704245718533</v>
      </c>
      <c r="BT43" s="92">
        <f t="shared" si="9"/>
        <v>5</v>
      </c>
      <c r="BU43" s="91">
        <v>41</v>
      </c>
      <c r="BV43" s="61">
        <f t="shared" si="2"/>
        <v>43.297647058823529</v>
      </c>
      <c r="BW43" s="90">
        <f>IFERROR(LARGE($AZ$3:$AZ$52,41),"")</f>
        <v>-68.763179529411772</v>
      </c>
      <c r="BX43" s="90">
        <f t="shared" si="10"/>
        <v>-68.464944235294126</v>
      </c>
      <c r="BY43" s="105">
        <f t="shared" si="11"/>
        <v>10</v>
      </c>
      <c r="BZ43" s="90"/>
      <c r="CA43" s="90"/>
      <c r="CB43" s="90"/>
      <c r="CC43" s="90"/>
      <c r="CD43" s="90"/>
      <c r="CE43" s="90"/>
      <c r="CF43" s="90"/>
      <c r="CG43" s="90"/>
    </row>
    <row r="44" spans="1:85" s="62" customFormat="1" ht="14.25" customHeight="1" x14ac:dyDescent="0.3">
      <c r="A44" s="56" t="s">
        <v>404</v>
      </c>
      <c r="B44" s="56" t="str">
        <f>VLOOKUP(A44,ECR!E:L,8,FALSE())</f>
        <v>Joe Flacco</v>
      </c>
      <c r="C44" s="46" t="str">
        <f>IFERROR(VLOOKUP(Table2[[#This Row],[PLAYER]],ECR!C:F,2,FALSE()),"-")</f>
        <v>CIN</v>
      </c>
      <c r="D44" s="46">
        <f>IFERROR(VLOOKUP(Table2[[#This Row],[PLAYER]],ECR!C:F,4,FALSE()),"-")</f>
        <v>6</v>
      </c>
      <c r="E44" s="46" t="str">
        <f>Table2[[#This Row],[Team]] &amp; "/" &amp; Table2[[#This Row],[Bye]]</f>
        <v>CIN/6</v>
      </c>
      <c r="F44" s="57">
        <f>IFERROR(VLOOKUP(Table2[[#This Row],[PLAYER]],QB!A:Q,15,FALSE())/17*(17-Table2[[#This Row],[Missed Games]]),0)</f>
        <v>6.2603294117647064</v>
      </c>
      <c r="G44" s="57">
        <f>IFERROR(VLOOKUP(Table2[[#This Row],[PLAYER]],QB!A:Q,16,FALSE())/17*(17-Table2[[#This Row],[Missed Games]]),0)</f>
        <v>8.4715764705882357</v>
      </c>
      <c r="H44" s="57">
        <f>IFERROR(VLOOKUP(Table2[[#This Row],[PLAYER]],QB!A:Q,17,FALSE())/17*(17-Table2[[#This Row],[Missed Games]]),0)</f>
        <v>10.27694117647059</v>
      </c>
      <c r="I44" s="58">
        <f>AVERAGE(AVERAGE(Table2[[#This Row],[LOW]],Table2[[#This Row],[HIGH]]),Table2[[#This Row],[AVG]],VLOOKUP(Table2[[#This Row],[PLAYER]],ECR!L:N,3,FALSE))</f>
        <v>8.7086117647058838</v>
      </c>
      <c r="J44" s="58">
        <f>Table2[[#This Row],[Zscore Projection]]-$C$1</f>
        <v>-253.6226729411764</v>
      </c>
      <c r="K44" s="59">
        <f>MAX(Table2[[#This Row],[VBD]]*Scoring!$B$48+1,1)</f>
        <v>1</v>
      </c>
      <c r="L44" s="45">
        <f>VLOOKUP(Table2[[#This Row],[VBD]],BH:BJ,3,FALSE)</f>
        <v>15</v>
      </c>
      <c r="M44" s="60">
        <f>VLOOKUP(INDEX(ECR!$E:$E,MATCH(B44,ECR!$C:$C,0)),RISK!A:B,2,FALSE())</f>
        <v>3.2</v>
      </c>
      <c r="N44" s="61"/>
      <c r="O44" s="45" t="s">
        <v>167</v>
      </c>
      <c r="P44" s="56" t="str">
        <f>VLOOKUP(O44,ECR!E:L,8,FALSE())</f>
        <v>Chris Rodriguez Jr.</v>
      </c>
      <c r="Q44" s="46" t="str">
        <f>IFERROR(VLOOKUP(Table4[[#This Row],[PLAYER]],ECR!C:F,2,FALSE()),"-")</f>
        <v>JAC</v>
      </c>
      <c r="R44" s="46">
        <f>IFERROR(VLOOKUP(Table4[[#This Row],[PLAYER]],ECR!C:F,4,FALSE()),"-")</f>
        <v>7</v>
      </c>
      <c r="S44" s="46" t="str">
        <f>Table4[[#This Row],[Team]] &amp; "/" &amp; Table4[[#This Row],[Bye]]</f>
        <v>JAC/7</v>
      </c>
      <c r="T44" s="57">
        <f>IFERROR(VLOOKUP(Table4[[#This Row],[PLAYER]],RB!A:Q,13,FALSE())/17*(17-Table4[[#This Row],[Missed Games]]),0)</f>
        <v>51.669948235294115</v>
      </c>
      <c r="U44" s="57">
        <f>IFERROR(VLOOKUP(Table4[[#This Row],[PLAYER]],RB!A:Q,14,FALSE())/17*(17-Table4[[#This Row],[Missed Games]]),0)</f>
        <v>74.140330588235287</v>
      </c>
      <c r="V44" s="57">
        <f>IFERROR(VLOOKUP(Table4[[#This Row],[PLAYER]],RB!A:Q,15,FALSE())/17*(17-Table4[[#This Row],[Missed Games]]),0)</f>
        <v>103.96031764705882</v>
      </c>
      <c r="W44" s="58">
        <f>AVERAGE(AVERAGE(Table4[[#This Row],[LOW]],Table4[[#This Row],[HIGH]]),Table4[[#This Row],[AVG]],VLOOKUP(Table4[[#This Row],[PLAYER]],ECR!L:N,3,FALSE))</f>
        <v>85.472775794901963</v>
      </c>
      <c r="X44" s="58">
        <f>Table4[[#This Row],[Zscore Projection]]-$Q$1</f>
        <v>-28.681702146274503</v>
      </c>
      <c r="Y44" s="59">
        <f>MAX(Table4[[#This Row],[VBD]]*Scoring!$B$48+1,1)</f>
        <v>1</v>
      </c>
      <c r="Z44" s="45">
        <f>VLOOKUP(Table4[[#This Row],[VBD]],BM:BO,3,FALSE)</f>
        <v>8</v>
      </c>
      <c r="AA44" s="60">
        <f>VLOOKUP(INDEX(ECR!$E:$E,MATCH(P44,ECR!$C:$C,0)),RISK!A:B,2,FALSE())</f>
        <v>3.4779999999999998</v>
      </c>
      <c r="AB44" s="61"/>
      <c r="AC44" s="46" t="s">
        <v>210</v>
      </c>
      <c r="AD44" s="46" t="str">
        <f>VLOOKUP(AC44,ECR!E:L,8,FALSE())</f>
        <v>Stefon Diggs</v>
      </c>
      <c r="AE44" s="46" t="str">
        <f>IFERROR(VLOOKUP(Table6[[#This Row],[PLAYER]],ECR!C:F,2,FALSE()),"-")</f>
        <v>WAS</v>
      </c>
      <c r="AF44" s="46">
        <f>IFERROR(VLOOKUP(Table6[[#This Row],[PLAYER]],ECR!C:F,4,FALSE()),"-")</f>
        <v>7</v>
      </c>
      <c r="AG44" s="46" t="str">
        <f>Table6[[#This Row],[Team]] &amp; "/" &amp; Table6[[#This Row],[Bye]]</f>
        <v>WAS/7</v>
      </c>
      <c r="AH44" s="57">
        <f>IFERROR(VLOOKUP(Table6[[#This Row],[PLAYER]],WR!A:Q,13,FALSE())/17*(17-Table6[[#This Row],[Missed Games]]),0)</f>
        <v>97.788235294117655</v>
      </c>
      <c r="AI44" s="57">
        <f>IFERROR(VLOOKUP(Table6[[#This Row],[PLAYER]],WR!A:Q,14,FALSE())/17*(17-Table6[[#This Row],[Missed Games]]),0)</f>
        <v>104.38739389426655</v>
      </c>
      <c r="AJ44" s="57">
        <f>IFERROR(VLOOKUP(Table6[[#This Row],[PLAYER]],WR!A:Q,15,FALSE())/17*(17-Table6[[#This Row],[Missed Games]]),0)</f>
        <v>111.82208488458674</v>
      </c>
      <c r="AK44" s="58">
        <f>AVERAGE(AVERAGE(Table6[[#This Row],[LOW]],Table6[[#This Row],[HIGH]]),Table6[[#This Row],[AVG]],VLOOKUP(Table6[[#This Row],[PLAYER]],ECR!L:N,3,FALSE))</f>
        <v>107.16146458178207</v>
      </c>
      <c r="AL44" s="58">
        <f>Table6[[#This Row],[Zscore Projection]]-$AE$1</f>
        <v>-7.54243340779351</v>
      </c>
      <c r="AM44" s="59">
        <f>MAX(Table6[[#This Row],[VBD]]*Scoring!$B$48+1,1)</f>
        <v>1</v>
      </c>
      <c r="AN44" s="45">
        <f>VLOOKUP(Table6[[#This Row],[VBD]],BR:BT,3,FALSE)</f>
        <v>6</v>
      </c>
      <c r="AO44" s="60">
        <f>VLOOKUP(INDEX(ECR!$E:$E,MATCH(AD44,ECR!$C:$C,0)),RISK!A:B,2,FALSE())</f>
        <v>3.848101265822784</v>
      </c>
      <c r="AP44" s="61"/>
      <c r="AQ44" s="47" t="s">
        <v>312</v>
      </c>
      <c r="AR44" s="47" t="str">
        <f>VLOOKUP(AQ44,ECR!E:L,8,FALSE())</f>
        <v>Oscar Delp</v>
      </c>
      <c r="AS44" s="47" t="str">
        <f>IFERROR(VLOOKUP(Table7[[#This Row],[PLAYER]],ECR!C:F,2,FALSE()),"-")</f>
        <v>NO</v>
      </c>
      <c r="AT44" s="47">
        <f>IFERROR(VLOOKUP(Table7[[#This Row],[PLAYER]],ECR!C:F,4,FALSE()),"-")</f>
        <v>8</v>
      </c>
      <c r="AU44" s="47" t="str">
        <f>Table7[[#This Row],[Team]] &amp; "/" &amp; Table7[[#This Row],[Bye]]</f>
        <v>NO/8</v>
      </c>
      <c r="AV44" s="57">
        <f>IFERROR(VLOOKUP(Table7[[#This Row],[PLAYER]],TE!A:K,9,FALSE())/17*(16-Table7[[#This Row],[Missed Games]]),0)</f>
        <v>10.782352941176471</v>
      </c>
      <c r="AW44" s="57">
        <f>IFERROR(VLOOKUP(Table7[[#This Row],[PLAYER]],TE!A:K,10,FALSE())/17*(16-Table7[[#This Row],[Missed Games]]),0)</f>
        <v>14.03235294117647</v>
      </c>
      <c r="AX44" s="57">
        <f>IFERROR(VLOOKUP(Table7[[#This Row],[PLAYER]],TE!A:K,11,FALSE())/17*(16-Table7[[#This Row],[Missed Games]]),0)</f>
        <v>17.588235294117649</v>
      </c>
      <c r="AY44" s="58">
        <f>AVERAGE(AVERAGE(Table7[[#This Row],[LOW]],Table7[[#This Row],[HIGH]]),Table7[[#This Row],[AVG]],VLOOKUP(Table7[[#This Row],[PLAYER]],ECR!L:N,3,FALSE))</f>
        <v>23.063529411764705</v>
      </c>
      <c r="AZ44" s="58">
        <f>Table7[[#This Row],[Zscore Projection]]-$AS$1</f>
        <v>-84.851316784313738</v>
      </c>
      <c r="BA44" s="59">
        <f>MAX(Table7[[#This Row],[VBD]]*Scoring!$B$48+1,1)</f>
        <v>1</v>
      </c>
      <c r="BB44" s="57">
        <f>VLOOKUP(Table7[[#This Row],[VBD]],BW:BY,3,FALSE)</f>
        <v>11</v>
      </c>
      <c r="BC44" s="60">
        <f>VLOOKUP(INDEX(ECR!$E:$E,MATCH(AR44,ECR!$C:$C,0)),RISK!A:B,2,FALSE())</f>
        <v>3</v>
      </c>
      <c r="BD44" s="57"/>
      <c r="BE44" s="61"/>
      <c r="BF44" s="91">
        <v>42</v>
      </c>
      <c r="BG44" s="61">
        <f t="shared" si="12"/>
        <v>9.3856235294117667</v>
      </c>
      <c r="BH44" s="61">
        <f>IFERROR(LARGE($J$3:$J$52,42),"")</f>
        <v>-252.30328470588231</v>
      </c>
      <c r="BI44" s="61">
        <f t="shared" si="4"/>
        <v>-247.63239058823524</v>
      </c>
      <c r="BJ44" s="92">
        <f t="shared" si="5"/>
        <v>15</v>
      </c>
      <c r="BK44" s="91">
        <v>42</v>
      </c>
      <c r="BL44" s="61">
        <f t="shared" si="0"/>
        <v>104.46286385529412</v>
      </c>
      <c r="BM44" s="90">
        <f>IFERROR(LARGE($X$3:$X$102,42),"")</f>
        <v>-16.578992978823521</v>
      </c>
      <c r="BN44" s="90">
        <f t="shared" si="6"/>
        <v>2.448186450980387</v>
      </c>
      <c r="BO44" s="92">
        <f t="shared" si="7"/>
        <v>7</v>
      </c>
      <c r="BP44" s="103">
        <v>42</v>
      </c>
      <c r="BQ44" s="61">
        <f t="shared" si="1"/>
        <v>112.29183976172749</v>
      </c>
      <c r="BR44" s="90">
        <f>IFERROR(LARGE($AL$3:$AL$102,42),"")</f>
        <v>-1.0495730950608078</v>
      </c>
      <c r="BS44" s="90">
        <f t="shared" si="8"/>
        <v>14.737704245718533</v>
      </c>
      <c r="BT44" s="92">
        <f t="shared" si="9"/>
        <v>5</v>
      </c>
      <c r="BU44" s="91">
        <v>42</v>
      </c>
      <c r="BV44" s="61">
        <f t="shared" si="2"/>
        <v>40.972941176470592</v>
      </c>
      <c r="BW44" s="90">
        <f>IFERROR(LARGE($AZ$3:$AZ$52,42),"")</f>
        <v>-69.618375607843149</v>
      </c>
      <c r="BX44" s="90">
        <f t="shared" si="10"/>
        <v>-68.464944235294126</v>
      </c>
      <c r="BY44" s="105">
        <f t="shared" si="11"/>
        <v>10</v>
      </c>
      <c r="BZ44" s="90"/>
      <c r="CA44" s="90"/>
      <c r="CB44" s="90"/>
      <c r="CC44" s="90"/>
      <c r="CD44" s="90"/>
      <c r="CE44" s="90"/>
      <c r="CF44" s="90"/>
      <c r="CG44" s="90"/>
    </row>
    <row r="45" spans="1:85" s="62" customFormat="1" ht="14.25" customHeight="1" x14ac:dyDescent="0.3">
      <c r="A45" s="56" t="s">
        <v>405</v>
      </c>
      <c r="B45" s="56" t="str">
        <f>VLOOKUP(A45,ECR!E:L,8,FALSE())</f>
        <v>Marcus Mariota</v>
      </c>
      <c r="C45" s="46" t="str">
        <f>IFERROR(VLOOKUP(Table2[[#This Row],[PLAYER]],ECR!C:F,2,FALSE()),"-")</f>
        <v>WAS</v>
      </c>
      <c r="D45" s="46">
        <f>IFERROR(VLOOKUP(Table2[[#This Row],[PLAYER]],ECR!C:F,4,FALSE()),"-")</f>
        <v>7</v>
      </c>
      <c r="E45" s="46" t="str">
        <f>Table2[[#This Row],[Team]] &amp; "/" &amp; Table2[[#This Row],[Bye]]</f>
        <v>WAS/7</v>
      </c>
      <c r="F45" s="57">
        <f>IFERROR(VLOOKUP(Table2[[#This Row],[PLAYER]],QB!A:Q,15,FALSE())/17*(17-Table2[[#This Row],[Missed Games]]),0)</f>
        <v>7.9845176470588219</v>
      </c>
      <c r="G45" s="57">
        <f>IFERROR(VLOOKUP(Table2[[#This Row],[PLAYER]],QB!A:Q,16,FALSE())/17*(17-Table2[[#This Row],[Missed Games]]),0)</f>
        <v>14.567929411764705</v>
      </c>
      <c r="H45" s="57">
        <f>IFERROR(VLOOKUP(Table2[[#This Row],[PLAYER]],QB!A:Q,17,FALSE())/17*(17-Table2[[#This Row],[Missed Games]]),0)</f>
        <v>21.560470588235297</v>
      </c>
      <c r="I45" s="58">
        <f>AVERAGE(AVERAGE(Table2[[#This Row],[LOW]],Table2[[#This Row],[HIGH]]),Table2[[#This Row],[AVG]],VLOOKUP(Table2[[#This Row],[PLAYER]],ECR!L:N,3,FALSE))</f>
        <v>12.634305882352942</v>
      </c>
      <c r="J45" s="58">
        <f>Table2[[#This Row],[Zscore Projection]]-$C$1</f>
        <v>-249.69697882352935</v>
      </c>
      <c r="K45" s="59">
        <f>MAX(Table2[[#This Row],[VBD]]*Scoring!$B$48+1,1)</f>
        <v>1</v>
      </c>
      <c r="L45" s="45">
        <f>VLOOKUP(Table2[[#This Row],[VBD]],BH:BJ,3,FALSE)</f>
        <v>15</v>
      </c>
      <c r="M45" s="60">
        <f>VLOOKUP(INDEX(ECR!$E:$E,MATCH(B45,ECR!$C:$C,0)),RISK!A:B,2,FALSE())</f>
        <v>3.2</v>
      </c>
      <c r="N45" s="61"/>
      <c r="O45" s="45" t="s">
        <v>199</v>
      </c>
      <c r="P45" s="56" t="str">
        <f>VLOOKUP(O45,ECR!E:L,8,FALSE())</f>
        <v>Tyler Allgeier</v>
      </c>
      <c r="Q45" s="46" t="str">
        <f>IFERROR(VLOOKUP(Table4[[#This Row],[PLAYER]],ECR!C:F,2,FALSE()),"-")</f>
        <v>ARI</v>
      </c>
      <c r="R45" s="46">
        <f>IFERROR(VLOOKUP(Table4[[#This Row],[PLAYER]],ECR!C:F,4,FALSE()),"-")</f>
        <v>14</v>
      </c>
      <c r="S45" s="46" t="str">
        <f>Table4[[#This Row],[Team]] &amp; "/" &amp; Table4[[#This Row],[Bye]]</f>
        <v>ARI/14</v>
      </c>
      <c r="T45" s="57">
        <f>IFERROR(VLOOKUP(Table4[[#This Row],[PLAYER]],RB!A:Q,13,FALSE())/17*(17-Table4[[#This Row],[Missed Games]]),0)</f>
        <v>57.622019999999985</v>
      </c>
      <c r="U45" s="57">
        <f>IFERROR(VLOOKUP(Table4[[#This Row],[PLAYER]],RB!A:Q,14,FALSE())/17*(17-Table4[[#This Row],[Missed Games]]),0)</f>
        <v>66.055283999999986</v>
      </c>
      <c r="V45" s="57">
        <f>IFERROR(VLOOKUP(Table4[[#This Row],[PLAYER]],RB!A:Q,15,FALSE())/17*(17-Table4[[#This Row],[Missed Games]]),0)</f>
        <v>77.801615999999996</v>
      </c>
      <c r="W45" s="58">
        <f>AVERAGE(AVERAGE(Table4[[#This Row],[LOW]],Table4[[#This Row],[HIGH]]),Table4[[#This Row],[AVG]],VLOOKUP(Table4[[#This Row],[PLAYER]],ECR!L:N,3,FALSE))</f>
        <v>77.026955176470565</v>
      </c>
      <c r="X45" s="58">
        <f>Table4[[#This Row],[Zscore Projection]]-$Q$1</f>
        <v>-37.127522764705901</v>
      </c>
      <c r="Y45" s="59">
        <f>MAX(Table4[[#This Row],[VBD]]*Scoring!$B$48+1,1)</f>
        <v>1</v>
      </c>
      <c r="Z45" s="45">
        <f>VLOOKUP(Table4[[#This Row],[VBD]],BM:BO,3,FALSE)</f>
        <v>8</v>
      </c>
      <c r="AA45" s="60">
        <f>VLOOKUP(INDEX(ECR!$E:$E,MATCH(P45,ECR!$C:$C,0)),RISK!A:B,2,FALSE())</f>
        <v>3.5258000000000003</v>
      </c>
      <c r="AB45" s="61"/>
      <c r="AC45" s="46" t="s">
        <v>218</v>
      </c>
      <c r="AD45" s="46" t="str">
        <f>VLOOKUP(AC45,ECR!E:L,8,FALSE())</f>
        <v>Wan'Dale Robinson</v>
      </c>
      <c r="AE45" s="46" t="str">
        <f>IFERROR(VLOOKUP(Table6[[#This Row],[PLAYER]],ECR!C:F,2,FALSE()),"-")</f>
        <v>TEN</v>
      </c>
      <c r="AF45" s="46">
        <f>IFERROR(VLOOKUP(Table6[[#This Row],[PLAYER]],ECR!C:F,4,FALSE()),"-")</f>
        <v>9</v>
      </c>
      <c r="AG45" s="46" t="str">
        <f>Table6[[#This Row],[Team]] &amp; "/" &amp; Table6[[#This Row],[Bye]]</f>
        <v>TEN/9</v>
      </c>
      <c r="AH45" s="57">
        <f>IFERROR(VLOOKUP(Table6[[#This Row],[PLAYER]],WR!A:Q,13,FALSE())/17*(17-Table6[[#This Row],[Missed Games]]),0)</f>
        <v>99.258153387937469</v>
      </c>
      <c r="AI45" s="57">
        <f>IFERROR(VLOOKUP(Table6[[#This Row],[PLAYER]],WR!A:Q,14,FALSE())/17*(17-Table6[[#This Row],[Missed Games]]),0)</f>
        <v>107.85330603127328</v>
      </c>
      <c r="AJ45" s="57">
        <f>IFERROR(VLOOKUP(Table6[[#This Row],[PLAYER]],WR!A:Q,15,FALSE())/17*(17-Table6[[#This Row],[Missed Games]]),0)</f>
        <v>117.42324646314219</v>
      </c>
      <c r="AK45" s="58">
        <f>AVERAGE(AVERAGE(Table6[[#This Row],[LOW]],Table6[[#This Row],[HIGH]]),Table6[[#This Row],[AVG]],VLOOKUP(Table6[[#This Row],[PLAYER]],ECR!L:N,3,FALSE))</f>
        <v>109.30001489203276</v>
      </c>
      <c r="AL45" s="58">
        <f>Table6[[#This Row],[Zscore Projection]]-$AE$1</f>
        <v>-5.4038830975428169</v>
      </c>
      <c r="AM45" s="59">
        <f>MAX(Table6[[#This Row],[VBD]]*Scoring!$B$48+1,1)</f>
        <v>1</v>
      </c>
      <c r="AN45" s="45">
        <f>VLOOKUP(Table6[[#This Row],[VBD]],BR:BT,3,FALSE)</f>
        <v>6</v>
      </c>
      <c r="AO45" s="60">
        <f>VLOOKUP(INDEX(ECR!$E:$E,MATCH(AD45,ECR!$C:$C,0)),RISK!A:B,2,FALSE())</f>
        <v>3.848101265822784</v>
      </c>
      <c r="AP45" s="61"/>
      <c r="AQ45" s="47" t="s">
        <v>302</v>
      </c>
      <c r="AR45" s="47" t="str">
        <f>VLOOKUP(AQ45,ECR!E:L,8,FALSE())</f>
        <v>Elijah Arroyo</v>
      </c>
      <c r="AS45" s="47" t="str">
        <f>IFERROR(VLOOKUP(Table7[[#This Row],[PLAYER]],ECR!C:F,2,FALSE()),"-")</f>
        <v>SEA</v>
      </c>
      <c r="AT45" s="47">
        <f>IFERROR(VLOOKUP(Table7[[#This Row],[PLAYER]],ECR!C:F,4,FALSE()),"-")</f>
        <v>11</v>
      </c>
      <c r="AU45" s="47" t="str">
        <f>Table7[[#This Row],[Team]] &amp; "/" &amp; Table7[[#This Row],[Bye]]</f>
        <v>SEA/11</v>
      </c>
      <c r="AV45" s="57">
        <f>IFERROR(VLOOKUP(Table7[[#This Row],[PLAYER]],TE!A:K,9,FALSE())/17*(16-Table7[[#This Row],[Missed Games]]),0)</f>
        <v>16.900000000000002</v>
      </c>
      <c r="AW45" s="57">
        <f>IFERROR(VLOOKUP(Table7[[#This Row],[PLAYER]],TE!A:K,10,FALSE())/17*(16-Table7[[#This Row],[Missed Games]]),0)</f>
        <v>29.624705882352934</v>
      </c>
      <c r="AX45" s="57">
        <f>IFERROR(VLOOKUP(Table7[[#This Row],[PLAYER]],TE!A:K,11,FALSE())/17*(16-Table7[[#This Row],[Missed Games]]),0)</f>
        <v>38.59470588235294</v>
      </c>
      <c r="AY45" s="58">
        <f>AVERAGE(AVERAGE(Table7[[#This Row],[LOW]],Table7[[#This Row],[HIGH]]),Table7[[#This Row],[AVG]],VLOOKUP(Table7[[#This Row],[PLAYER]],ECR!L:N,3,FALSE))</f>
        <v>31.086568627450976</v>
      </c>
      <c r="AZ45" s="58">
        <f>Table7[[#This Row],[Zscore Projection]]-$AS$1</f>
        <v>-76.82827756862747</v>
      </c>
      <c r="BA45" s="59">
        <f>MAX(Table7[[#This Row],[VBD]]*Scoring!$B$48+1,1)</f>
        <v>1</v>
      </c>
      <c r="BB45" s="57">
        <f>VLOOKUP(Table7[[#This Row],[VBD]],BW:BY,3,FALSE)</f>
        <v>10</v>
      </c>
      <c r="BC45" s="60">
        <f>VLOOKUP(INDEX(ECR!$E:$E,MATCH(AR45,ECR!$C:$C,0)),RISK!A:B,2,FALSE())</f>
        <v>3</v>
      </c>
      <c r="BD45" s="57"/>
      <c r="BE45" s="61"/>
      <c r="BF45" s="91">
        <v>43</v>
      </c>
      <c r="BG45" s="61">
        <f t="shared" si="12"/>
        <v>8.5624941176470593</v>
      </c>
      <c r="BH45" s="61">
        <f>IFERROR(LARGE($J$3:$J$52,43),"")</f>
        <v>-252.89343764705876</v>
      </c>
      <c r="BI45" s="61">
        <f t="shared" si="4"/>
        <v>-252.89343764705876</v>
      </c>
      <c r="BJ45" s="92">
        <f t="shared" si="5"/>
        <v>15</v>
      </c>
      <c r="BK45" s="91">
        <v>43</v>
      </c>
      <c r="BL45" s="61">
        <f t="shared" si="0"/>
        <v>97.313763529411744</v>
      </c>
      <c r="BM45" s="90">
        <f>IFERROR(LARGE($X$3:$X$102,43),"")</f>
        <v>-21.779646803921565</v>
      </c>
      <c r="BN45" s="90">
        <f t="shared" si="6"/>
        <v>-21.779646803921565</v>
      </c>
      <c r="BO45" s="92">
        <f t="shared" si="7"/>
        <v>8</v>
      </c>
      <c r="BP45" s="103">
        <v>43</v>
      </c>
      <c r="BQ45" s="61">
        <f t="shared" si="1"/>
        <v>111.70603871928517</v>
      </c>
      <c r="BR45" s="90">
        <f>IFERROR(LARGE($AL$3:$AL$102,43),"")</f>
        <v>-2.2010053653512358</v>
      </c>
      <c r="BS45" s="90">
        <f t="shared" si="8"/>
        <v>14.737704245718533</v>
      </c>
      <c r="BT45" s="92">
        <f t="shared" si="9"/>
        <v>5</v>
      </c>
      <c r="BU45" s="91">
        <v>43</v>
      </c>
      <c r="BV45" s="61">
        <f t="shared" si="2"/>
        <v>35.887647058823532</v>
      </c>
      <c r="BW45" s="90">
        <f>IFERROR(LARGE($AZ$3:$AZ$52,43),"")</f>
        <v>-69.665532470588246</v>
      </c>
      <c r="BX45" s="90">
        <f t="shared" si="10"/>
        <v>-68.464944235294126</v>
      </c>
      <c r="BY45" s="105">
        <f t="shared" si="11"/>
        <v>10</v>
      </c>
      <c r="BZ45" s="90"/>
      <c r="CA45" s="90"/>
      <c r="CB45" s="90"/>
      <c r="CC45" s="90"/>
      <c r="CD45" s="90"/>
      <c r="CE45" s="90"/>
      <c r="CF45" s="90"/>
      <c r="CG45" s="90"/>
    </row>
    <row r="46" spans="1:85" s="62" customFormat="1" ht="14.25" customHeight="1" x14ac:dyDescent="0.3">
      <c r="A46" s="56" t="s">
        <v>406</v>
      </c>
      <c r="B46" s="56" t="str">
        <f>VLOOKUP(A46,ECR!E:L,8,FALSE())</f>
        <v>Jameis Winston</v>
      </c>
      <c r="C46" s="46" t="str">
        <f>IFERROR(VLOOKUP(Table2[[#This Row],[PLAYER]],ECR!C:F,2,FALSE()),"-")</f>
        <v>NYG</v>
      </c>
      <c r="D46" s="46">
        <f>IFERROR(VLOOKUP(Table2[[#This Row],[PLAYER]],ECR!C:F,4,FALSE()),"-")</f>
        <v>8</v>
      </c>
      <c r="E46" s="46" t="str">
        <f>Table2[[#This Row],[Team]] &amp; "/" &amp; Table2[[#This Row],[Bye]]</f>
        <v>NYG/8</v>
      </c>
      <c r="F46" s="57">
        <f>IFERROR(VLOOKUP(Table2[[#This Row],[PLAYER]],QB!A:Q,15,FALSE())/17*(17-Table2[[#This Row],[Missed Games]]),0)</f>
        <v>4.5377647058823527</v>
      </c>
      <c r="G46" s="57">
        <f>IFERROR(VLOOKUP(Table2[[#This Row],[PLAYER]],QB!A:Q,16,FALSE())/17*(17-Table2[[#This Row],[Missed Games]]),0)</f>
        <v>9.3856235294117667</v>
      </c>
      <c r="H46" s="57">
        <f>IFERROR(VLOOKUP(Table2[[#This Row],[PLAYER]],QB!A:Q,17,FALSE())/17*(17-Table2[[#This Row],[Missed Games]]),0)</f>
        <v>16.219058823529412</v>
      </c>
      <c r="I46" s="58">
        <f>AVERAGE(AVERAGE(Table2[[#This Row],[LOW]],Table2[[#This Row],[HIGH]]),Table2[[#This Row],[AVG]],VLOOKUP(Table2[[#This Row],[PLAYER]],ECR!L:N,3,FALSE))</f>
        <v>9.4378470588235288</v>
      </c>
      <c r="J46" s="58">
        <f>Table2[[#This Row],[Zscore Projection]]-$C$1</f>
        <v>-252.89343764705876</v>
      </c>
      <c r="K46" s="59">
        <f>MAX(Table2[[#This Row],[VBD]]*Scoring!$B$48+1,1)</f>
        <v>1</v>
      </c>
      <c r="L46" s="45">
        <f>VLOOKUP(Table2[[#This Row],[VBD]],BH:BJ,3,FALSE)</f>
        <v>15</v>
      </c>
      <c r="M46" s="60">
        <f>VLOOKUP(INDEX(ECR!$E:$E,MATCH(B46,ECR!$C:$C,0)),RISK!A:B,2,FALSE())</f>
        <v>3.2</v>
      </c>
      <c r="N46" s="61"/>
      <c r="O46" s="45" t="s">
        <v>211</v>
      </c>
      <c r="P46" s="56" t="str">
        <f>VLOOKUP(O46,ECR!E:L,8,FALSE())</f>
        <v>Woody Marks</v>
      </c>
      <c r="Q46" s="46" t="str">
        <f>IFERROR(VLOOKUP(Table4[[#This Row],[PLAYER]],ECR!C:F,2,FALSE()),"-")</f>
        <v>HOU</v>
      </c>
      <c r="R46" s="46">
        <f>IFERROR(VLOOKUP(Table4[[#This Row],[PLAYER]],ECR!C:F,4,FALSE()),"-")</f>
        <v>8</v>
      </c>
      <c r="S46" s="46" t="str">
        <f>Table4[[#This Row],[Team]] &amp; "/" &amp; Table4[[#This Row],[Bye]]</f>
        <v>HOU/8</v>
      </c>
      <c r="T46" s="57">
        <f>IFERROR(VLOOKUP(Table4[[#This Row],[PLAYER]],RB!A:Q,13,FALSE())/17*(17-Table4[[#This Row],[Missed Games]]),0)</f>
        <v>76.681583529411753</v>
      </c>
      <c r="U46" s="57">
        <f>IFERROR(VLOOKUP(Table4[[#This Row],[PLAYER]],RB!A:Q,14,FALSE())/17*(17-Table4[[#This Row],[Missed Games]]),0)</f>
        <v>89.948840000000004</v>
      </c>
      <c r="V46" s="57">
        <f>IFERROR(VLOOKUP(Table4[[#This Row],[PLAYER]],RB!A:Q,15,FALSE())/17*(17-Table4[[#This Row],[Missed Games]]),0)</f>
        <v>103.83207623529411</v>
      </c>
      <c r="W46" s="58">
        <f>AVERAGE(AVERAGE(Table4[[#This Row],[LOW]],Table4[[#This Row],[HIGH]]),Table4[[#This Row],[AVG]],VLOOKUP(Table4[[#This Row],[PLAYER]],ECR!L:N,3,FALSE))</f>
        <v>92.374831137254901</v>
      </c>
      <c r="X46" s="58">
        <f>Table4[[#This Row],[Zscore Projection]]-$Q$1</f>
        <v>-21.779646803921565</v>
      </c>
      <c r="Y46" s="59">
        <f>MAX(Table4[[#This Row],[VBD]]*Scoring!$B$48+1,1)</f>
        <v>1</v>
      </c>
      <c r="Z46" s="45">
        <f>VLOOKUP(Table4[[#This Row],[VBD]],BM:BO,3,FALSE)</f>
        <v>8</v>
      </c>
      <c r="AA46" s="60">
        <f>VLOOKUP(INDEX(ECR!$E:$E,MATCH(P46,ECR!$C:$C,0)),RISK!A:B,2,FALSE())</f>
        <v>3.5747999999999998</v>
      </c>
      <c r="AB46" s="61"/>
      <c r="AC46" s="46" t="s">
        <v>208</v>
      </c>
      <c r="AD46" s="46" t="str">
        <f>VLOOKUP(AC46,ECR!E:L,8,FALSE())</f>
        <v>Jayden Reed</v>
      </c>
      <c r="AE46" s="46" t="str">
        <f>IFERROR(VLOOKUP(Table6[[#This Row],[PLAYER]],ECR!C:F,2,FALSE()),"-")</f>
        <v>GB</v>
      </c>
      <c r="AF46" s="46">
        <f>IFERROR(VLOOKUP(Table6[[#This Row],[PLAYER]],ECR!C:F,4,FALSE()),"-")</f>
        <v>11</v>
      </c>
      <c r="AG46" s="46" t="str">
        <f>Table6[[#This Row],[Team]] &amp; "/" &amp; Table6[[#This Row],[Bye]]</f>
        <v>GB/11</v>
      </c>
      <c r="AH46" s="57">
        <f>IFERROR(VLOOKUP(Table6[[#This Row],[PLAYER]],WR!A:Q,13,FALSE())/17*(17-Table6[[#This Row],[Missed Games]]),0)</f>
        <v>101.61002233804916</v>
      </c>
      <c r="AI46" s="57">
        <f>IFERROR(VLOOKUP(Table6[[#This Row],[PLAYER]],WR!A:Q,14,FALSE())/17*(17-Table6[[#This Row],[Missed Games]]),0)</f>
        <v>112.53383469843629</v>
      </c>
      <c r="AJ46" s="57">
        <f>IFERROR(VLOOKUP(Table6[[#This Row],[PLAYER]],WR!A:Q,15,FALSE())/17*(17-Table6[[#This Row],[Missed Games]]),0)</f>
        <v>125.79404318689501</v>
      </c>
      <c r="AK46" s="58">
        <f>AVERAGE(AVERAGE(Table6[[#This Row],[LOW]],Table6[[#This Row],[HIGH]]),Table6[[#This Row],[AVG]],VLOOKUP(Table6[[#This Row],[PLAYER]],ECR!L:N,3,FALSE))</f>
        <v>112.50289262422434</v>
      </c>
      <c r="AL46" s="58">
        <f>Table6[[#This Row],[Zscore Projection]]-$AE$1</f>
        <v>-2.2010053653512358</v>
      </c>
      <c r="AM46" s="59">
        <f>MAX(Table6[[#This Row],[VBD]]*Scoring!$B$48+1,1)</f>
        <v>1</v>
      </c>
      <c r="AN46" s="45">
        <f>VLOOKUP(Table6[[#This Row],[VBD]],BR:BT,3,FALSE)</f>
        <v>5</v>
      </c>
      <c r="AO46" s="60">
        <f>VLOOKUP(INDEX(ECR!$E:$E,MATCH(AD46,ECR!$C:$C,0)),RISK!A:B,2,FALSE())</f>
        <v>3.848101265822784</v>
      </c>
      <c r="AP46" s="61"/>
      <c r="AQ46" s="47" t="s">
        <v>326</v>
      </c>
      <c r="AR46" s="47" t="str">
        <f>VLOOKUP(AQ46,ECR!E:L,8,FALSE())</f>
        <v>Eli Raridon</v>
      </c>
      <c r="AS46" s="47" t="str">
        <f>IFERROR(VLOOKUP(Table7[[#This Row],[PLAYER]],ECR!C:F,2,FALSE()),"-")</f>
        <v>NE</v>
      </c>
      <c r="AT46" s="47">
        <f>IFERROR(VLOOKUP(Table7[[#This Row],[PLAYER]],ECR!C:F,4,FALSE()),"-")</f>
        <v>11</v>
      </c>
      <c r="AU46" s="47" t="str">
        <f>Table7[[#This Row],[Team]] &amp; "/" &amp; Table7[[#This Row],[Bye]]</f>
        <v>NE/11</v>
      </c>
      <c r="AV46" s="57">
        <f>IFERROR(VLOOKUP(Table7[[#This Row],[PLAYER]],TE!A:K,9,FALSE())/17*(16-Table7[[#This Row],[Missed Games]]),0)</f>
        <v>26.772352941176468</v>
      </c>
      <c r="AW46" s="57">
        <f>IFERROR(VLOOKUP(Table7[[#This Row],[PLAYER]],TE!A:K,10,FALSE())/17*(16-Table7[[#This Row],[Missed Games]]),0)</f>
        <v>31.245882352941173</v>
      </c>
      <c r="AX46" s="57">
        <f>IFERROR(VLOOKUP(Table7[[#This Row],[PLAYER]],TE!A:K,11,FALSE())/17*(16-Table7[[#This Row],[Missed Games]]),0)</f>
        <v>35.864705882352943</v>
      </c>
      <c r="AY46" s="58">
        <f>AVERAGE(AVERAGE(Table7[[#This Row],[LOW]],Table7[[#This Row],[HIGH]]),Table7[[#This Row],[AVG]],VLOOKUP(Table7[[#This Row],[PLAYER]],ECR!L:N,3,FALSE))</f>
        <v>31.270098039215686</v>
      </c>
      <c r="AZ46" s="58">
        <f>Table7[[#This Row],[Zscore Projection]]-$AS$1</f>
        <v>-76.644748156862761</v>
      </c>
      <c r="BA46" s="59">
        <f>MAX(Table7[[#This Row],[VBD]]*Scoring!$B$48+1,1)</f>
        <v>1</v>
      </c>
      <c r="BB46" s="57">
        <f>VLOOKUP(Table7[[#This Row],[VBD]],BW:BY,3,FALSE)</f>
        <v>10</v>
      </c>
      <c r="BC46" s="60">
        <f>VLOOKUP(INDEX(ECR!$E:$E,MATCH(AR46,ECR!$C:$C,0)),RISK!A:B,2,FALSE())</f>
        <v>3</v>
      </c>
      <c r="BD46" s="57"/>
      <c r="BE46" s="61"/>
      <c r="BF46" s="91">
        <v>44</v>
      </c>
      <c r="BG46" s="61">
        <f t="shared" si="12"/>
        <v>8.5495058823529408</v>
      </c>
      <c r="BH46" s="61">
        <f>IFERROR(LARGE($J$3:$J$52,44),"")</f>
        <v>-253.6226729411764</v>
      </c>
      <c r="BI46" s="61">
        <f t="shared" si="4"/>
        <v>-252.89343764705876</v>
      </c>
      <c r="BJ46" s="92">
        <f t="shared" si="5"/>
        <v>15</v>
      </c>
      <c r="BK46" s="91">
        <v>44</v>
      </c>
      <c r="BL46" s="61">
        <f t="shared" si="0"/>
        <v>96.918823529411767</v>
      </c>
      <c r="BM46" s="90">
        <f>IFERROR(LARGE($X$3:$X$102,44),"")</f>
        <v>-23.934490686274501</v>
      </c>
      <c r="BN46" s="90">
        <f t="shared" si="6"/>
        <v>-21.779646803921565</v>
      </c>
      <c r="BO46" s="92">
        <f t="shared" si="7"/>
        <v>8</v>
      </c>
      <c r="BP46" s="103">
        <v>44</v>
      </c>
      <c r="BQ46" s="61">
        <f t="shared" si="1"/>
        <v>111.27281041176468</v>
      </c>
      <c r="BR46" s="90">
        <f>IFERROR(LARGE($AL$3:$AL$102,44),"")</f>
        <v>-2.4472331099528333</v>
      </c>
      <c r="BS46" s="90">
        <f t="shared" si="8"/>
        <v>14.737704245718533</v>
      </c>
      <c r="BT46" s="92">
        <f t="shared" si="9"/>
        <v>5</v>
      </c>
      <c r="BU46" s="91">
        <v>44</v>
      </c>
      <c r="BV46" s="61">
        <f t="shared" si="2"/>
        <v>31.245882352941173</v>
      </c>
      <c r="BW46" s="90">
        <f>IFERROR(LARGE($AZ$3:$AZ$52,44),"")</f>
        <v>-70.014748156862765</v>
      </c>
      <c r="BX46" s="90">
        <f t="shared" si="10"/>
        <v>-68.464944235294126</v>
      </c>
      <c r="BY46" s="105">
        <f t="shared" si="11"/>
        <v>10</v>
      </c>
      <c r="BZ46" s="90"/>
      <c r="CA46" s="90"/>
      <c r="CB46" s="90"/>
      <c r="CC46" s="90"/>
      <c r="CD46" s="90"/>
      <c r="CE46" s="90"/>
      <c r="CF46" s="90"/>
      <c r="CG46" s="90"/>
    </row>
    <row r="47" spans="1:85" s="62" customFormat="1" ht="14.25" customHeight="1" x14ac:dyDescent="0.3">
      <c r="A47" s="56" t="s">
        <v>407</v>
      </c>
      <c r="B47" s="56" t="str">
        <f>VLOOKUP(A47,ECR!E:L,8,FALSE())</f>
        <v>Cade Klubnik</v>
      </c>
      <c r="C47" s="46" t="str">
        <f>IFERROR(VLOOKUP(Table2[[#This Row],[PLAYER]],ECR!C:F,2,FALSE()),"-")</f>
        <v>NYJ</v>
      </c>
      <c r="D47" s="46">
        <f>IFERROR(VLOOKUP(Table2[[#This Row],[PLAYER]],ECR!C:F,4,FALSE()),"-")</f>
        <v>13</v>
      </c>
      <c r="E47" s="46" t="str">
        <f>Table2[[#This Row],[Team]] &amp; "/" &amp; Table2[[#This Row],[Bye]]</f>
        <v>NYJ/13</v>
      </c>
      <c r="F47" s="57">
        <f>IFERROR(VLOOKUP(Table2[[#This Row],[PLAYER]],QB!A:Q,15,FALSE())/17*(17-Table2[[#This Row],[Missed Games]]),0)</f>
        <v>4.9274117647058828</v>
      </c>
      <c r="G47" s="57">
        <f>IFERROR(VLOOKUP(Table2[[#This Row],[PLAYER]],QB!A:Q,16,FALSE())/17*(17-Table2[[#This Row],[Missed Games]]),0)</f>
        <v>7.383811764705885</v>
      </c>
      <c r="H47" s="57">
        <f>IFERROR(VLOOKUP(Table2[[#This Row],[PLAYER]],QB!A:Q,17,FALSE())/17*(17-Table2[[#This Row],[Missed Games]]),0)</f>
        <v>10.212</v>
      </c>
      <c r="I47" s="58">
        <f>AVERAGE(AVERAGE(Table2[[#This Row],[LOW]],Table2[[#This Row],[HIGH]]),Table2[[#This Row],[AVG]],VLOOKUP(Table2[[#This Row],[PLAYER]],ECR!L:N,3,FALSE))</f>
        <v>7.8083647058823544</v>
      </c>
      <c r="J47" s="58">
        <f>Table2[[#This Row],[Zscore Projection]]-$C$1</f>
        <v>-254.52291999999994</v>
      </c>
      <c r="K47" s="59">
        <f>MAX(Table2[[#This Row],[VBD]]*Scoring!$B$48+1,1)</f>
        <v>1</v>
      </c>
      <c r="L47" s="45">
        <f>VLOOKUP(Table2[[#This Row],[VBD]],BH:BJ,3,FALSE)</f>
        <v>15</v>
      </c>
      <c r="M47" s="60">
        <f>VLOOKUP(INDEX(ECR!$E:$E,MATCH(B47,ECR!$C:$C,0)),RISK!A:B,2,FALSE())</f>
        <v>3.2</v>
      </c>
      <c r="N47" s="61"/>
      <c r="O47" s="45" t="s">
        <v>190</v>
      </c>
      <c r="P47" s="56" t="str">
        <f>VLOOKUP(O47,ECR!E:L,8,FALSE())</f>
        <v>Jonah Coleman</v>
      </c>
      <c r="Q47" s="46" t="str">
        <f>IFERROR(VLOOKUP(Table4[[#This Row],[PLAYER]],ECR!C:F,2,FALSE()),"-")</f>
        <v>DEN</v>
      </c>
      <c r="R47" s="46">
        <f>IFERROR(VLOOKUP(Table4[[#This Row],[PLAYER]],ECR!C:F,4,FALSE()),"-")</f>
        <v>10</v>
      </c>
      <c r="S47" s="46" t="str">
        <f>Table4[[#This Row],[Team]] &amp; "/" &amp; Table4[[#This Row],[Bye]]</f>
        <v>DEN/10</v>
      </c>
      <c r="T47" s="57">
        <f>IFERROR(VLOOKUP(Table4[[#This Row],[PLAYER]],RB!A:Q,13,FALSE())/17*(17-Table4[[#This Row],[Missed Games]]),0)</f>
        <v>60.166241617647067</v>
      </c>
      <c r="U47" s="57">
        <f>IFERROR(VLOOKUP(Table4[[#This Row],[PLAYER]],RB!A:Q,14,FALSE())/17*(17-Table4[[#This Row],[Missed Games]]),0)</f>
        <v>77.388521029411763</v>
      </c>
      <c r="V47" s="57">
        <f>IFERROR(VLOOKUP(Table4[[#This Row],[PLAYER]],RB!A:Q,15,FALSE())/17*(17-Table4[[#This Row],[Missed Games]]),0)</f>
        <v>94.280359264705893</v>
      </c>
      <c r="W47" s="58">
        <f>AVERAGE(AVERAGE(Table4[[#This Row],[LOW]],Table4[[#This Row],[HIGH]]),Table4[[#This Row],[AVG]],VLOOKUP(Table4[[#This Row],[PLAYER]],ECR!L:N,3,FALSE))</f>
        <v>81.635547470588236</v>
      </c>
      <c r="X47" s="58">
        <f>Table4[[#This Row],[Zscore Projection]]-$Q$1</f>
        <v>-32.518930470588231</v>
      </c>
      <c r="Y47" s="59">
        <f>MAX(Table4[[#This Row],[VBD]]*Scoring!$B$48+1,1)</f>
        <v>1</v>
      </c>
      <c r="Z47" s="45">
        <f>VLOOKUP(Table4[[#This Row],[VBD]],BM:BO,3,FALSE)</f>
        <v>8</v>
      </c>
      <c r="AA47" s="60">
        <f>VLOOKUP(INDEX(ECR!$E:$E,MATCH(P47,ECR!$C:$C,0)),RISK!A:B,2,FALSE())</f>
        <v>3.625</v>
      </c>
      <c r="AB47" s="61"/>
      <c r="AC47" s="46" t="s">
        <v>205</v>
      </c>
      <c r="AD47" s="46" t="str">
        <f>VLOOKUP(AC47,ECR!E:L,8,FALSE())</f>
        <v>Jordan Addison</v>
      </c>
      <c r="AE47" s="46" t="str">
        <f>IFERROR(VLOOKUP(Table6[[#This Row],[PLAYER]],ECR!C:F,2,FALSE()),"-")</f>
        <v>MIN</v>
      </c>
      <c r="AF47" s="46">
        <f>IFERROR(VLOOKUP(Table6[[#This Row],[PLAYER]],ECR!C:F,4,FALSE()),"-")</f>
        <v>6</v>
      </c>
      <c r="AG47" s="46" t="str">
        <f>Table6[[#This Row],[Team]] &amp; "/" &amp; Table6[[#This Row],[Bye]]</f>
        <v>MIN/6</v>
      </c>
      <c r="AH47" s="57">
        <f>IFERROR(VLOOKUP(Table6[[#This Row],[PLAYER]],WR!A:Q,13,FALSE())/17*(17-Table6[[#This Row],[Missed Games]]),0)</f>
        <v>99.993112434847362</v>
      </c>
      <c r="AI47" s="57">
        <f>IFERROR(VLOOKUP(Table6[[#This Row],[PLAYER]],WR!A:Q,14,FALSE())/17*(17-Table6[[#This Row],[Missed Games]]),0)</f>
        <v>109.57852568875653</v>
      </c>
      <c r="AJ47" s="57">
        <f>IFERROR(VLOOKUP(Table6[[#This Row],[PLAYER]],WR!A:Q,15,FALSE())/17*(17-Table6[[#This Row],[Missed Games]]),0)</f>
        <v>121.57769918093823</v>
      </c>
      <c r="AK47" s="58">
        <f>AVERAGE(AVERAGE(Table6[[#This Row],[LOW]],Table6[[#This Row],[HIGH]]),Table6[[#This Row],[AVG]],VLOOKUP(Table6[[#This Row],[PLAYER]],ECR!L:N,3,FALSE))</f>
        <v>110.2949447145694</v>
      </c>
      <c r="AL47" s="58">
        <f>Table6[[#This Row],[Zscore Projection]]-$AE$1</f>
        <v>-4.4089532750061835</v>
      </c>
      <c r="AM47" s="59">
        <f>MAX(Table6[[#This Row],[VBD]]*Scoring!$B$48+1,1)</f>
        <v>1</v>
      </c>
      <c r="AN47" s="45">
        <f>VLOOKUP(Table6[[#This Row],[VBD]],BR:BT,3,FALSE)</f>
        <v>5</v>
      </c>
      <c r="AO47" s="60">
        <f>VLOOKUP(INDEX(ECR!$E:$E,MATCH(AD47,ECR!$C:$C,0)),RISK!A:B,2,FALSE())</f>
        <v>3.848101265822784</v>
      </c>
      <c r="AP47" s="61"/>
      <c r="AQ47" s="47" t="s">
        <v>294</v>
      </c>
      <c r="AR47" s="47" t="str">
        <f>VLOOKUP(AQ47,ECR!E:L,8,FALSE())</f>
        <v>Dawson Knox</v>
      </c>
      <c r="AS47" s="47" t="str">
        <f>IFERROR(VLOOKUP(Table7[[#This Row],[PLAYER]],ECR!C:F,2,FALSE()),"-")</f>
        <v>BUF</v>
      </c>
      <c r="AT47" s="47">
        <f>IFERROR(VLOOKUP(Table7[[#This Row],[PLAYER]],ECR!C:F,4,FALSE()),"-")</f>
        <v>7</v>
      </c>
      <c r="AU47" s="47" t="str">
        <f>Table7[[#This Row],[Team]] &amp; "/" &amp; Table7[[#This Row],[Bye]]</f>
        <v>BUF/7</v>
      </c>
      <c r="AV47" s="57">
        <f>IFERROR(VLOOKUP(Table7[[#This Row],[PLAYER]],TE!A:K,9,FALSE())/17*(16-Table7[[#This Row],[Missed Games]]),0)</f>
        <v>42.53294117647058</v>
      </c>
      <c r="AW47" s="57">
        <f>IFERROR(VLOOKUP(Table7[[#This Row],[PLAYER]],TE!A:K,10,FALSE())/17*(16-Table7[[#This Row],[Missed Games]]),0)</f>
        <v>49.468823529411765</v>
      </c>
      <c r="AX47" s="57">
        <f>IFERROR(VLOOKUP(Table7[[#This Row],[PLAYER]],TE!A:K,11,FALSE())/17*(16-Table7[[#This Row],[Missed Games]]),0)</f>
        <v>57.735294117647058</v>
      </c>
      <c r="AY47" s="58">
        <f>AVERAGE(AVERAGE(Table7[[#This Row],[LOW]],Table7[[#This Row],[HIGH]]),Table7[[#This Row],[AVG]],VLOOKUP(Table7[[#This Row],[PLAYER]],ECR!L:N,3,FALSE))</f>
        <v>43.509215686274509</v>
      </c>
      <c r="AZ47" s="58">
        <f>Table7[[#This Row],[Zscore Projection]]-$AS$1</f>
        <v>-64.405630509803927</v>
      </c>
      <c r="BA47" s="59">
        <f>MAX(Table7[[#This Row],[VBD]]*Scoring!$B$48+1,1)</f>
        <v>1</v>
      </c>
      <c r="BB47" s="57">
        <f>VLOOKUP(Table7[[#This Row],[VBD]],BW:BY,3,FALSE)</f>
        <v>9</v>
      </c>
      <c r="BC47" s="60">
        <f>VLOOKUP(INDEX(ECR!$E:$E,MATCH(AR47,ECR!$C:$C,0)),RISK!A:B,2,FALSE())</f>
        <v>3</v>
      </c>
      <c r="BD47" s="57"/>
      <c r="BE47" s="61"/>
      <c r="BF47" s="91">
        <v>45</v>
      </c>
      <c r="BG47" s="61">
        <f t="shared" si="12"/>
        <v>8.4715764705882357</v>
      </c>
      <c r="BH47" s="61">
        <f>IFERROR(LARGE($J$3:$J$52,45),"")</f>
        <v>-254.52291999999994</v>
      </c>
      <c r="BI47" s="61">
        <f t="shared" si="4"/>
        <v>-252.89343764705876</v>
      </c>
      <c r="BJ47" s="92">
        <f t="shared" si="5"/>
        <v>15</v>
      </c>
      <c r="BK47" s="91">
        <v>45</v>
      </c>
      <c r="BL47" s="61">
        <f t="shared" si="0"/>
        <v>90.294820941176454</v>
      </c>
      <c r="BM47" s="90">
        <f>IFERROR(LARGE($X$3:$X$102,45),"")</f>
        <v>-27.643301470588227</v>
      </c>
      <c r="BN47" s="90">
        <f t="shared" si="6"/>
        <v>-21.779646803921565</v>
      </c>
      <c r="BO47" s="92">
        <f t="shared" si="7"/>
        <v>8</v>
      </c>
      <c r="BP47" s="103">
        <v>45</v>
      </c>
      <c r="BQ47" s="61">
        <f t="shared" si="1"/>
        <v>110.52090264705882</v>
      </c>
      <c r="BR47" s="90">
        <f>IFERROR(LARGE($AL$3:$AL$102,45),"")</f>
        <v>-4.4089532750061835</v>
      </c>
      <c r="BS47" s="90">
        <f t="shared" si="8"/>
        <v>14.737704245718533</v>
      </c>
      <c r="BT47" s="92">
        <f t="shared" si="9"/>
        <v>5</v>
      </c>
      <c r="BU47" s="91">
        <v>45</v>
      </c>
      <c r="BV47" s="61">
        <f t="shared" si="2"/>
        <v>30.924705882352942</v>
      </c>
      <c r="BW47" s="90">
        <f>IFERROR(LARGE($AZ$3:$AZ$52,45),"")</f>
        <v>-75.867297176470601</v>
      </c>
      <c r="BX47" s="90">
        <f t="shared" si="10"/>
        <v>-68.464944235294126</v>
      </c>
      <c r="BY47" s="105">
        <f t="shared" si="11"/>
        <v>10</v>
      </c>
      <c r="BZ47" s="90"/>
      <c r="CA47" s="90"/>
      <c r="CB47" s="90"/>
      <c r="CC47" s="90"/>
      <c r="CD47" s="90"/>
      <c r="CE47" s="90"/>
      <c r="CF47" s="90"/>
      <c r="CG47" s="90"/>
    </row>
    <row r="48" spans="1:85" s="62" customFormat="1" ht="14.25" customHeight="1" x14ac:dyDescent="0.3">
      <c r="A48" s="56" t="s">
        <v>408</v>
      </c>
      <c r="B48" s="56" t="str">
        <f>VLOOKUP(A48,ECR!E:L,8,FALSE())</f>
        <v>Joe Milton III</v>
      </c>
      <c r="C48" s="46" t="str">
        <f>IFERROR(VLOOKUP(Table2[[#This Row],[PLAYER]],ECR!C:F,2,FALSE()),"-")</f>
        <v>DAL</v>
      </c>
      <c r="D48" s="46">
        <f>IFERROR(VLOOKUP(Table2[[#This Row],[PLAYER]],ECR!C:F,4,FALSE()),"-")</f>
        <v>14</v>
      </c>
      <c r="E48" s="46" t="str">
        <f>Table2[[#This Row],[Team]] &amp; "/" &amp; Table2[[#This Row],[Bye]]</f>
        <v>DAL/14</v>
      </c>
      <c r="F48" s="57">
        <f>IFERROR(VLOOKUP(Table2[[#This Row],[PLAYER]],QB!A:Q,15,FALSE())/17*(17-Table2[[#This Row],[Missed Games]]),0)</f>
        <v>0</v>
      </c>
      <c r="G48" s="57">
        <f>IFERROR(VLOOKUP(Table2[[#This Row],[PLAYER]],QB!A:Q,16,FALSE())/17*(17-Table2[[#This Row],[Missed Games]]),0)</f>
        <v>4.9842352941176475</v>
      </c>
      <c r="H48" s="57">
        <f>IFERROR(VLOOKUP(Table2[[#This Row],[PLAYER]],QB!A:Q,17,FALSE())/17*(17-Table2[[#This Row],[Missed Games]]),0)</f>
        <v>10.780235294117649</v>
      </c>
      <c r="I48" s="58">
        <f>AVERAGE(AVERAGE(Table2[[#This Row],[LOW]],Table2[[#This Row],[HIGH]]),Table2[[#This Row],[AVG]],VLOOKUP(Table2[[#This Row],[PLAYER]],ECR!L:N,3,FALSE))</f>
        <v>5.9193882352941189</v>
      </c>
      <c r="J48" s="58">
        <f>Table2[[#This Row],[Zscore Projection]]-$C$1</f>
        <v>-256.4118964705882</v>
      </c>
      <c r="K48" s="59">
        <f>MAX(Table2[[#This Row],[VBD]]*Scoring!$B$48+1,1)</f>
        <v>1</v>
      </c>
      <c r="L48" s="45">
        <f>VLOOKUP(Table2[[#This Row],[VBD]],BH:BJ,3,FALSE)</f>
        <v>15</v>
      </c>
      <c r="M48" s="60">
        <f>VLOOKUP(INDEX(ECR!$E:$E,MATCH(B48,ECR!$C:$C,0)),RISK!A:B,2,FALSE())</f>
        <v>3.2</v>
      </c>
      <c r="N48" s="61"/>
      <c r="O48" s="45" t="s">
        <v>187</v>
      </c>
      <c r="P48" s="56" t="str">
        <f>VLOOKUP(O48,ECR!E:L,8,FALSE())</f>
        <v>Tyjae Spears</v>
      </c>
      <c r="Q48" s="46" t="str">
        <f>IFERROR(VLOOKUP(Table4[[#This Row],[PLAYER]],ECR!C:F,2,FALSE()),"-")</f>
        <v>TEN</v>
      </c>
      <c r="R48" s="46">
        <f>IFERROR(VLOOKUP(Table4[[#This Row],[PLAYER]],ECR!C:F,4,FALSE()),"-")</f>
        <v>9</v>
      </c>
      <c r="S48" s="46" t="str">
        <f>Table4[[#This Row],[Team]] &amp; "/" &amp; Table4[[#This Row],[Bye]]</f>
        <v>TEN/9</v>
      </c>
      <c r="T48" s="57">
        <f>IFERROR(VLOOKUP(Table4[[#This Row],[PLAYER]],RB!A:Q,13,FALSE())/17*(17-Table4[[#This Row],[Missed Games]]),0)</f>
        <v>74.377037647058827</v>
      </c>
      <c r="U48" s="57">
        <f>IFERROR(VLOOKUP(Table4[[#This Row],[PLAYER]],RB!A:Q,14,FALSE())/17*(17-Table4[[#This Row],[Missed Games]]),0)</f>
        <v>90.294820941176454</v>
      </c>
      <c r="V48" s="57">
        <f>IFERROR(VLOOKUP(Table4[[#This Row],[PLAYER]],RB!A:Q,15,FALSE())/17*(17-Table4[[#This Row],[Missed Games]]),0)</f>
        <v>106.45556400000001</v>
      </c>
      <c r="W48" s="58">
        <f>AVERAGE(AVERAGE(Table4[[#This Row],[LOW]],Table4[[#This Row],[HIGH]]),Table4[[#This Row],[AVG]],VLOOKUP(Table4[[#This Row],[PLAYER]],ECR!L:N,3,FALSE))</f>
        <v>90.219987254901966</v>
      </c>
      <c r="X48" s="58">
        <f>Table4[[#This Row],[Zscore Projection]]-$Q$1</f>
        <v>-23.934490686274501</v>
      </c>
      <c r="Y48" s="59">
        <f>MAX(Table4[[#This Row],[VBD]]*Scoring!$B$48+1,1)</f>
        <v>1</v>
      </c>
      <c r="Z48" s="45">
        <f>VLOOKUP(Table4[[#This Row],[VBD]],BM:BO,3,FALSE)</f>
        <v>8</v>
      </c>
      <c r="AA48" s="60">
        <f>VLOOKUP(INDEX(ECR!$E:$E,MATCH(P48,ECR!$C:$C,0)),RISK!A:B,2,FALSE())</f>
        <v>3.676400000000001</v>
      </c>
      <c r="AB48" s="61"/>
      <c r="AC48" s="46" t="s">
        <v>207</v>
      </c>
      <c r="AD48" s="46" t="str">
        <f>VLOOKUP(AC48,ECR!E:L,8,FALSE())</f>
        <v>Makai Lemon</v>
      </c>
      <c r="AE48" s="46" t="str">
        <f>IFERROR(VLOOKUP(Table6[[#This Row],[PLAYER]],ECR!C:F,2,FALSE()),"-")</f>
        <v>PHI</v>
      </c>
      <c r="AF48" s="46">
        <f>IFERROR(VLOOKUP(Table6[[#This Row],[PLAYER]],ECR!C:F,4,FALSE()),"-")</f>
        <v>10</v>
      </c>
      <c r="AG48" s="46" t="str">
        <f>Table6[[#This Row],[Team]] &amp; "/" &amp; Table6[[#This Row],[Bye]]</f>
        <v>PHI/10</v>
      </c>
      <c r="AH48" s="57">
        <f>IFERROR(VLOOKUP(Table6[[#This Row],[PLAYER]],WR!A:Q,13,FALSE())/17*(17-Table6[[#This Row],[Missed Games]]),0)</f>
        <v>109.89386180193596</v>
      </c>
      <c r="AI48" s="57">
        <f>IFERROR(VLOOKUP(Table6[[#This Row],[PLAYER]],WR!A:Q,14,FALSE())/17*(17-Table6[[#This Row],[Missed Games]]),0)</f>
        <v>113.16636366344007</v>
      </c>
      <c r="AJ48" s="57">
        <f>IFERROR(VLOOKUP(Table6[[#This Row],[PLAYER]],WR!A:Q,15,FALSE())/17*(17-Table6[[#This Row],[Missed Games]]),0)</f>
        <v>117.01135994043189</v>
      </c>
      <c r="AK48" s="58">
        <f>AVERAGE(AVERAGE(Table6[[#This Row],[LOW]],Table6[[#This Row],[HIGH]]),Table6[[#This Row],[AVG]],VLOOKUP(Table6[[#This Row],[PLAYER]],ECR!L:N,3,FALSE))</f>
        <v>112.25666487962275</v>
      </c>
      <c r="AL48" s="58">
        <f>Table6[[#This Row],[Zscore Projection]]-$AE$1</f>
        <v>-2.4472331099528333</v>
      </c>
      <c r="AM48" s="59">
        <f>MAX(Table6[[#This Row],[VBD]]*Scoring!$B$48+1,1)</f>
        <v>1</v>
      </c>
      <c r="AN48" s="45">
        <f>VLOOKUP(Table6[[#This Row],[VBD]],BR:BT,3,FALSE)</f>
        <v>5</v>
      </c>
      <c r="AO48" s="60">
        <f>VLOOKUP(INDEX(ECR!$E:$E,MATCH(AD48,ECR!$C:$C,0)),RISK!A:B,2,FALSE())</f>
        <v>3.848101265822784</v>
      </c>
      <c r="AP48" s="61"/>
      <c r="AQ48" s="47" t="s">
        <v>325</v>
      </c>
      <c r="AR48" s="47" t="str">
        <f>VLOOKUP(AQ48,ECR!E:L,8,FALSE())</f>
        <v>Erick All Jr.</v>
      </c>
      <c r="AS48" s="47" t="str">
        <f>IFERROR(VLOOKUP(Table7[[#This Row],[PLAYER]],ECR!C:F,2,FALSE()),"-")</f>
        <v>CIN</v>
      </c>
      <c r="AT48" s="47">
        <f>IFERROR(VLOOKUP(Table7[[#This Row],[PLAYER]],ECR!C:F,4,FALSE()),"-")</f>
        <v>6</v>
      </c>
      <c r="AU48" s="47" t="str">
        <f>Table7[[#This Row],[Team]] &amp; "/" &amp; Table7[[#This Row],[Bye]]</f>
        <v>CIN/6</v>
      </c>
      <c r="AV48" s="57">
        <f>IFERROR(VLOOKUP(Table7[[#This Row],[PLAYER]],TE!A:K,9,FALSE())/17*(16-Table7[[#This Row],[Missed Games]]),0)</f>
        <v>41.485294117647058</v>
      </c>
      <c r="AW48" s="57">
        <f>IFERROR(VLOOKUP(Table7[[#This Row],[PLAYER]],TE!A:K,10,FALSE())/17*(16-Table7[[#This Row],[Missed Games]]),0)</f>
        <v>44.2</v>
      </c>
      <c r="AX48" s="57">
        <f>IFERROR(VLOOKUP(Table7[[#This Row],[PLAYER]],TE!A:K,11,FALSE())/17*(16-Table7[[#This Row],[Missed Games]]),0)</f>
        <v>46.952941176470596</v>
      </c>
      <c r="AY48" s="58">
        <f>AVERAGE(AVERAGE(Table7[[#This Row],[LOW]],Table7[[#This Row],[HIGH]]),Table7[[#This Row],[AVG]],VLOOKUP(Table7[[#This Row],[PLAYER]],ECR!L:N,3,FALSE))</f>
        <v>39.44990196078431</v>
      </c>
      <c r="AZ48" s="58">
        <f>Table7[[#This Row],[Zscore Projection]]-$AS$1</f>
        <v>-68.464944235294126</v>
      </c>
      <c r="BA48" s="59">
        <f>MAX(Table7[[#This Row],[VBD]]*Scoring!$B$48+1,1)</f>
        <v>1</v>
      </c>
      <c r="BB48" s="57">
        <f>VLOOKUP(Table7[[#This Row],[VBD]],BW:BY,3,FALSE)</f>
        <v>10</v>
      </c>
      <c r="BC48" s="60">
        <f>VLOOKUP(INDEX(ECR!$E:$E,MATCH(AR48,ECR!$C:$C,0)),RISK!A:B,2,FALSE())</f>
        <v>3</v>
      </c>
      <c r="BD48" s="57"/>
      <c r="BE48" s="61"/>
      <c r="BF48" s="91">
        <v>46</v>
      </c>
      <c r="BG48" s="61">
        <f t="shared" si="12"/>
        <v>7.383811764705885</v>
      </c>
      <c r="BH48" s="61">
        <f>IFERROR(LARGE($J$3:$J$52,46),"")</f>
        <v>-256.4118964705882</v>
      </c>
      <c r="BI48" s="61">
        <f t="shared" si="4"/>
        <v>-252.89343764705876</v>
      </c>
      <c r="BJ48" s="92">
        <f t="shared" si="5"/>
        <v>15</v>
      </c>
      <c r="BK48" s="91">
        <v>46</v>
      </c>
      <c r="BL48" s="61">
        <f t="shared" si="0"/>
        <v>89.948840000000004</v>
      </c>
      <c r="BM48" s="90">
        <f>IFERROR(LARGE($X$3:$X$102,46),"")</f>
        <v>-28.681702146274503</v>
      </c>
      <c r="BN48" s="90">
        <f t="shared" si="6"/>
        <v>-21.779646803921565</v>
      </c>
      <c r="BO48" s="92">
        <f t="shared" si="7"/>
        <v>8</v>
      </c>
      <c r="BP48" s="103">
        <v>46</v>
      </c>
      <c r="BQ48" s="61">
        <f t="shared" si="1"/>
        <v>110.15102010424425</v>
      </c>
      <c r="BR48" s="90">
        <f>IFERROR(LARGE($AL$3:$AL$102,46),"")</f>
        <v>-4.6225055845122824</v>
      </c>
      <c r="BS48" s="90">
        <f t="shared" si="8"/>
        <v>14.737704245718533</v>
      </c>
      <c r="BT48" s="92">
        <f t="shared" si="9"/>
        <v>5</v>
      </c>
      <c r="BU48" s="91">
        <v>46</v>
      </c>
      <c r="BV48" s="61">
        <f t="shared" si="2"/>
        <v>29.930588235294117</v>
      </c>
      <c r="BW48" s="90">
        <f>IFERROR(LARGE($AZ$3:$AZ$52,46),"")</f>
        <v>-76.644748156862761</v>
      </c>
      <c r="BX48" s="90">
        <f t="shared" si="10"/>
        <v>-68.464944235294126</v>
      </c>
      <c r="BY48" s="105">
        <f t="shared" si="11"/>
        <v>10</v>
      </c>
      <c r="BZ48" s="90"/>
      <c r="CA48" s="90"/>
      <c r="CB48" s="90"/>
      <c r="CC48" s="90"/>
      <c r="CD48" s="90"/>
      <c r="CE48" s="90"/>
      <c r="CF48" s="90"/>
      <c r="CG48" s="90"/>
    </row>
    <row r="49" spans="1:85" s="62" customFormat="1" ht="14.25" customHeight="1" x14ac:dyDescent="0.3">
      <c r="A49" s="56" t="s">
        <v>409</v>
      </c>
      <c r="B49" s="56" t="str">
        <f>VLOOKUP(A49,ECR!E:L,8,FALSE())</f>
        <v>Taylen Green</v>
      </c>
      <c r="C49" s="46" t="str">
        <f>IFERROR(VLOOKUP(Table2[[#This Row],[PLAYER]],ECR!C:F,2,FALSE()),"-")</f>
        <v>CLE</v>
      </c>
      <c r="D49" s="46">
        <f>IFERROR(VLOOKUP(Table2[[#This Row],[PLAYER]],ECR!C:F,4,FALSE()),"-")</f>
        <v>11</v>
      </c>
      <c r="E49" s="46" t="str">
        <f>Table2[[#This Row],[Team]] &amp; "/" &amp; Table2[[#This Row],[Bye]]</f>
        <v>CLE/11</v>
      </c>
      <c r="F49" s="57">
        <f>IFERROR(VLOOKUP(Table2[[#This Row],[PLAYER]],QB!A:Q,15,FALSE())/17*(17-Table2[[#This Row],[Missed Games]]),0)</f>
        <v>0</v>
      </c>
      <c r="G49" s="57">
        <f>IFERROR(VLOOKUP(Table2[[#This Row],[PLAYER]],QB!A:Q,16,FALSE())/17*(17-Table2[[#This Row],[Missed Games]]),0)</f>
        <v>0</v>
      </c>
      <c r="H49" s="57">
        <f>IFERROR(VLOOKUP(Table2[[#This Row],[PLAYER]],QB!A:Q,17,FALSE())/17*(17-Table2[[#This Row],[Missed Games]]),0)</f>
        <v>0</v>
      </c>
      <c r="I49" s="58">
        <f>AVERAGE(AVERAGE(Table2[[#This Row],[LOW]],Table2[[#This Row],[HIGH]]),Table2[[#This Row],[AVG]],VLOOKUP(Table2[[#This Row],[PLAYER]],ECR!L:N,3,FALSE))</f>
        <v>1.6614117647058826</v>
      </c>
      <c r="J49" s="58">
        <f>Table2[[#This Row],[Zscore Projection]]-$C$1</f>
        <v>-260.66987294117644</v>
      </c>
      <c r="K49" s="59">
        <f>MAX(Table2[[#This Row],[VBD]]*Scoring!$B$48+1,1)</f>
        <v>1</v>
      </c>
      <c r="L49" s="45">
        <f>VLOOKUP(Table2[[#This Row],[VBD]],BH:BJ,3,FALSE)</f>
        <v>15</v>
      </c>
      <c r="M49" s="60">
        <f>VLOOKUP(INDEX(ECR!$E:$E,MATCH(B49,ECR!$C:$C,0)),RISK!A:B,2,FALSE())</f>
        <v>3.2</v>
      </c>
      <c r="N49" s="61"/>
      <c r="O49" s="45" t="s">
        <v>224</v>
      </c>
      <c r="P49" s="56" t="str">
        <f>VLOOKUP(O49,ECR!E:L,8,FALSE())</f>
        <v>Mike Washington Jr.</v>
      </c>
      <c r="Q49" s="46" t="str">
        <f>IFERROR(VLOOKUP(Table4[[#This Row],[PLAYER]],ECR!C:F,2,FALSE()),"-")</f>
        <v>LV</v>
      </c>
      <c r="R49" s="46">
        <f>IFERROR(VLOOKUP(Table4[[#This Row],[PLAYER]],ECR!C:F,4,FALSE()),"-")</f>
        <v>13</v>
      </c>
      <c r="S49" s="46" t="str">
        <f>Table4[[#This Row],[Team]] &amp; "/" &amp; Table4[[#This Row],[Bye]]</f>
        <v>LV/13</v>
      </c>
      <c r="T49" s="57">
        <f>IFERROR(VLOOKUP(Table4[[#This Row],[PLAYER]],RB!A:Q,13,FALSE())/17*(17-Table4[[#This Row],[Missed Games]]),0)</f>
        <v>78.709317384705884</v>
      </c>
      <c r="U49" s="57">
        <f>IFERROR(VLOOKUP(Table4[[#This Row],[PLAYER]],RB!A:Q,14,FALSE())/17*(17-Table4[[#This Row],[Missed Games]]),0)</f>
        <v>104.46286385529412</v>
      </c>
      <c r="V49" s="57">
        <f>IFERROR(VLOOKUP(Table4[[#This Row],[PLAYER]],RB!A:Q,15,FALSE())/17*(17-Table4[[#This Row],[Missed Games]]),0)</f>
        <v>131.18441267882352</v>
      </c>
      <c r="W49" s="58">
        <f>AVERAGE(AVERAGE(Table4[[#This Row],[LOW]],Table4[[#This Row],[HIGH]]),Table4[[#This Row],[AVG]],VLOOKUP(Table4[[#This Row],[PLAYER]],ECR!L:N,3,FALSE))</f>
        <v>97.575484962352945</v>
      </c>
      <c r="X49" s="58">
        <f>Table4[[#This Row],[Zscore Projection]]-$Q$1</f>
        <v>-16.578992978823521</v>
      </c>
      <c r="Y49" s="59">
        <f>MAX(Table4[[#This Row],[VBD]]*Scoring!$B$48+1,1)</f>
        <v>1</v>
      </c>
      <c r="Z49" s="45">
        <f>VLOOKUP(Table4[[#This Row],[VBD]],BM:BO,3,FALSE)</f>
        <v>7</v>
      </c>
      <c r="AA49" s="60">
        <f>VLOOKUP(INDEX(ECR!$E:$E,MATCH(P49,ECR!$C:$C,0)),RISK!A:B,2,FALSE())</f>
        <v>3.7289999999999992</v>
      </c>
      <c r="AB49" s="61"/>
      <c r="AC49" s="46" t="s">
        <v>206</v>
      </c>
      <c r="AD49" s="46" t="str">
        <f>VLOOKUP(AC49,ECR!E:L,8,FALSE())</f>
        <v>Jakobi Meyers</v>
      </c>
      <c r="AE49" s="46" t="str">
        <f>IFERROR(VLOOKUP(Table6[[#This Row],[PLAYER]],ECR!C:F,2,FALSE()),"-")</f>
        <v>JAC</v>
      </c>
      <c r="AF49" s="46">
        <f>IFERROR(VLOOKUP(Table6[[#This Row],[PLAYER]],ECR!C:F,4,FALSE()),"-")</f>
        <v>7</v>
      </c>
      <c r="AG49" s="46" t="str">
        <f>Table6[[#This Row],[Team]] &amp; "/" &amp; Table6[[#This Row],[Bye]]</f>
        <v>JAC/7</v>
      </c>
      <c r="AH49" s="57">
        <f>IFERROR(VLOOKUP(Table6[[#This Row],[PLAYER]],WR!A:Q,13,FALSE())/17*(17-Table6[[#This Row],[Missed Games]]),0)</f>
        <v>103.97736411020102</v>
      </c>
      <c r="AI49" s="57">
        <f>IFERROR(VLOOKUP(Table6[[#This Row],[PLAYER]],WR!A:Q,14,FALSE())/17*(17-Table6[[#This Row],[Missed Games]]),0)</f>
        <v>110.15102010424425</v>
      </c>
      <c r="AJ49" s="57">
        <f>IFERROR(VLOOKUP(Table6[[#This Row],[PLAYER]],WR!A:Q,15,FALSE())/17*(17-Table6[[#This Row],[Missed Games]]),0)</f>
        <v>117.05189873417723</v>
      </c>
      <c r="AK49" s="58">
        <f>AVERAGE(AVERAGE(Table6[[#This Row],[LOW]],Table6[[#This Row],[HIGH]]),Table6[[#This Row],[AVG]],VLOOKUP(Table6[[#This Row],[PLAYER]],ECR!L:N,3,FALSE))</f>
        <v>110.0813924050633</v>
      </c>
      <c r="AL49" s="58">
        <f>Table6[[#This Row],[Zscore Projection]]-$AE$1</f>
        <v>-4.6225055845122824</v>
      </c>
      <c r="AM49" s="59">
        <f>MAX(Table6[[#This Row],[VBD]]*Scoring!$B$48+1,1)</f>
        <v>1</v>
      </c>
      <c r="AN49" s="45">
        <f>VLOOKUP(Table6[[#This Row],[VBD]],BR:BT,3,FALSE)</f>
        <v>5</v>
      </c>
      <c r="AO49" s="60">
        <f>VLOOKUP(INDEX(ECR!$E:$E,MATCH(AD49,ECR!$C:$C,0)),RISK!A:B,2,FALSE())</f>
        <v>3.848101265822784</v>
      </c>
      <c r="AP49" s="61"/>
      <c r="AQ49" s="47" t="s">
        <v>316</v>
      </c>
      <c r="AR49" s="47" t="str">
        <f>VLOOKUP(AQ49,ECR!E:L,8,FALSE())</f>
        <v>Cole Kmet</v>
      </c>
      <c r="AS49" s="47" t="str">
        <f>IFERROR(VLOOKUP(Table7[[#This Row],[PLAYER]],ECR!C:F,2,FALSE()),"-")</f>
        <v>CHI</v>
      </c>
      <c r="AT49" s="47">
        <f>IFERROR(VLOOKUP(Table7[[#This Row],[PLAYER]],ECR!C:F,4,FALSE()),"-")</f>
        <v>10</v>
      </c>
      <c r="AU49" s="47" t="str">
        <f>Table7[[#This Row],[Team]] &amp; "/" &amp; Table7[[#This Row],[Bye]]</f>
        <v>CHI/10</v>
      </c>
      <c r="AV49" s="57">
        <f>IFERROR(VLOOKUP(Table7[[#This Row],[PLAYER]],TE!A:K,9,FALSE())/17*(16-Table7[[#This Row],[Missed Games]]),0)</f>
        <v>32.836470588235294</v>
      </c>
      <c r="AW49" s="57">
        <f>IFERROR(VLOOKUP(Table7[[#This Row],[PLAYER]],TE!A:K,10,FALSE())/17*(16-Table7[[#This Row],[Missed Games]]),0)</f>
        <v>40.972941176470592</v>
      </c>
      <c r="AX49" s="57">
        <f>IFERROR(VLOOKUP(Table7[[#This Row],[PLAYER]],TE!A:K,11,FALSE())/17*(16-Table7[[#This Row],[Missed Games]]),0)</f>
        <v>55.747058823529422</v>
      </c>
      <c r="AY49" s="58">
        <f>AVERAGE(AVERAGE(Table7[[#This Row],[LOW]],Table7[[#This Row],[HIGH]]),Table7[[#This Row],[AVG]],VLOOKUP(Table7[[#This Row],[PLAYER]],ECR!L:N,3,FALSE))</f>
        <v>38.296470588235302</v>
      </c>
      <c r="AZ49" s="58">
        <f>Table7[[#This Row],[Zscore Projection]]-$AS$1</f>
        <v>-69.618375607843149</v>
      </c>
      <c r="BA49" s="59">
        <f>MAX(Table7[[#This Row],[VBD]]*Scoring!$B$48+1,1)</f>
        <v>1</v>
      </c>
      <c r="BB49" s="57">
        <f>VLOOKUP(Table7[[#This Row],[VBD]],BW:BY,3,FALSE)</f>
        <v>10</v>
      </c>
      <c r="BC49" s="60">
        <f>VLOOKUP(INDEX(ECR!$E:$E,MATCH(AR49,ECR!$C:$C,0)),RISK!A:B,2,FALSE())</f>
        <v>3</v>
      </c>
      <c r="BD49" s="57"/>
      <c r="BE49" s="61"/>
      <c r="BF49" s="91">
        <v>47</v>
      </c>
      <c r="BG49" s="61">
        <f t="shared" si="12"/>
        <v>4.9842352941176475</v>
      </c>
      <c r="BH49" s="61">
        <f>IFERROR(LARGE($J$3:$J$52,47),"")</f>
        <v>-256.48279058823522</v>
      </c>
      <c r="BI49" s="61">
        <f t="shared" si="4"/>
        <v>-252.89343764705876</v>
      </c>
      <c r="BJ49" s="92">
        <f t="shared" si="5"/>
        <v>15</v>
      </c>
      <c r="BK49" s="91">
        <v>47</v>
      </c>
      <c r="BL49" s="61">
        <f t="shared" si="0"/>
        <v>83.316725999999989</v>
      </c>
      <c r="BM49" s="90">
        <f>IFERROR(LARGE($X$3:$X$102,47),"")</f>
        <v>-29.361152921568632</v>
      </c>
      <c r="BN49" s="90">
        <f t="shared" si="6"/>
        <v>-21.779646803921565</v>
      </c>
      <c r="BO49" s="92">
        <f t="shared" si="7"/>
        <v>8</v>
      </c>
      <c r="BP49" s="103">
        <v>47</v>
      </c>
      <c r="BQ49" s="61">
        <f t="shared" si="1"/>
        <v>109.57852568875653</v>
      </c>
      <c r="BR49" s="90">
        <f>IFERROR(LARGE($AL$3:$AL$102,47),"")</f>
        <v>-5.4038830975428169</v>
      </c>
      <c r="BS49" s="90">
        <f t="shared" si="8"/>
        <v>-5.4038830975428169</v>
      </c>
      <c r="BT49" s="92">
        <f t="shared" si="9"/>
        <v>6</v>
      </c>
      <c r="BU49" s="91">
        <v>47</v>
      </c>
      <c r="BV49" s="61">
        <f t="shared" si="2"/>
        <v>29.624705882352934</v>
      </c>
      <c r="BW49" s="90">
        <f>IFERROR(LARGE($AZ$3:$AZ$52,47),"")</f>
        <v>-76.82827756862747</v>
      </c>
      <c r="BX49" s="90">
        <f t="shared" si="10"/>
        <v>-68.464944235294126</v>
      </c>
      <c r="BY49" s="105">
        <f t="shared" si="11"/>
        <v>10</v>
      </c>
      <c r="BZ49" s="90"/>
      <c r="CA49" s="90"/>
      <c r="CB49" s="90"/>
      <c r="CC49" s="90"/>
      <c r="CD49" s="90"/>
      <c r="CE49" s="90"/>
      <c r="CF49" s="90"/>
      <c r="CG49" s="90"/>
    </row>
    <row r="50" spans="1:85" s="62" customFormat="1" ht="14.25" customHeight="1" x14ac:dyDescent="0.3">
      <c r="A50" s="56" t="s">
        <v>410</v>
      </c>
      <c r="B50" s="56" t="str">
        <f>VLOOKUP(A50,ECR!E:L,8,FALSE())</f>
        <v>Tyrod Taylor</v>
      </c>
      <c r="C50" s="46" t="str">
        <f>IFERROR(VLOOKUP(Table2[[#This Row],[PLAYER]],ECR!C:F,2,FALSE()),"-")</f>
        <v>GB</v>
      </c>
      <c r="D50" s="46">
        <f>IFERROR(VLOOKUP(Table2[[#This Row],[PLAYER]],ECR!C:F,4,FALSE()),"-")</f>
        <v>11</v>
      </c>
      <c r="E50" s="46" t="str">
        <f>Table2[[#This Row],[Team]] &amp; "/" &amp; Table2[[#This Row],[Bye]]</f>
        <v>GB/11</v>
      </c>
      <c r="F50" s="57">
        <f>IFERROR(VLOOKUP(Table2[[#This Row],[PLAYER]],QB!A:Q,15,FALSE())/17*(17-Table2[[#This Row],[Missed Games]]),0)</f>
        <v>7.6825411764705871</v>
      </c>
      <c r="G50" s="57">
        <f>IFERROR(VLOOKUP(Table2[[#This Row],[PLAYER]],QB!A:Q,16,FALSE())/17*(17-Table2[[#This Row],[Missed Games]]),0)</f>
        <v>8.5495058823529408</v>
      </c>
      <c r="H50" s="57">
        <f>IFERROR(VLOOKUP(Table2[[#This Row],[PLAYER]],QB!A:Q,17,FALSE())/17*(17-Table2[[#This Row],[Missed Games]]),0)</f>
        <v>10.309411764705883</v>
      </c>
      <c r="I50" s="58">
        <f>AVERAGE(AVERAGE(Table2[[#This Row],[LOW]],Table2[[#This Row],[HIGH]]),Table2[[#This Row],[AVG]],VLOOKUP(Table2[[#This Row],[PLAYER]],ECR!L:N,3,FALSE))</f>
        <v>5.8484941176470597</v>
      </c>
      <c r="J50" s="58">
        <f>Table2[[#This Row],[Zscore Projection]]-$C$1</f>
        <v>-256.48279058823522</v>
      </c>
      <c r="K50" s="59">
        <f>MAX(Table2[[#This Row],[VBD]]*Scoring!$B$48+1,1)</f>
        <v>1</v>
      </c>
      <c r="L50" s="45">
        <f>VLOOKUP(Table2[[#This Row],[VBD]],BH:BJ,3,FALSE)</f>
        <v>15</v>
      </c>
      <c r="M50" s="60">
        <f>VLOOKUP(INDEX(ECR!$E:$E,MATCH(B50,ECR!$C:$C,0)),RISK!A:B,2,FALSE())</f>
        <v>3.2</v>
      </c>
      <c r="N50" s="61"/>
      <c r="O50" s="45" t="s">
        <v>204</v>
      </c>
      <c r="P50" s="56" t="str">
        <f>VLOOKUP(O50,ECR!E:L,8,FALSE())</f>
        <v>Keaton Mitchell</v>
      </c>
      <c r="Q50" s="46" t="str">
        <f>IFERROR(VLOOKUP(Table4[[#This Row],[PLAYER]],ECR!C:F,2,FALSE()),"-")</f>
        <v>LAC</v>
      </c>
      <c r="R50" s="46">
        <f>IFERROR(VLOOKUP(Table4[[#This Row],[PLAYER]],ECR!C:F,4,FALSE()),"-")</f>
        <v>7</v>
      </c>
      <c r="S50" s="46" t="str">
        <f>Table4[[#This Row],[Team]] &amp; "/" &amp; Table4[[#This Row],[Bye]]</f>
        <v>LAC/7</v>
      </c>
      <c r="T50" s="57">
        <f>IFERROR(VLOOKUP(Table4[[#This Row],[PLAYER]],RB!A:Q,13,FALSE())/17*(17-Table4[[#This Row],[Missed Games]]),0)</f>
        <v>48.172806588235296</v>
      </c>
      <c r="U50" s="57">
        <f>IFERROR(VLOOKUP(Table4[[#This Row],[PLAYER]],RB!A:Q,14,FALSE())/17*(17-Table4[[#This Row],[Missed Games]]),0)</f>
        <v>59.69509505882354</v>
      </c>
      <c r="V50" s="57">
        <f>IFERROR(VLOOKUP(Table4[[#This Row],[PLAYER]],RB!A:Q,15,FALSE())/17*(17-Table4[[#This Row],[Missed Games]]),0)</f>
        <v>71.054112235294113</v>
      </c>
      <c r="W50" s="58">
        <f>AVERAGE(AVERAGE(Table4[[#This Row],[LOW]],Table4[[#This Row],[HIGH]]),Table4[[#This Row],[AVG]],VLOOKUP(Table4[[#This Row],[PLAYER]],ECR!L:N,3,FALSE))</f>
        <v>65.565691833333332</v>
      </c>
      <c r="X50" s="58">
        <f>Table4[[#This Row],[Zscore Projection]]-$Q$1</f>
        <v>-48.588786107843134</v>
      </c>
      <c r="Y50" s="59">
        <f>MAX(Table4[[#This Row],[VBD]]*Scoring!$B$48+1,1)</f>
        <v>1</v>
      </c>
      <c r="Z50" s="45">
        <f>VLOOKUP(Table4[[#This Row],[VBD]],BM:BO,3,FALSE)</f>
        <v>9</v>
      </c>
      <c r="AA50" s="60">
        <f>VLOOKUP(INDEX(ECR!$E:$E,MATCH(P50,ECR!$C:$C,0)),RISK!A:B,2,FALSE())</f>
        <v>3.7827999999999999</v>
      </c>
      <c r="AB50" s="61"/>
      <c r="AC50" s="46" t="s">
        <v>203</v>
      </c>
      <c r="AD50" s="46" t="str">
        <f>VLOOKUP(AC50,ECR!E:L,8,FALSE())</f>
        <v>KC Concepcion</v>
      </c>
      <c r="AE50" s="46" t="str">
        <f>IFERROR(VLOOKUP(Table6[[#This Row],[PLAYER]],ECR!C:F,2,FALSE()),"-")</f>
        <v>CLE</v>
      </c>
      <c r="AF50" s="46">
        <f>IFERROR(VLOOKUP(Table6[[#This Row],[PLAYER]],ECR!C:F,4,FALSE()),"-")</f>
        <v>11</v>
      </c>
      <c r="AG50" s="46" t="str">
        <f>Table6[[#This Row],[Team]] &amp; "/" &amp; Table6[[#This Row],[Bye]]</f>
        <v>CLE/11</v>
      </c>
      <c r="AH50" s="57">
        <f>IFERROR(VLOOKUP(Table6[[#This Row],[PLAYER]],WR!A:Q,13,FALSE())/17*(17-Table6[[#This Row],[Missed Games]]),0)</f>
        <v>107.25760238272524</v>
      </c>
      <c r="AI50" s="57">
        <f>IFERROR(VLOOKUP(Table6[[#This Row],[PLAYER]],WR!A:Q,14,FALSE())/17*(17-Table6[[#This Row],[Missed Games]]),0)</f>
        <v>118.27425167535368</v>
      </c>
      <c r="AJ50" s="57">
        <f>IFERROR(VLOOKUP(Table6[[#This Row],[PLAYER]],WR!A:Q,15,FALSE())/17*(17-Table6[[#This Row],[Missed Games]]),0)</f>
        <v>128.71067014147431</v>
      </c>
      <c r="AK50" s="58">
        <f>AVERAGE(AVERAGE(Table6[[#This Row],[LOW]],Table6[[#This Row],[HIGH]]),Table6[[#This Row],[AVG]],VLOOKUP(Table6[[#This Row],[PLAYER]],ECR!L:N,3,FALSE))</f>
        <v>114.70389798957558</v>
      </c>
      <c r="AL50" s="58">
        <f>Table6[[#This Row],[Zscore Projection]]-$AE$1</f>
        <v>0</v>
      </c>
      <c r="AM50" s="59">
        <f>MAX(Table6[[#This Row],[VBD]]*Scoring!$B$48+1,1)</f>
        <v>1</v>
      </c>
      <c r="AN50" s="45">
        <f>VLOOKUP(Table6[[#This Row],[VBD]],BR:BT,3,FALSE)</f>
        <v>5</v>
      </c>
      <c r="AO50" s="60">
        <f>VLOOKUP(INDEX(ECR!$E:$E,MATCH(AD50,ECR!$C:$C,0)),RISK!A:B,2,FALSE())</f>
        <v>3.848101265822784</v>
      </c>
      <c r="AP50" s="61"/>
      <c r="AQ50" s="47" t="s">
        <v>305</v>
      </c>
      <c r="AR50" s="47" t="str">
        <f>VLOOKUP(AQ50,ECR!E:L,8,FALSE())</f>
        <v>Tyler Higbee</v>
      </c>
      <c r="AS50" s="47" t="str">
        <f>IFERROR(VLOOKUP(Table7[[#This Row],[PLAYER]],ECR!C:F,2,FALSE()),"-")</f>
        <v>LAR</v>
      </c>
      <c r="AT50" s="47">
        <f>IFERROR(VLOOKUP(Table7[[#This Row],[PLAYER]],ECR!C:F,4,FALSE()),"-")</f>
        <v>11</v>
      </c>
      <c r="AU50" s="47" t="str">
        <f>Table7[[#This Row],[Team]] &amp; "/" &amp; Table7[[#This Row],[Bye]]</f>
        <v>LAR/11</v>
      </c>
      <c r="AV50" s="57">
        <f>IFERROR(VLOOKUP(Table7[[#This Row],[PLAYER]],TE!A:K,9,FALSE())/17*(16-Table7[[#This Row],[Missed Games]]),0)</f>
        <v>23.438235294117646</v>
      </c>
      <c r="AW50" s="57">
        <f>IFERROR(VLOOKUP(Table7[[#This Row],[PLAYER]],TE!A:K,10,FALSE())/17*(16-Table7[[#This Row],[Missed Games]]),0)</f>
        <v>43.297647058823529</v>
      </c>
      <c r="AX50" s="57">
        <f>IFERROR(VLOOKUP(Table7[[#This Row],[PLAYER]],TE!A:K,11,FALSE())/17*(16-Table7[[#This Row],[Missed Games]]),0)</f>
        <v>71.882352941176464</v>
      </c>
      <c r="AY50" s="58">
        <f>AVERAGE(AVERAGE(Table7[[#This Row],[LOW]],Table7[[#This Row],[HIGH]]),Table7[[#This Row],[AVG]],VLOOKUP(Table7[[#This Row],[PLAYER]],ECR!L:N,3,FALSE))</f>
        <v>37.900098039215685</v>
      </c>
      <c r="AZ50" s="58">
        <f>Table7[[#This Row],[Zscore Projection]]-$AS$1</f>
        <v>-70.014748156862765</v>
      </c>
      <c r="BA50" s="59">
        <f>MAX(Table7[[#This Row],[VBD]]*Scoring!$B$48+1,1)</f>
        <v>1</v>
      </c>
      <c r="BB50" s="57">
        <f>VLOOKUP(Table7[[#This Row],[VBD]],BW:BY,3,FALSE)</f>
        <v>10</v>
      </c>
      <c r="BC50" s="60">
        <f>VLOOKUP(INDEX(ECR!$E:$E,MATCH(AR50,ECR!$C:$C,0)),RISK!A:B,2,FALSE())</f>
        <v>3</v>
      </c>
      <c r="BD50" s="57"/>
      <c r="BE50" s="61"/>
      <c r="BF50" s="91">
        <v>48</v>
      </c>
      <c r="BG50" s="61">
        <f t="shared" si="12"/>
        <v>0</v>
      </c>
      <c r="BH50" s="61">
        <f>IFERROR(LARGE($J$3:$J$52,48),"")</f>
        <v>-260.66987294117644</v>
      </c>
      <c r="BI50" s="61">
        <f t="shared" si="4"/>
        <v>-260.66987294117644</v>
      </c>
      <c r="BJ50" s="92">
        <f t="shared" si="5"/>
        <v>15</v>
      </c>
      <c r="BK50" s="91">
        <v>48</v>
      </c>
      <c r="BL50" s="61">
        <f t="shared" si="0"/>
        <v>77.388521029411763</v>
      </c>
      <c r="BM50" s="90">
        <f>IFERROR(LARGE($X$3:$X$102,48),"")</f>
        <v>-32.518930470588231</v>
      </c>
      <c r="BN50" s="90">
        <f t="shared" si="6"/>
        <v>-21.779646803921565</v>
      </c>
      <c r="BO50" s="92">
        <f t="shared" si="7"/>
        <v>8</v>
      </c>
      <c r="BP50" s="103">
        <v>48</v>
      </c>
      <c r="BQ50" s="61">
        <f t="shared" si="1"/>
        <v>107.85330603127328</v>
      </c>
      <c r="BR50" s="90">
        <f>IFERROR(LARGE($AL$3:$AL$102,48),"")</f>
        <v>-7.0570509803921482</v>
      </c>
      <c r="BS50" s="90">
        <f t="shared" si="8"/>
        <v>-5.4038830975428169</v>
      </c>
      <c r="BT50" s="92">
        <f t="shared" si="9"/>
        <v>6</v>
      </c>
      <c r="BU50" s="91">
        <v>48</v>
      </c>
      <c r="BV50" s="61">
        <f t="shared" si="2"/>
        <v>22.74235294117647</v>
      </c>
      <c r="BW50" s="90">
        <f>IFERROR(LARGE($AZ$3:$AZ$52,48),"")</f>
        <v>-82.942101098039231</v>
      </c>
      <c r="BX50" s="90">
        <f t="shared" si="10"/>
        <v>-82.942101098039231</v>
      </c>
      <c r="BY50" s="105">
        <f t="shared" si="11"/>
        <v>11</v>
      </c>
      <c r="BZ50" s="90"/>
      <c r="CA50" s="90"/>
      <c r="CB50" s="90"/>
      <c r="CC50" s="90"/>
      <c r="CD50" s="90"/>
      <c r="CE50" s="90"/>
      <c r="CF50" s="90"/>
      <c r="CG50" s="90"/>
    </row>
    <row r="51" spans="1:85" s="62" customFormat="1" ht="14.25" customHeight="1" x14ac:dyDescent="0.3">
      <c r="A51" s="56"/>
      <c r="B51" s="56"/>
      <c r="C51" s="46"/>
      <c r="D51" s="46"/>
      <c r="E51" s="46"/>
      <c r="F51" s="57"/>
      <c r="G51" s="57"/>
      <c r="H51" s="57"/>
      <c r="I51" s="58"/>
      <c r="J51" s="58"/>
      <c r="K51" s="59"/>
      <c r="L51" s="45"/>
      <c r="M51" s="60"/>
      <c r="N51" s="61"/>
      <c r="O51" s="45" t="s">
        <v>215</v>
      </c>
      <c r="P51" s="56" t="str">
        <f>VLOOKUP(O51,ECR!E:L,8,FALSE())</f>
        <v>Zach Charbonnet</v>
      </c>
      <c r="Q51" s="46" t="str">
        <f>IFERROR(VLOOKUP(Table4[[#This Row],[PLAYER]],ECR!C:F,2,FALSE()),"-")</f>
        <v>SEA</v>
      </c>
      <c r="R51" s="46">
        <f>IFERROR(VLOOKUP(Table4[[#This Row],[PLAYER]],ECR!C:F,4,FALSE()),"-")</f>
        <v>11</v>
      </c>
      <c r="S51" s="46" t="str">
        <f>Table4[[#This Row],[Team]] &amp; "/" &amp; Table4[[#This Row],[Bye]]</f>
        <v>SEA/11</v>
      </c>
      <c r="T51" s="57">
        <f>IFERROR(VLOOKUP(Table4[[#This Row],[PLAYER]],RB!A:Q,13,FALSE())/17*(17-Table4[[#This Row],[Missed Games]]),0)</f>
        <v>63.33340941176472</v>
      </c>
      <c r="U51" s="57">
        <f>IFERROR(VLOOKUP(Table4[[#This Row],[PLAYER]],RB!A:Q,14,FALSE())/17*(17-Table4[[#This Row],[Missed Games]]),0)</f>
        <v>83.316725999999989</v>
      </c>
      <c r="V51" s="57">
        <f>IFERROR(VLOOKUP(Table4[[#This Row],[PLAYER]],RB!A:Q,15,FALSE())/17*(17-Table4[[#This Row],[Missed Games]]),0)</f>
        <v>98.313891529411777</v>
      </c>
      <c r="W51" s="58">
        <f>AVERAGE(AVERAGE(Table4[[#This Row],[LOW]],Table4[[#This Row],[HIGH]]),Table4[[#This Row],[AVG]],VLOOKUP(Table4[[#This Row],[PLAYER]],ECR!L:N,3,FALSE))</f>
        <v>79.821301960784311</v>
      </c>
      <c r="X51" s="58">
        <f>Table4[[#This Row],[Zscore Projection]]-$Q$1</f>
        <v>-34.333175980392156</v>
      </c>
      <c r="Y51" s="59">
        <f>MAX(Table4[[#This Row],[VBD]]*Scoring!$B$48+1,1)</f>
        <v>1</v>
      </c>
      <c r="Z51" s="45">
        <f>VLOOKUP(Table4[[#This Row],[VBD]],BM:BO,3,FALSE)</f>
        <v>8</v>
      </c>
      <c r="AA51" s="60">
        <f>VLOOKUP(INDEX(ECR!$E:$E,MATCH(P51,ECR!$C:$C,0)),RISK!A:B,2,FALSE())</f>
        <v>3.8377999999999997</v>
      </c>
      <c r="AB51" s="61"/>
      <c r="AC51" s="46" t="s">
        <v>213</v>
      </c>
      <c r="AD51" s="46" t="str">
        <f>VLOOKUP(AC51,ECR!E:L,8,FALSE())</f>
        <v>De'Zhaun Stribling</v>
      </c>
      <c r="AE51" s="46" t="str">
        <f>IFERROR(VLOOKUP(Table6[[#This Row],[PLAYER]],ECR!C:F,2,FALSE()),"-")</f>
        <v>SF</v>
      </c>
      <c r="AF51" s="46">
        <f>IFERROR(VLOOKUP(Table6[[#This Row],[PLAYER]],ECR!C:F,4,FALSE()),"-")</f>
        <v>8</v>
      </c>
      <c r="AG51" s="46" t="str">
        <f>Table6[[#This Row],[Team]] &amp; "/" &amp; Table6[[#This Row],[Bye]]</f>
        <v>SF/8</v>
      </c>
      <c r="AH51" s="57">
        <f>IFERROR(VLOOKUP(Table6[[#This Row],[PLAYER]],WR!A:Q,13,FALSE())/17*(17-Table6[[#This Row],[Missed Games]]),0)</f>
        <v>115.39816351451975</v>
      </c>
      <c r="AI51" s="57">
        <f>IFERROR(VLOOKUP(Table6[[#This Row],[PLAYER]],WR!A:Q,14,FALSE())/17*(17-Table6[[#This Row],[Missed Games]]),0)</f>
        <v>121.29330871183919</v>
      </c>
      <c r="AJ51" s="57">
        <f>IFERROR(VLOOKUP(Table6[[#This Row],[PLAYER]],WR!A:Q,15,FALSE())/17*(17-Table6[[#This Row],[Missed Games]]),0)</f>
        <v>127.38960059568134</v>
      </c>
      <c r="AK51" s="58">
        <f>AVERAGE(AVERAGE(Table6[[#This Row],[LOW]],Table6[[#This Row],[HIGH]]),Table6[[#This Row],[AVG]],VLOOKUP(Table6[[#This Row],[PLAYER]],ECR!L:N,3,FALSE))</f>
        <v>116.81846542566397</v>
      </c>
      <c r="AL51" s="58">
        <f>Table6[[#This Row],[Zscore Projection]]-$AE$1</f>
        <v>2.114567436088393</v>
      </c>
      <c r="AM51" s="59">
        <f>MAX(Table6[[#This Row],[VBD]]*Scoring!$B$48+1,1)</f>
        <v>2.0338165986043837</v>
      </c>
      <c r="AN51" s="45">
        <f>VLOOKUP(Table6[[#This Row],[VBD]],BR:BT,3,FALSE)</f>
        <v>5</v>
      </c>
      <c r="AO51" s="60">
        <f>VLOOKUP(INDEX(ECR!$E:$E,MATCH(AD51,ECR!$C:$C,0)),RISK!A:B,2,FALSE())</f>
        <v>3.848101265822784</v>
      </c>
      <c r="AP51" s="61"/>
      <c r="AQ51" s="47" t="s">
        <v>299</v>
      </c>
      <c r="AR51" s="47" t="str">
        <f>VLOOKUP(AQ51,ECR!E:L,8,FALSE())</f>
        <v>Noah Gray</v>
      </c>
      <c r="AS51" s="47" t="str">
        <f>IFERROR(VLOOKUP(Table7[[#This Row],[PLAYER]],ECR!C:F,2,FALSE()),"-")</f>
        <v>KC</v>
      </c>
      <c r="AT51" s="47">
        <f>IFERROR(VLOOKUP(Table7[[#This Row],[PLAYER]],ECR!C:F,4,FALSE()),"-")</f>
        <v>5</v>
      </c>
      <c r="AU51" s="47" t="str">
        <f>Table7[[#This Row],[Team]] &amp; "/" &amp; Table7[[#This Row],[Bye]]</f>
        <v>KC/5</v>
      </c>
      <c r="AV51" s="57">
        <f>IFERROR(VLOOKUP(Table7[[#This Row],[PLAYER]],TE!A:K,9,FALSE())/17*(16-Table7[[#This Row],[Missed Games]]),0)</f>
        <v>20.723529411764709</v>
      </c>
      <c r="AW51" s="57">
        <f>IFERROR(VLOOKUP(Table7[[#This Row],[PLAYER]],TE!A:K,10,FALSE())/17*(16-Table7[[#This Row],[Missed Games]]),0)</f>
        <v>30.924705882352942</v>
      </c>
      <c r="AX51" s="57">
        <f>IFERROR(VLOOKUP(Table7[[#This Row],[PLAYER]],TE!A:K,11,FALSE())/17*(16-Table7[[#This Row],[Missed Games]]),0)</f>
        <v>39.198823529411769</v>
      </c>
      <c r="AY51" s="58">
        <f>AVERAGE(AVERAGE(Table7[[#This Row],[LOW]],Table7[[#This Row],[HIGH]]),Table7[[#This Row],[AVG]],VLOOKUP(Table7[[#This Row],[PLAYER]],ECR!L:N,3,FALSE))</f>
        <v>24.972745098039216</v>
      </c>
      <c r="AZ51" s="58">
        <f>Table7[[#This Row],[Zscore Projection]]-$AS$1</f>
        <v>-82.942101098039231</v>
      </c>
      <c r="BA51" s="59">
        <f>MAX(Table7[[#This Row],[VBD]]*Scoring!$B$48+1,1)</f>
        <v>1</v>
      </c>
      <c r="BB51" s="57">
        <f>VLOOKUP(Table7[[#This Row],[VBD]],BW:BY,3,FALSE)</f>
        <v>11</v>
      </c>
      <c r="BC51" s="60">
        <f>VLOOKUP(INDEX(ECR!$E:$E,MATCH(AR51,ECR!$C:$C,0)),RISK!A:B,2,FALSE())</f>
        <v>3</v>
      </c>
      <c r="BD51" s="57"/>
      <c r="BE51" s="61"/>
      <c r="BF51" s="91">
        <v>49</v>
      </c>
      <c r="BG51" s="61" t="str">
        <f t="shared" si="12"/>
        <v/>
      </c>
      <c r="BH51" s="61" t="str">
        <f>IFERROR(LARGE($J$3:$J$52,49),"")</f>
        <v/>
      </c>
      <c r="BI51" s="61">
        <f t="shared" si="4"/>
        <v>-260.66987294117644</v>
      </c>
      <c r="BJ51" s="92">
        <f t="shared" si="5"/>
        <v>15</v>
      </c>
      <c r="BK51" s="91">
        <v>49</v>
      </c>
      <c r="BL51" s="61">
        <f t="shared" si="0"/>
        <v>75.323529411764696</v>
      </c>
      <c r="BM51" s="90">
        <f>IFERROR(LARGE($X$3:$X$102,49),"")</f>
        <v>-34.333175980392156</v>
      </c>
      <c r="BN51" s="90">
        <f t="shared" si="6"/>
        <v>-21.779646803921565</v>
      </c>
      <c r="BO51" s="92">
        <f t="shared" si="7"/>
        <v>8</v>
      </c>
      <c r="BP51" s="103">
        <v>49</v>
      </c>
      <c r="BQ51" s="61">
        <f t="shared" si="1"/>
        <v>107.76820551005214</v>
      </c>
      <c r="BR51" s="90">
        <f>IFERROR(LARGE($AL$3:$AL$102,49),"")</f>
        <v>-7.54243340779351</v>
      </c>
      <c r="BS51" s="90">
        <f t="shared" si="8"/>
        <v>-5.4038830975428169</v>
      </c>
      <c r="BT51" s="92">
        <f t="shared" si="9"/>
        <v>6</v>
      </c>
      <c r="BU51" s="91">
        <v>49</v>
      </c>
      <c r="BV51" s="61">
        <f t="shared" si="2"/>
        <v>14.03235294117647</v>
      </c>
      <c r="BW51" s="90">
        <f>IFERROR(LARGE($AZ$3:$AZ$52,49),"")</f>
        <v>-84.851316784313738</v>
      </c>
      <c r="BX51" s="90">
        <f t="shared" si="10"/>
        <v>-82.942101098039231</v>
      </c>
      <c r="BY51" s="105">
        <f t="shared" si="11"/>
        <v>11</v>
      </c>
      <c r="BZ51" s="90"/>
      <c r="CA51" s="90"/>
      <c r="CB51" s="90"/>
      <c r="CC51" s="90"/>
      <c r="CD51" s="90"/>
      <c r="CE51" s="90"/>
      <c r="CF51" s="90"/>
      <c r="CG51" s="90"/>
    </row>
    <row r="52" spans="1:85" s="62" customFormat="1" ht="14.25" customHeight="1" x14ac:dyDescent="0.3">
      <c r="A52" s="56"/>
      <c r="B52" s="56"/>
      <c r="C52" s="46"/>
      <c r="D52" s="46"/>
      <c r="E52" s="46"/>
      <c r="F52" s="57"/>
      <c r="G52" s="57"/>
      <c r="H52" s="57"/>
      <c r="I52" s="58"/>
      <c r="J52" s="58"/>
      <c r="K52" s="59"/>
      <c r="L52" s="45"/>
      <c r="M52" s="60"/>
      <c r="N52" s="61"/>
      <c r="O52" s="45" t="s">
        <v>191</v>
      </c>
      <c r="P52" s="56" t="str">
        <f>VLOOKUP(O52,ECR!E:L,8,FALSE())</f>
        <v>Tank Bigsby</v>
      </c>
      <c r="Q52" s="46" t="str">
        <f>IFERROR(VLOOKUP(Table4[[#This Row],[PLAYER]],ECR!C:F,2,FALSE()),"-")</f>
        <v>PHI</v>
      </c>
      <c r="R52" s="46">
        <f>IFERROR(VLOOKUP(Table4[[#This Row],[PLAYER]],ECR!C:F,4,FALSE()),"-")</f>
        <v>10</v>
      </c>
      <c r="S52" s="46" t="str">
        <f>Table4[[#This Row],[Team]] &amp; "/" &amp; Table4[[#This Row],[Bye]]</f>
        <v>PHI/10</v>
      </c>
      <c r="T52" s="57">
        <f>IFERROR(VLOOKUP(Table4[[#This Row],[PLAYER]],RB!A:Q,13,FALSE())/17*(17-Table4[[#This Row],[Missed Games]]),0)</f>
        <v>46.495462352941168</v>
      </c>
      <c r="U52" s="57">
        <f>IFERROR(VLOOKUP(Table4[[#This Row],[PLAYER]],RB!A:Q,14,FALSE())/17*(17-Table4[[#This Row],[Missed Games]]),0)</f>
        <v>62.099311764705895</v>
      </c>
      <c r="V52" s="57">
        <f>IFERROR(VLOOKUP(Table4[[#This Row],[PLAYER]],RB!A:Q,15,FALSE())/17*(17-Table4[[#This Row],[Missed Games]]),0)</f>
        <v>77.248305882352952</v>
      </c>
      <c r="W52" s="58">
        <f>AVERAGE(AVERAGE(Table4[[#This Row],[LOW]],Table4[[#This Row],[HIGH]]),Table4[[#This Row],[AVG]],VLOOKUP(Table4[[#This Row],[PLAYER]],ECR!L:N,3,FALSE))</f>
        <v>66.037175490196077</v>
      </c>
      <c r="X52" s="58">
        <f>Table4[[#This Row],[Zscore Projection]]-$Q$1</f>
        <v>-48.117302450980389</v>
      </c>
      <c r="Y52" s="59">
        <f>MAX(Table4[[#This Row],[VBD]]*Scoring!$B$48+1,1)</f>
        <v>1</v>
      </c>
      <c r="Z52" s="45">
        <f>VLOOKUP(Table4[[#This Row],[VBD]],BM:BO,3,FALSE)</f>
        <v>9</v>
      </c>
      <c r="AA52" s="60">
        <f>VLOOKUP(INDEX(ECR!$E:$E,MATCH(P52,ECR!$C:$C,0)),RISK!A:B,2,FALSE())</f>
        <v>3.8940000000000001</v>
      </c>
      <c r="AB52" s="61"/>
      <c r="AC52" s="46" t="s">
        <v>223</v>
      </c>
      <c r="AD52" s="46" t="str">
        <f>VLOOKUP(AC52,ECR!E:L,8,FALSE())</f>
        <v>Matthew Golden</v>
      </c>
      <c r="AE52" s="46" t="str">
        <f>IFERROR(VLOOKUP(Table6[[#This Row],[PLAYER]],ECR!C:F,2,FALSE()),"-")</f>
        <v>GB</v>
      </c>
      <c r="AF52" s="46">
        <f>IFERROR(VLOOKUP(Table6[[#This Row],[PLAYER]],ECR!C:F,4,FALSE()),"-")</f>
        <v>11</v>
      </c>
      <c r="AG52" s="46" t="str">
        <f>Table6[[#This Row],[Team]] &amp; "/" &amp; Table6[[#This Row],[Bye]]</f>
        <v>GB/11</v>
      </c>
      <c r="AH52" s="57">
        <f>IFERROR(VLOOKUP(Table6[[#This Row],[PLAYER]],WR!A:Q,13,FALSE())/17*(17-Table6[[#This Row],[Missed Games]]),0)</f>
        <v>91.908562918838427</v>
      </c>
      <c r="AI52" s="57">
        <f>IFERROR(VLOOKUP(Table6[[#This Row],[PLAYER]],WR!A:Q,14,FALSE())/17*(17-Table6[[#This Row],[Missed Games]]),0)</f>
        <v>106.31376023827249</v>
      </c>
      <c r="AJ52" s="57">
        <f>IFERROR(VLOOKUP(Table6[[#This Row],[PLAYER]],WR!A:Q,15,FALSE())/17*(17-Table6[[#This Row],[Missed Games]]),0)</f>
        <v>124.26997021593446</v>
      </c>
      <c r="AK52" s="58">
        <f>AVERAGE(AVERAGE(Table6[[#This Row],[LOW]],Table6[[#This Row],[HIGH]]),Table6[[#This Row],[AVG]],VLOOKUP(Table6[[#This Row],[PLAYER]],ECR!L:N,3,FALSE))</f>
        <v>106.90559568131049</v>
      </c>
      <c r="AL52" s="58">
        <f>Table6[[#This Row],[Zscore Projection]]-$AE$1</f>
        <v>-7.7983023082650931</v>
      </c>
      <c r="AM52" s="59">
        <f>MAX(Table6[[#This Row],[VBD]]*Scoring!$B$48+1,1)</f>
        <v>1</v>
      </c>
      <c r="AN52" s="45">
        <f>VLOOKUP(Table6[[#This Row],[VBD]],BR:BT,3,FALSE)</f>
        <v>6</v>
      </c>
      <c r="AO52" s="60">
        <f>VLOOKUP(INDEX(ECR!$E:$E,MATCH(AD52,ECR!$C:$C,0)),RISK!A:B,2,FALSE())</f>
        <v>3.848101265822784</v>
      </c>
      <c r="AP52" s="61"/>
      <c r="AQ52" s="47" t="s">
        <v>335</v>
      </c>
      <c r="AR52" s="47" t="str">
        <f>VLOOKUP(AQ52,ECR!E:L,8,FALSE())</f>
        <v>Max Klare</v>
      </c>
      <c r="AS52" s="47" t="str">
        <f>IFERROR(VLOOKUP(Table7[[#This Row],[PLAYER]],ECR!C:F,2,FALSE()),"-")</f>
        <v>LAR</v>
      </c>
      <c r="AT52" s="47">
        <f>IFERROR(VLOOKUP(Table7[[#This Row],[PLAYER]],ECR!C:F,4,FALSE()),"-")</f>
        <v>11</v>
      </c>
      <c r="AU52" s="47" t="str">
        <f>Table7[[#This Row],[Team]] &amp; "/" &amp; Table7[[#This Row],[Bye]]</f>
        <v>LAR/11</v>
      </c>
      <c r="AV52" s="57">
        <f>IFERROR(VLOOKUP(Table7[[#This Row],[PLAYER]],TE!A:K,9,FALSE())/17*(16-Table7[[#This Row],[Missed Games]]),0)</f>
        <v>6.2782352941176471</v>
      </c>
      <c r="AW52" s="57">
        <f>IFERROR(VLOOKUP(Table7[[#This Row],[PLAYER]],TE!A:K,10,FALSE())/17*(16-Table7[[#This Row],[Missed Games]]),0)</f>
        <v>12.388235294117646</v>
      </c>
      <c r="AX52" s="57">
        <f>IFERROR(VLOOKUP(Table7[[#This Row],[PLAYER]],TE!A:K,11,FALSE())/17*(16-Table7[[#This Row],[Missed Games]]),0)</f>
        <v>18.505882352941178</v>
      </c>
      <c r="AY52" s="58">
        <f>AVERAGE(AVERAGE(Table7[[#This Row],[LOW]],Table7[[#This Row],[HIGH]]),Table7[[#This Row],[AVG]],VLOOKUP(Table7[[#This Row],[PLAYER]],ECR!L:N,3,FALSE))</f>
        <v>12.38950980392157</v>
      </c>
      <c r="AZ52" s="58">
        <f>Table7[[#This Row],[Zscore Projection]]-$AS$1</f>
        <v>-95.525336392156873</v>
      </c>
      <c r="BA52" s="59">
        <f>MAX(Table7[[#This Row],[VBD]]*Scoring!$B$48+1,1)</f>
        <v>1</v>
      </c>
      <c r="BB52" s="57">
        <f>VLOOKUP(Table7[[#This Row],[VBD]],BW:BY,3,FALSE)</f>
        <v>12</v>
      </c>
      <c r="BC52" s="60">
        <f>VLOOKUP(INDEX(ECR!$E:$E,MATCH(AR52,ECR!$C:$C,0)),RISK!A:B,2,FALSE())</f>
        <v>3</v>
      </c>
      <c r="BD52" s="57"/>
      <c r="BE52" s="61"/>
      <c r="BF52" s="91">
        <v>50</v>
      </c>
      <c r="BG52" s="61" t="str">
        <f t="shared" si="12"/>
        <v/>
      </c>
      <c r="BH52" s="61" t="str">
        <f>IFERROR(LARGE($J$3:$J$52,50),"")</f>
        <v/>
      </c>
      <c r="BI52" s="61">
        <f t="shared" si="4"/>
        <v>-260.66987294117644</v>
      </c>
      <c r="BJ52" s="92">
        <f t="shared" si="5"/>
        <v>15</v>
      </c>
      <c r="BK52" s="91">
        <v>50</v>
      </c>
      <c r="BL52" s="61">
        <f t="shared" si="0"/>
        <v>74.140330588235287</v>
      </c>
      <c r="BM52" s="90">
        <f>IFERROR(LARGE($X$3:$X$102,50),"")</f>
        <v>-37.127522764705901</v>
      </c>
      <c r="BN52" s="90">
        <f t="shared" si="6"/>
        <v>-21.779646803921565</v>
      </c>
      <c r="BO52" s="92">
        <f t="shared" si="7"/>
        <v>8</v>
      </c>
      <c r="BP52" s="103">
        <v>50</v>
      </c>
      <c r="BQ52" s="61">
        <f t="shared" si="1"/>
        <v>106.31376023827249</v>
      </c>
      <c r="BR52" s="90">
        <f>IFERROR(LARGE($AL$3:$AL$102,50),"")</f>
        <v>-7.5984450235790604</v>
      </c>
      <c r="BS52" s="90">
        <f t="shared" si="8"/>
        <v>-5.4038830975428169</v>
      </c>
      <c r="BT52" s="92">
        <f t="shared" si="9"/>
        <v>6</v>
      </c>
      <c r="BU52" s="91">
        <v>50</v>
      </c>
      <c r="BV52" s="61">
        <f t="shared" si="2"/>
        <v>12.388235294117646</v>
      </c>
      <c r="BW52" s="90">
        <f>IFERROR(LARGE($AZ$3:$AZ$52,50),"")</f>
        <v>-95.525336392156873</v>
      </c>
      <c r="BX52" s="90">
        <f t="shared" si="10"/>
        <v>-95.525336392156873</v>
      </c>
      <c r="BY52" s="105">
        <f t="shared" si="11"/>
        <v>12</v>
      </c>
      <c r="BZ52" s="90"/>
      <c r="CA52" s="90"/>
      <c r="CB52" s="90"/>
      <c r="CC52" s="90"/>
      <c r="CD52" s="90"/>
      <c r="CE52" s="90"/>
      <c r="CF52" s="90"/>
      <c r="CG52" s="90"/>
    </row>
    <row r="53" spans="1:85" s="62" customFormat="1" ht="14.25" customHeight="1" x14ac:dyDescent="0.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M53" s="48"/>
      <c r="O53" s="45" t="s">
        <v>236</v>
      </c>
      <c r="P53" s="56" t="str">
        <f>VLOOKUP(O53,ECR!E:L,8,FALSE())</f>
        <v>Dylan Sampson</v>
      </c>
      <c r="Q53" s="46" t="str">
        <f>IFERROR(VLOOKUP(Table4[[#This Row],[PLAYER]],ECR!C:F,2,FALSE()),"-")</f>
        <v>CLE</v>
      </c>
      <c r="R53" s="46">
        <f>IFERROR(VLOOKUP(Table4[[#This Row],[PLAYER]],ECR!C:F,4,FALSE()),"-")</f>
        <v>11</v>
      </c>
      <c r="S53" s="46" t="str">
        <f>Table4[[#This Row],[Team]] &amp; "/" &amp; Table4[[#This Row],[Bye]]</f>
        <v>CLE/11</v>
      </c>
      <c r="T53" s="57">
        <f>IFERROR(VLOOKUP(Table4[[#This Row],[PLAYER]],RB!A:Q,13,FALSE())/17*(17-Table4[[#This Row],[Missed Games]]),0)</f>
        <v>52.59353364705882</v>
      </c>
      <c r="U53" s="57">
        <f>IFERROR(VLOOKUP(Table4[[#This Row],[PLAYER]],RB!A:Q,14,FALSE())/17*(17-Table4[[#This Row],[Missed Games]]),0)</f>
        <v>70.915303176470573</v>
      </c>
      <c r="V53" s="57">
        <f>IFERROR(VLOOKUP(Table4[[#This Row],[PLAYER]],RB!A:Q,15,FALSE())/17*(17-Table4[[#This Row],[Missed Games]]),0)</f>
        <v>88.423454117647054</v>
      </c>
      <c r="W53" s="58">
        <f>AVERAGE(AVERAGE(Table4[[#This Row],[LOW]],Table4[[#This Row],[HIGH]]),Table4[[#This Row],[AVG]],VLOOKUP(Table4[[#This Row],[PLAYER]],ECR!L:N,3,FALSE))</f>
        <v>71.147932352941169</v>
      </c>
      <c r="X53" s="58">
        <f>Table4[[#This Row],[Zscore Projection]]-$Q$1</f>
        <v>-43.006545588235298</v>
      </c>
      <c r="Y53" s="59">
        <f>MAX(Table4[[#This Row],[VBD]]*Scoring!$B$48+1,1)</f>
        <v>1</v>
      </c>
      <c r="Z53" s="45">
        <f>VLOOKUP(Table4[[#This Row],[VBD]],BM:BO,3,FALSE)</f>
        <v>8</v>
      </c>
      <c r="AA53" s="60">
        <f>VLOOKUP(INDEX(ECR!$E:$E,MATCH(P53,ECR!$C:$C,0)),RISK!A:B,2,FALSE())</f>
        <v>3.9513999999999996</v>
      </c>
      <c r="AB53" s="61"/>
      <c r="AC53" s="46" t="s">
        <v>230</v>
      </c>
      <c r="AD53" s="46" t="str">
        <f>VLOOKUP(AC53,ECR!E:L,8,FALSE())</f>
        <v>Romeo Doubs</v>
      </c>
      <c r="AE53" s="46" t="str">
        <f>IFERROR(VLOOKUP(Table6[[#This Row],[PLAYER]],ECR!C:F,2,FALSE()),"-")</f>
        <v>NE</v>
      </c>
      <c r="AF53" s="46">
        <f>IFERROR(VLOOKUP(Table6[[#This Row],[PLAYER]],ECR!C:F,4,FALSE()),"-")</f>
        <v>11</v>
      </c>
      <c r="AG53" s="46" t="str">
        <f>Table6[[#This Row],[Team]] &amp; "/" &amp; Table6[[#This Row],[Bye]]</f>
        <v>NE/11</v>
      </c>
      <c r="AH53" s="57">
        <f>IFERROR(VLOOKUP(Table6[[#This Row],[PLAYER]],WR!A:Q,13,FALSE())/17*(17-Table6[[#This Row],[Missed Games]]),0)</f>
        <v>94.322323157110958</v>
      </c>
      <c r="AI53" s="57">
        <f>IFERROR(VLOOKUP(Table6[[#This Row],[PLAYER]],WR!A:Q,14,FALSE())/17*(17-Table6[[#This Row],[Missed Games]]),0)</f>
        <v>104.87478778853314</v>
      </c>
      <c r="AJ53" s="57">
        <f>IFERROR(VLOOKUP(Table6[[#This Row],[PLAYER]],WR!A:Q,15,FALSE())/17*(17-Table6[[#This Row],[Missed Games]]),0)</f>
        <v>114.26679076693969</v>
      </c>
      <c r="AK53" s="58">
        <f>AVERAGE(AVERAGE(Table6[[#This Row],[LOW]],Table6[[#This Row],[HIGH]]),Table6[[#This Row],[AVG]],VLOOKUP(Table6[[#This Row],[PLAYER]],ECR!L:N,3,FALSE))</f>
        <v>104.99062764954084</v>
      </c>
      <c r="AL53" s="58">
        <f>Table6[[#This Row],[Zscore Projection]]-$AE$1</f>
        <v>-9.7132703400347395</v>
      </c>
      <c r="AM53" s="59">
        <f>MAX(Table6[[#This Row],[VBD]]*Scoring!$B$48+1,1)</f>
        <v>1</v>
      </c>
      <c r="AN53" s="45">
        <f>VLOOKUP(Table6[[#This Row],[VBD]],BR:BT,3,FALSE)</f>
        <v>6</v>
      </c>
      <c r="AO53" s="60">
        <f>VLOOKUP(INDEX(ECR!$E:$E,MATCH(AD53,ECR!$C:$C,0)),RISK!A:B,2,FALSE())</f>
        <v>3.848101265822784</v>
      </c>
      <c r="AP53" s="61"/>
      <c r="AQ53" s="47" t="s">
        <v>411</v>
      </c>
      <c r="AR53" s="48"/>
      <c r="AT53" s="48"/>
      <c r="AU53" s="48"/>
      <c r="AV53" s="48"/>
      <c r="AW53" s="48"/>
      <c r="AX53" s="48"/>
      <c r="AY53" s="48"/>
      <c r="AZ53" s="48"/>
      <c r="BA53" s="48"/>
      <c r="BC53" s="48"/>
      <c r="BD53" s="48"/>
      <c r="BF53" s="91">
        <v>51</v>
      </c>
      <c r="BG53" s="61" t="str">
        <f t="shared" si="12"/>
        <v/>
      </c>
      <c r="BH53" s="61"/>
      <c r="BI53" s="61"/>
      <c r="BJ53" s="92"/>
      <c r="BK53" s="91">
        <v>51</v>
      </c>
      <c r="BL53" s="61">
        <f t="shared" si="0"/>
        <v>72.02</v>
      </c>
      <c r="BM53" s="90">
        <f>IFERROR(LARGE($X$3:$X$102,51),"")</f>
        <v>-43.006545588235298</v>
      </c>
      <c r="BN53" s="90">
        <f t="shared" si="6"/>
        <v>-21.779646803921565</v>
      </c>
      <c r="BO53" s="92">
        <f t="shared" si="7"/>
        <v>8</v>
      </c>
      <c r="BP53" s="103">
        <v>51</v>
      </c>
      <c r="BQ53" s="61">
        <f t="shared" si="1"/>
        <v>105.80253819806404</v>
      </c>
      <c r="BR53" s="90">
        <f>IFERROR(LARGE($AL$3:$AL$102,51),"")</f>
        <v>-7.7983023082650931</v>
      </c>
      <c r="BS53" s="90">
        <f t="shared" si="8"/>
        <v>-5.4038830975428169</v>
      </c>
      <c r="BT53" s="92">
        <f t="shared" si="9"/>
        <v>6</v>
      </c>
      <c r="BU53" s="91">
        <v>51</v>
      </c>
      <c r="BV53" s="61" t="str">
        <f t="shared" si="2"/>
        <v/>
      </c>
      <c r="BW53" s="90"/>
      <c r="BX53" s="90"/>
      <c r="BY53" s="105">
        <f>IFERROR(VALUE(RIGHT(INDEX(ECR!$E:$E,MATCH(P53,ECR!$C:$C,0)),LEN(INDEX(ECR!$E:$E,MATCH(P53,ECR!$C:$C,0)))-2)),"")</f>
        <v>51</v>
      </c>
      <c r="BZ53" s="90"/>
      <c r="CA53" s="90"/>
      <c r="CB53" s="90"/>
      <c r="CC53" s="90"/>
      <c r="CD53" s="90"/>
      <c r="CE53" s="90"/>
      <c r="CF53" s="90"/>
      <c r="CG53" s="90"/>
    </row>
    <row r="54" spans="1:85" s="62" customFormat="1" ht="14.25" customHeight="1" x14ac:dyDescent="0.3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M54" s="48"/>
      <c r="O54" s="45" t="s">
        <v>247</v>
      </c>
      <c r="P54" s="56" t="str">
        <f>VLOOKUP(O54,ECR!E:L,8,FALSE())</f>
        <v>Braelon Allen</v>
      </c>
      <c r="Q54" s="46" t="str">
        <f>IFERROR(VLOOKUP(Table4[[#This Row],[PLAYER]],ECR!C:F,2,FALSE()),"-")</f>
        <v>NYJ</v>
      </c>
      <c r="R54" s="46">
        <f>IFERROR(VLOOKUP(Table4[[#This Row],[PLAYER]],ECR!C:F,4,FALSE()),"-")</f>
        <v>13</v>
      </c>
      <c r="S54" s="46" t="str">
        <f>Table4[[#This Row],[Team]] &amp; "/" &amp; Table4[[#This Row],[Bye]]</f>
        <v>NYJ/13</v>
      </c>
      <c r="T54" s="57">
        <f>IFERROR(VLOOKUP(Table4[[#This Row],[PLAYER]],RB!A:Q,13,FALSE())/17*(17-Table4[[#This Row],[Missed Games]]),0)</f>
        <v>48.956470588235291</v>
      </c>
      <c r="U54" s="57">
        <f>IFERROR(VLOOKUP(Table4[[#This Row],[PLAYER]],RB!A:Q,14,FALSE())/17*(17-Table4[[#This Row],[Missed Games]]),0)</f>
        <v>68.609411764705882</v>
      </c>
      <c r="V54" s="57">
        <f>IFERROR(VLOOKUP(Table4[[#This Row],[PLAYER]],RB!A:Q,15,FALSE())/17*(17-Table4[[#This Row],[Missed Games]]),0)</f>
        <v>87.788235294117641</v>
      </c>
      <c r="W54" s="58">
        <f>AVERAGE(AVERAGE(Table4[[#This Row],[LOW]],Table4[[#This Row],[HIGH]]),Table4[[#This Row],[AVG]],VLOOKUP(Table4[[#This Row],[PLAYER]],ECR!L:N,3,FALSE))</f>
        <v>69.299022627450981</v>
      </c>
      <c r="X54" s="58">
        <f>Table4[[#This Row],[Zscore Projection]]-$Q$1</f>
        <v>-44.855455313725486</v>
      </c>
      <c r="Y54" s="59">
        <f>MAX(Table4[[#This Row],[VBD]]*Scoring!$B$48+1,1)</f>
        <v>1</v>
      </c>
      <c r="Z54" s="45">
        <f>VLOOKUP(Table4[[#This Row],[VBD]],BM:BO,3,FALSE)</f>
        <v>8</v>
      </c>
      <c r="AA54" s="60">
        <f>VLOOKUP(INDEX(ECR!$E:$E,MATCH(P54,ECR!$C:$C,0)),RISK!A:B,2,FALSE())</f>
        <v>4</v>
      </c>
      <c r="AB54" s="61"/>
      <c r="AC54" s="46" t="s">
        <v>229</v>
      </c>
      <c r="AD54" s="46" t="str">
        <f>VLOOKUP(AC54,ECR!E:L,8,FALSE())</f>
        <v>Xavier Worthy</v>
      </c>
      <c r="AE54" s="46" t="str">
        <f>IFERROR(VLOOKUP(Table6[[#This Row],[PLAYER]],ECR!C:F,2,FALSE()),"-")</f>
        <v>KC</v>
      </c>
      <c r="AF54" s="46">
        <f>IFERROR(VLOOKUP(Table6[[#This Row],[PLAYER]],ECR!C:F,4,FALSE()),"-")</f>
        <v>5</v>
      </c>
      <c r="AG54" s="46" t="str">
        <f>Table6[[#This Row],[Team]] &amp; "/" &amp; Table6[[#This Row],[Bye]]</f>
        <v>KC/5</v>
      </c>
      <c r="AH54" s="57">
        <f>IFERROR(VLOOKUP(Table6[[#This Row],[PLAYER]],WR!A:Q,13,FALSE())/17*(17-Table6[[#This Row],[Missed Games]]),0)</f>
        <v>96.937230081906179</v>
      </c>
      <c r="AI54" s="57">
        <f>IFERROR(VLOOKUP(Table6[[#This Row],[PLAYER]],WR!A:Q,14,FALSE())/17*(17-Table6[[#This Row],[Missed Games]]),0)</f>
        <v>107.76820551005214</v>
      </c>
      <c r="AJ54" s="57">
        <f>IFERROR(VLOOKUP(Table6[[#This Row],[PLAYER]],WR!A:Q,15,FALSE())/17*(17-Table6[[#This Row],[Missed Games]]),0)</f>
        <v>120.40950111690245</v>
      </c>
      <c r="AK54" s="58">
        <f>AVERAGE(AVERAGE(Table6[[#This Row],[LOW]],Table6[[#This Row],[HIGH]]),Table6[[#This Row],[AVG]],VLOOKUP(Table6[[#This Row],[PLAYER]],ECR!L:N,3,FALSE))</f>
        <v>107.10545296599652</v>
      </c>
      <c r="AL54" s="58">
        <f>Table6[[#This Row],[Zscore Projection]]-$AE$1</f>
        <v>-7.5984450235790604</v>
      </c>
      <c r="AM54" s="59">
        <f>MAX(Table6[[#This Row],[VBD]]*Scoring!$B$48+1,1)</f>
        <v>1</v>
      </c>
      <c r="AN54" s="45">
        <f>VLOOKUP(Table6[[#This Row],[VBD]],BR:BT,3,FALSE)</f>
        <v>6</v>
      </c>
      <c r="AO54" s="60">
        <f>VLOOKUP(INDEX(ECR!$E:$E,MATCH(AD54,ECR!$C:$C,0)),RISK!A:B,2,FALSE())</f>
        <v>3.848101265822784</v>
      </c>
      <c r="AP54" s="61"/>
      <c r="AQ54" s="47" t="s">
        <v>412</v>
      </c>
      <c r="AR54" s="48"/>
      <c r="AT54" s="48"/>
      <c r="AU54" s="48"/>
      <c r="AV54" s="48"/>
      <c r="AW54" s="48"/>
      <c r="AX54" s="48"/>
      <c r="AY54" s="48"/>
      <c r="AZ54" s="48"/>
      <c r="BA54" s="48"/>
      <c r="BC54" s="48"/>
      <c r="BD54" s="48"/>
      <c r="BF54" s="91">
        <v>52</v>
      </c>
      <c r="BG54" s="61" t="str">
        <f t="shared" si="12"/>
        <v/>
      </c>
      <c r="BH54" s="61"/>
      <c r="BI54" s="61"/>
      <c r="BJ54" s="92"/>
      <c r="BK54" s="91">
        <v>52</v>
      </c>
      <c r="BL54" s="61">
        <f t="shared" si="0"/>
        <v>70.915303176470573</v>
      </c>
      <c r="BM54" s="90">
        <f>IFERROR(LARGE($X$3:$X$102,52),"")</f>
        <v>-43.114820686274513</v>
      </c>
      <c r="BN54" s="90">
        <f t="shared" si="6"/>
        <v>-21.779646803921565</v>
      </c>
      <c r="BO54" s="92">
        <f t="shared" si="7"/>
        <v>8</v>
      </c>
      <c r="BP54" s="103">
        <v>52</v>
      </c>
      <c r="BQ54" s="61">
        <f t="shared" si="1"/>
        <v>104.87478778853314</v>
      </c>
      <c r="BR54" s="90">
        <f>IFERROR(LARGE($AL$3:$AL$102,52),"")</f>
        <v>-9.7132703400347395</v>
      </c>
      <c r="BS54" s="90">
        <f t="shared" si="8"/>
        <v>-5.4038830975428169</v>
      </c>
      <c r="BT54" s="92">
        <f t="shared" si="9"/>
        <v>6</v>
      </c>
      <c r="BU54" s="91">
        <v>52</v>
      </c>
      <c r="BV54" s="61" t="str">
        <f t="shared" si="2"/>
        <v/>
      </c>
      <c r="BW54" s="90"/>
      <c r="BX54" s="90"/>
      <c r="BY54" s="105">
        <f>IFERROR(VALUE(RIGHT(INDEX(ECR!$E:$E,MATCH(P54,ECR!$C:$C,0)),LEN(INDEX(ECR!$E:$E,MATCH(P54,ECR!$C:$C,0)))-2)),"")</f>
        <v>52</v>
      </c>
      <c r="BZ54" s="90"/>
      <c r="CA54" s="90"/>
      <c r="CB54" s="90"/>
      <c r="CC54" s="90"/>
      <c r="CD54" s="90"/>
      <c r="CE54" s="90"/>
      <c r="CF54" s="90"/>
      <c r="CG54" s="90"/>
    </row>
    <row r="55" spans="1:85" s="62" customFormat="1" ht="14.25" customHeight="1" x14ac:dyDescent="0.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M55" s="48"/>
      <c r="O55" s="45" t="s">
        <v>233</v>
      </c>
      <c r="P55" s="56" t="str">
        <f>VLOOKUP(O55,ECR!E:L,8,FALSE())</f>
        <v>Alvin Kamara</v>
      </c>
      <c r="Q55" s="46" t="str">
        <f>IFERROR(VLOOKUP(Table4[[#This Row],[PLAYER]],ECR!C:F,2,FALSE()),"-")</f>
        <v>NO</v>
      </c>
      <c r="R55" s="46">
        <f>IFERROR(VLOOKUP(Table4[[#This Row],[PLAYER]],ECR!C:F,4,FALSE()),"-")</f>
        <v>8</v>
      </c>
      <c r="S55" s="46" t="str">
        <f>Table4[[#This Row],[Team]] &amp; "/" &amp; Table4[[#This Row],[Bye]]</f>
        <v>NO/8</v>
      </c>
      <c r="T55" s="57">
        <f>IFERROR(VLOOKUP(Table4[[#This Row],[PLAYER]],RB!A:Q,13,FALSE())/17*(17-Table4[[#This Row],[Missed Games]]),0)</f>
        <v>60.373529411764707</v>
      </c>
      <c r="U55" s="57">
        <f>IFERROR(VLOOKUP(Table4[[#This Row],[PLAYER]],RB!A:Q,14,FALSE())/17*(17-Table4[[#This Row],[Missed Games]]),0)</f>
        <v>72.02</v>
      </c>
      <c r="V55" s="57">
        <f>IFERROR(VLOOKUP(Table4[[#This Row],[PLAYER]],RB!A:Q,15,FALSE())/17*(17-Table4[[#This Row],[Missed Games]]),0)</f>
        <v>81.112352941176468</v>
      </c>
      <c r="W55" s="58">
        <f>AVERAGE(AVERAGE(Table4[[#This Row],[LOW]],Table4[[#This Row],[HIGH]]),Table4[[#This Row],[AVG]],VLOOKUP(Table4[[#This Row],[PLAYER]],ECR!L:N,3,FALSE))</f>
        <v>71.039657254901954</v>
      </c>
      <c r="X55" s="58">
        <f>Table4[[#This Row],[Zscore Projection]]-$Q$1</f>
        <v>-43.114820686274513</v>
      </c>
      <c r="Y55" s="59">
        <f>MAX(Table4[[#This Row],[VBD]]*Scoring!$B$48+1,1)</f>
        <v>1</v>
      </c>
      <c r="Z55" s="45">
        <f>VLOOKUP(Table4[[#This Row],[VBD]],BM:BO,3,FALSE)</f>
        <v>8</v>
      </c>
      <c r="AA55" s="60">
        <f>VLOOKUP(INDEX(ECR!$E:$E,MATCH(P55,ECR!$C:$C,0)),RISK!A:B,2,FALSE())</f>
        <v>4</v>
      </c>
      <c r="AB55" s="61"/>
      <c r="AC55" s="46" t="s">
        <v>235</v>
      </c>
      <c r="AD55" s="46" t="str">
        <f>VLOOKUP(AC55,ECR!E:L,8,FALSE())</f>
        <v>Jalen Coker</v>
      </c>
      <c r="AE55" s="46" t="str">
        <f>IFERROR(VLOOKUP(Table6[[#This Row],[PLAYER]],ECR!C:F,2,FALSE()),"-")</f>
        <v>CAR</v>
      </c>
      <c r="AF55" s="46">
        <f>IFERROR(VLOOKUP(Table6[[#This Row],[PLAYER]],ECR!C:F,4,FALSE()),"-")</f>
        <v>5</v>
      </c>
      <c r="AG55" s="46" t="str">
        <f>Table6[[#This Row],[Team]] &amp; "/" &amp; Table6[[#This Row],[Bye]]</f>
        <v>CAR/5</v>
      </c>
      <c r="AH55" s="57">
        <f>IFERROR(VLOOKUP(Table6[[#This Row],[PLAYER]],WR!A:Q,13,FALSE())/17*(17-Table6[[#This Row],[Missed Games]]),0)</f>
        <v>88.403968726731222</v>
      </c>
      <c r="AI55" s="57">
        <f>IFERROR(VLOOKUP(Table6[[#This Row],[PLAYER]],WR!A:Q,14,FALSE())/17*(17-Table6[[#This Row],[Missed Games]]),0)</f>
        <v>98.352993298585261</v>
      </c>
      <c r="AJ55" s="57">
        <f>IFERROR(VLOOKUP(Table6[[#This Row],[PLAYER]],WR!A:Q,15,FALSE())/17*(17-Table6[[#This Row],[Missed Games]]),0)</f>
        <v>108.30975428145942</v>
      </c>
      <c r="AK55" s="58">
        <f>AVERAGE(AVERAGE(Table6[[#This Row],[LOW]],Table6[[#This Row],[HIGH]]),Table6[[#This Row],[AVG]],VLOOKUP(Table6[[#This Row],[PLAYER]],ECR!L:N,3,FALSE))</f>
        <v>100.36574956564904</v>
      </c>
      <c r="AL55" s="58">
        <f>Table6[[#This Row],[Zscore Projection]]-$AE$1</f>
        <v>-14.33814842392654</v>
      </c>
      <c r="AM55" s="59">
        <f>MAX(Table6[[#This Row],[VBD]]*Scoring!$B$48+1,1)</f>
        <v>1</v>
      </c>
      <c r="AN55" s="45">
        <f>VLOOKUP(Table6[[#This Row],[VBD]],BR:BT,3,FALSE)</f>
        <v>6</v>
      </c>
      <c r="AO55" s="60">
        <f>VLOOKUP(INDEX(ECR!$E:$E,MATCH(AD55,ECR!$C:$C,0)),RISK!A:B,2,FALSE())</f>
        <v>3.848101265822784</v>
      </c>
      <c r="AP55" s="61"/>
      <c r="AQ55" s="47" t="s">
        <v>413</v>
      </c>
      <c r="AR55" s="48"/>
      <c r="AT55" s="48"/>
      <c r="AU55" s="48"/>
      <c r="AV55" s="48"/>
      <c r="AW55" s="48"/>
      <c r="AX55" s="48"/>
      <c r="AY55" s="48"/>
      <c r="AZ55" s="48"/>
      <c r="BA55" s="48"/>
      <c r="BC55" s="48"/>
      <c r="BD55" s="48"/>
      <c r="BF55" s="91">
        <v>53</v>
      </c>
      <c r="BG55" s="61" t="str">
        <f t="shared" si="12"/>
        <v/>
      </c>
      <c r="BH55" s="61"/>
      <c r="BI55" s="61"/>
      <c r="BJ55" s="92"/>
      <c r="BK55" s="91">
        <v>53</v>
      </c>
      <c r="BL55" s="61">
        <f t="shared" si="0"/>
        <v>70.356030588235299</v>
      </c>
      <c r="BM55" s="90">
        <f>IFERROR(LARGE($X$3:$X$102,53),"")</f>
        <v>-44.408692843137246</v>
      </c>
      <c r="BN55" s="90">
        <f t="shared" si="6"/>
        <v>-21.779646803921565</v>
      </c>
      <c r="BO55" s="92">
        <f t="shared" si="7"/>
        <v>8</v>
      </c>
      <c r="BP55" s="103">
        <v>53</v>
      </c>
      <c r="BQ55" s="61">
        <f t="shared" si="1"/>
        <v>104.38739389426655</v>
      </c>
      <c r="BR55" s="90">
        <f>IFERROR(LARGE($AL$3:$AL$102,53),"")</f>
        <v>-10.374527177959791</v>
      </c>
      <c r="BS55" s="90">
        <f t="shared" si="8"/>
        <v>-5.4038830975428169</v>
      </c>
      <c r="BT55" s="92">
        <f t="shared" si="9"/>
        <v>6</v>
      </c>
      <c r="BU55" s="91">
        <v>53</v>
      </c>
      <c r="BV55" s="61" t="str">
        <f t="shared" si="2"/>
        <v/>
      </c>
      <c r="BW55" s="90"/>
      <c r="BX55" s="90"/>
      <c r="BY55" s="105">
        <f>IFERROR(VALUE(RIGHT(INDEX(ECR!$E:$E,MATCH(P55,ECR!$C:$C,0)),LEN(INDEX(ECR!$E:$E,MATCH(P55,ECR!$C:$C,0)))-2)),"")</f>
        <v>53</v>
      </c>
      <c r="BZ55" s="90"/>
      <c r="CA55" s="90"/>
      <c r="CB55" s="90"/>
      <c r="CC55" s="90"/>
      <c r="CD55" s="90"/>
      <c r="CE55" s="90"/>
      <c r="CF55" s="90"/>
      <c r="CG55" s="90"/>
    </row>
    <row r="56" spans="1:85" s="62" customFormat="1" ht="14.25" customHeight="1" x14ac:dyDescent="0.3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M56" s="48"/>
      <c r="O56" s="45" t="s">
        <v>250</v>
      </c>
      <c r="P56" s="56" t="str">
        <f>VLOOKUP(O56,ECR!E:L,8,FALSE())</f>
        <v>Tyrone Tracy Jr.</v>
      </c>
      <c r="Q56" s="46" t="str">
        <f>IFERROR(VLOOKUP(Table4[[#This Row],[PLAYER]],ECR!C:F,2,FALSE()),"-")</f>
        <v>NYG</v>
      </c>
      <c r="R56" s="46">
        <f>IFERROR(VLOOKUP(Table4[[#This Row],[PLAYER]],ECR!C:F,4,FALSE()),"-")</f>
        <v>8</v>
      </c>
      <c r="S56" s="46" t="str">
        <f>Table4[[#This Row],[Team]] &amp; "/" &amp; Table4[[#This Row],[Bye]]</f>
        <v>NYG/8</v>
      </c>
      <c r="T56" s="57">
        <f>IFERROR(VLOOKUP(Table4[[#This Row],[PLAYER]],RB!A:Q,13,FALSE())/17*(17-Table4[[#This Row],[Missed Games]]),0)</f>
        <v>25.403529411764705</v>
      </c>
      <c r="U56" s="57">
        <f>IFERROR(VLOOKUP(Table4[[#This Row],[PLAYER]],RB!A:Q,14,FALSE())/17*(17-Table4[[#This Row],[Missed Games]]),0)</f>
        <v>48.658235294117652</v>
      </c>
      <c r="V56" s="57">
        <f>IFERROR(VLOOKUP(Table4[[#This Row],[PLAYER]],RB!A:Q,15,FALSE())/17*(17-Table4[[#This Row],[Missed Games]]),0)</f>
        <v>71.5</v>
      </c>
      <c r="W56" s="58">
        <f>AVERAGE(AVERAGE(Table4[[#This Row],[LOW]],Table4[[#This Row],[HIGH]]),Table4[[#This Row],[AVG]],VLOOKUP(Table4[[#This Row],[PLAYER]],ECR!L:N,3,FALSE))</f>
        <v>55.695288235294129</v>
      </c>
      <c r="X56" s="58">
        <f>Table4[[#This Row],[Zscore Projection]]-$Q$1</f>
        <v>-58.459189705882338</v>
      </c>
      <c r="Y56" s="59">
        <f>MAX(Table4[[#This Row],[VBD]]*Scoring!$B$48+1,1)</f>
        <v>1</v>
      </c>
      <c r="Z56" s="45">
        <f>VLOOKUP(Table4[[#This Row],[VBD]],BM:BO,3,FALSE)</f>
        <v>9</v>
      </c>
      <c r="AA56" s="60">
        <f>VLOOKUP(INDEX(ECR!$E:$E,MATCH(P56,ECR!$C:$C,0)),RISK!A:B,2,FALSE())</f>
        <v>4</v>
      </c>
      <c r="AB56" s="61"/>
      <c r="AC56" s="46" t="s">
        <v>232</v>
      </c>
      <c r="AD56" s="46" t="str">
        <f>VLOOKUP(AC56,ECR!E:L,8,FALSE())</f>
        <v>Khalil Shakir</v>
      </c>
      <c r="AE56" s="46" t="str">
        <f>IFERROR(VLOOKUP(Table6[[#This Row],[PLAYER]],ECR!C:F,2,FALSE()),"-")</f>
        <v>BUF</v>
      </c>
      <c r="AF56" s="46">
        <f>IFERROR(VLOOKUP(Table6[[#This Row],[PLAYER]],ECR!C:F,4,FALSE()),"-")</f>
        <v>7</v>
      </c>
      <c r="AG56" s="46" t="str">
        <f>Table6[[#This Row],[Team]] &amp; "/" &amp; Table6[[#This Row],[Bye]]</f>
        <v>BUF/7</v>
      </c>
      <c r="AH56" s="57">
        <f>IFERROR(VLOOKUP(Table6[[#This Row],[PLAYER]],WR!A:Q,13,FALSE())/17*(17-Table6[[#This Row],[Missed Games]]),0)</f>
        <v>91.521742367833212</v>
      </c>
      <c r="AI56" s="57">
        <f>IFERROR(VLOOKUP(Table6[[#This Row],[PLAYER]],WR!A:Q,14,FALSE())/17*(17-Table6[[#This Row],[Missed Games]]),0)</f>
        <v>100.4031422189129</v>
      </c>
      <c r="AJ56" s="57">
        <f>IFERROR(VLOOKUP(Table6[[#This Row],[PLAYER]],WR!A:Q,15,FALSE())/17*(17-Table6[[#This Row],[Missed Games]]),0)</f>
        <v>106.18224125093077</v>
      </c>
      <c r="AK56" s="58">
        <f>AVERAGE(AVERAGE(Table6[[#This Row],[LOW]],Table6[[#This Row],[HIGH]]),Table6[[#This Row],[AVG]],VLOOKUP(Table6[[#This Row],[PLAYER]],ECR!L:N,3,FALSE))</f>
        <v>101.16517870439316</v>
      </c>
      <c r="AL56" s="58">
        <f>Table6[[#This Row],[Zscore Projection]]-$AE$1</f>
        <v>-13.538719285182424</v>
      </c>
      <c r="AM56" s="59">
        <f>MAX(Table6[[#This Row],[VBD]]*Scoring!$B$48+1,1)</f>
        <v>1</v>
      </c>
      <c r="AN56" s="45">
        <f>VLOOKUP(Table6[[#This Row],[VBD]],BR:BT,3,FALSE)</f>
        <v>6</v>
      </c>
      <c r="AO56" s="60">
        <f>VLOOKUP(INDEX(ECR!$E:$E,MATCH(AD56,ECR!$C:$C,0)),RISK!A:B,2,FALSE())</f>
        <v>3.848101265822784</v>
      </c>
      <c r="AP56" s="61"/>
      <c r="AQ56" s="47" t="s">
        <v>414</v>
      </c>
      <c r="AR56" s="48"/>
      <c r="AT56" s="48"/>
      <c r="AU56" s="48"/>
      <c r="AV56" s="48"/>
      <c r="AW56" s="48"/>
      <c r="AX56" s="48"/>
      <c r="AY56" s="48"/>
      <c r="AZ56" s="48"/>
      <c r="BA56" s="48"/>
      <c r="BC56" s="48"/>
      <c r="BD56" s="48"/>
      <c r="BF56" s="91">
        <v>54</v>
      </c>
      <c r="BG56" s="61" t="str">
        <f t="shared" si="12"/>
        <v/>
      </c>
      <c r="BH56" s="61"/>
      <c r="BI56" s="61"/>
      <c r="BJ56" s="92"/>
      <c r="BK56" s="91">
        <v>54</v>
      </c>
      <c r="BL56" s="61">
        <f t="shared" si="0"/>
        <v>69.975864705882358</v>
      </c>
      <c r="BM56" s="90">
        <f>IFERROR(LARGE($X$3:$X$102,54),"")</f>
        <v>-44.855455313725486</v>
      </c>
      <c r="BN56" s="90">
        <f t="shared" si="6"/>
        <v>-21.779646803921565</v>
      </c>
      <c r="BO56" s="92">
        <f t="shared" si="7"/>
        <v>8</v>
      </c>
      <c r="BP56" s="103">
        <v>54</v>
      </c>
      <c r="BQ56" s="61">
        <f t="shared" si="1"/>
        <v>104.24040208488458</v>
      </c>
      <c r="BR56" s="90">
        <f>IFERROR(LARGE($AL$3:$AL$102,54),"")</f>
        <v>-11.250031025068253</v>
      </c>
      <c r="BS56" s="90">
        <f t="shared" si="8"/>
        <v>-5.4038830975428169</v>
      </c>
      <c r="BT56" s="92">
        <f t="shared" si="9"/>
        <v>6</v>
      </c>
      <c r="BU56" s="91">
        <v>54</v>
      </c>
      <c r="BV56" s="61" t="str">
        <f t="shared" si="2"/>
        <v/>
      </c>
      <c r="BW56" s="90"/>
      <c r="BX56" s="90"/>
      <c r="BY56" s="105">
        <f>IFERROR(VALUE(RIGHT(INDEX(ECR!$E:$E,MATCH(P56,ECR!$C:$C,0)),LEN(INDEX(ECR!$E:$E,MATCH(P56,ECR!$C:$C,0)))-2)),"")</f>
        <v>54</v>
      </c>
      <c r="BZ56" s="90"/>
      <c r="CA56" s="90"/>
      <c r="CB56" s="90"/>
      <c r="CC56" s="90"/>
      <c r="CD56" s="90"/>
      <c r="CE56" s="90"/>
      <c r="CF56" s="90"/>
      <c r="CG56" s="90"/>
    </row>
    <row r="57" spans="1:85" s="62" customFormat="1" ht="14.25" customHeight="1" x14ac:dyDescent="0.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M57" s="48"/>
      <c r="O57" s="45" t="s">
        <v>234</v>
      </c>
      <c r="P57" s="56" t="str">
        <f>VLOOKUP(O57,ECR!E:L,8,FALSE())</f>
        <v>Emmett Johnson</v>
      </c>
      <c r="Q57" s="46" t="str">
        <f>IFERROR(VLOOKUP(Table4[[#This Row],[PLAYER]],ECR!C:F,2,FALSE()),"-")</f>
        <v>KC</v>
      </c>
      <c r="R57" s="46">
        <f>IFERROR(VLOOKUP(Table4[[#This Row],[PLAYER]],ECR!C:F,4,FALSE()),"-")</f>
        <v>5</v>
      </c>
      <c r="S57" s="46" t="str">
        <f>Table4[[#This Row],[Team]] &amp; "/" &amp; Table4[[#This Row],[Bye]]</f>
        <v>KC/5</v>
      </c>
      <c r="T57" s="57">
        <f>IFERROR(VLOOKUP(Table4[[#This Row],[PLAYER]],RB!A:Q,13,FALSE())/17*(17-Table4[[#This Row],[Missed Games]]),0)</f>
        <v>59.176030588235292</v>
      </c>
      <c r="U57" s="57">
        <f>IFERROR(VLOOKUP(Table4[[#This Row],[PLAYER]],RB!A:Q,14,FALSE())/17*(17-Table4[[#This Row],[Missed Games]]),0)</f>
        <v>70.356030588235299</v>
      </c>
      <c r="V57" s="57">
        <f>IFERROR(VLOOKUP(Table4[[#This Row],[PLAYER]],RB!A:Q,15,FALSE())/17*(17-Table4[[#This Row],[Missed Games]]),0)</f>
        <v>81.367795294117656</v>
      </c>
      <c r="W57" s="58">
        <f>AVERAGE(AVERAGE(Table4[[#This Row],[LOW]],Table4[[#This Row],[HIGH]]),Table4[[#This Row],[AVG]],VLOOKUP(Table4[[#This Row],[PLAYER]],ECR!L:N,3,FALSE))</f>
        <v>69.745785098039221</v>
      </c>
      <c r="X57" s="58">
        <f>Table4[[#This Row],[Zscore Projection]]-$Q$1</f>
        <v>-44.408692843137246</v>
      </c>
      <c r="Y57" s="59">
        <f>MAX(Table4[[#This Row],[VBD]]*Scoring!$B$48+1,1)</f>
        <v>1</v>
      </c>
      <c r="Z57" s="45">
        <f>VLOOKUP(Table4[[#This Row],[VBD]],BM:BO,3,FALSE)</f>
        <v>8</v>
      </c>
      <c r="AA57" s="60">
        <f>VLOOKUP(INDEX(ECR!$E:$E,MATCH(P57,ECR!$C:$C,0)),RISK!A:B,2,FALSE())</f>
        <v>4</v>
      </c>
      <c r="AB57" s="61"/>
      <c r="AC57" s="46" t="s">
        <v>226</v>
      </c>
      <c r="AD57" s="46" t="str">
        <f>VLOOKUP(AC57,ECR!E:L,8,FALSE())</f>
        <v>Deebo Samuel Sr.</v>
      </c>
      <c r="AE57" s="46" t="str">
        <f>IFERROR(VLOOKUP(Table6[[#This Row],[PLAYER]],ECR!C:F,2,FALSE()),"-")</f>
        <v>SF</v>
      </c>
      <c r="AF57" s="46">
        <f>IFERROR(VLOOKUP(Table6[[#This Row],[PLAYER]],ECR!C:F,4,FALSE()),"-")</f>
        <v>8</v>
      </c>
      <c r="AG57" s="46" t="str">
        <f>Table6[[#This Row],[Team]] &amp; "/" &amp; Table6[[#This Row],[Bye]]</f>
        <v>SF/8</v>
      </c>
      <c r="AH57" s="57">
        <f>IFERROR(VLOOKUP(Table6[[#This Row],[PLAYER]],WR!A:Q,13,FALSE())/17*(17-Table6[[#This Row],[Missed Games]]),0)</f>
        <v>95.498257632166798</v>
      </c>
      <c r="AI57" s="57">
        <f>IFERROR(VLOOKUP(Table6[[#This Row],[PLAYER]],WR!A:Q,14,FALSE())/17*(17-Table6[[#This Row],[Missed Games]]),0)</f>
        <v>104.24040208488458</v>
      </c>
      <c r="AJ57" s="57">
        <f>IFERROR(VLOOKUP(Table6[[#This Row],[PLAYER]],WR!A:Q,15,FALSE())/17*(17-Table6[[#This Row],[Missed Games]]),0)</f>
        <v>112.25532390171259</v>
      </c>
      <c r="AK57" s="58">
        <f>AVERAGE(AVERAGE(Table6[[#This Row],[LOW]],Table6[[#This Row],[HIGH]]),Table6[[#This Row],[AVG]],VLOOKUP(Table6[[#This Row],[PLAYER]],ECR!L:N,3,FALSE))</f>
        <v>103.45386696450733</v>
      </c>
      <c r="AL57" s="58">
        <f>Table6[[#This Row],[Zscore Projection]]-$AE$1</f>
        <v>-11.250031025068253</v>
      </c>
      <c r="AM57" s="59">
        <f>MAX(Table6[[#This Row],[VBD]]*Scoring!$B$48+1,1)</f>
        <v>1</v>
      </c>
      <c r="AN57" s="45">
        <f>VLOOKUP(Table6[[#This Row],[VBD]],BR:BT,3,FALSE)</f>
        <v>6</v>
      </c>
      <c r="AO57" s="60">
        <f>VLOOKUP(INDEX(ECR!$E:$E,MATCH(AD57,ECR!$C:$C,0)),RISK!A:B,2,FALSE())</f>
        <v>3.848101265822784</v>
      </c>
      <c r="AP57" s="61"/>
      <c r="AQ57" s="47" t="s">
        <v>415</v>
      </c>
      <c r="AR57" s="48"/>
      <c r="AT57" s="48"/>
      <c r="AU57" s="48"/>
      <c r="AV57" s="48"/>
      <c r="AW57" s="48"/>
      <c r="AX57" s="48"/>
      <c r="AY57" s="48"/>
      <c r="AZ57" s="48"/>
      <c r="BA57" s="48"/>
      <c r="BC57" s="48"/>
      <c r="BD57" s="48"/>
      <c r="BF57" s="91">
        <v>55</v>
      </c>
      <c r="BG57" s="61" t="str">
        <f t="shared" si="12"/>
        <v/>
      </c>
      <c r="BH57" s="61"/>
      <c r="BI57" s="61"/>
      <c r="BJ57" s="92"/>
      <c r="BK57" s="91">
        <v>55</v>
      </c>
      <c r="BL57" s="61">
        <f t="shared" si="0"/>
        <v>68.609411764705882</v>
      </c>
      <c r="BM57" s="90">
        <f>IFERROR(LARGE($X$3:$X$102,55),"")</f>
        <v>-46.311046568627461</v>
      </c>
      <c r="BN57" s="90">
        <f t="shared" si="6"/>
        <v>-46.311046568627461</v>
      </c>
      <c r="BO57" s="92">
        <f t="shared" si="7"/>
        <v>9</v>
      </c>
      <c r="BP57" s="103">
        <v>55</v>
      </c>
      <c r="BQ57" s="61">
        <f t="shared" si="1"/>
        <v>102.24440804169771</v>
      </c>
      <c r="BR57" s="90">
        <f>IFERROR(LARGE($AL$3:$AL$102,55),"")</f>
        <v>-13.443303549267796</v>
      </c>
      <c r="BS57" s="90">
        <f t="shared" si="8"/>
        <v>-5.4038830975428169</v>
      </c>
      <c r="BT57" s="92">
        <f t="shared" si="9"/>
        <v>6</v>
      </c>
      <c r="BU57" s="91">
        <v>55</v>
      </c>
      <c r="BV57" s="61" t="str">
        <f t="shared" si="2"/>
        <v/>
      </c>
      <c r="BW57" s="90"/>
      <c r="BX57" s="90"/>
      <c r="BY57" s="105">
        <f>IFERROR(VALUE(RIGHT(INDEX(ECR!$E:$E,MATCH(P57,ECR!$C:$C,0)),LEN(INDEX(ECR!$E:$E,MATCH(P57,ECR!$C:$C,0)))-2)),"")</f>
        <v>55</v>
      </c>
      <c r="BZ57" s="90"/>
      <c r="CA57" s="90"/>
      <c r="CB57" s="90"/>
      <c r="CC57" s="90"/>
      <c r="CD57" s="90"/>
      <c r="CE57" s="90"/>
      <c r="CF57" s="90"/>
      <c r="CG57" s="90"/>
    </row>
    <row r="58" spans="1:85" s="62" customFormat="1" ht="14.25" customHeight="1" x14ac:dyDescent="0.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M58" s="48"/>
      <c r="O58" s="45" t="s">
        <v>249</v>
      </c>
      <c r="P58" s="56" t="str">
        <f>VLOOKUP(O58,ECR!E:L,8,FALSE())</f>
        <v>Brian Robinson Jr.</v>
      </c>
      <c r="Q58" s="46" t="str">
        <f>IFERROR(VLOOKUP(Table4[[#This Row],[PLAYER]],ECR!C:F,2,FALSE()),"-")</f>
        <v>ATL</v>
      </c>
      <c r="R58" s="46">
        <f>IFERROR(VLOOKUP(Table4[[#This Row],[PLAYER]],ECR!C:F,4,FALSE()),"-")</f>
        <v>11</v>
      </c>
      <c r="S58" s="46" t="str">
        <f>Table4[[#This Row],[Team]] &amp; "/" &amp; Table4[[#This Row],[Bye]]</f>
        <v>ATL/11</v>
      </c>
      <c r="T58" s="57">
        <f>IFERROR(VLOOKUP(Table4[[#This Row],[PLAYER]],RB!A:Q,13,FALSE())/17*(17-Table4[[#This Row],[Missed Games]]),0)</f>
        <v>54.064705882352946</v>
      </c>
      <c r="U58" s="57">
        <f>IFERROR(VLOOKUP(Table4[[#This Row],[PLAYER]],RB!A:Q,14,FALSE())/17*(17-Table4[[#This Row],[Missed Games]]),0)</f>
        <v>63.187647058823529</v>
      </c>
      <c r="V58" s="57">
        <f>IFERROR(VLOOKUP(Table4[[#This Row],[PLAYER]],RB!A:Q,15,FALSE())/17*(17-Table4[[#This Row],[Missed Games]]),0)</f>
        <v>69.779411764705884</v>
      </c>
      <c r="W58" s="58">
        <f>AVERAGE(AVERAGE(Table4[[#This Row],[LOW]],Table4[[#This Row],[HIGH]]),Table4[[#This Row],[AVG]],VLOOKUP(Table4[[#This Row],[PLAYER]],ECR!L:N,3,FALSE))</f>
        <v>64.201993725490198</v>
      </c>
      <c r="X58" s="58">
        <f>Table4[[#This Row],[Zscore Projection]]-$Q$1</f>
        <v>-49.952484215686269</v>
      </c>
      <c r="Y58" s="59">
        <f>MAX(Table4[[#This Row],[VBD]]*Scoring!$B$48+1,1)</f>
        <v>1</v>
      </c>
      <c r="Z58" s="45">
        <f>VLOOKUP(Table4[[#This Row],[VBD]],BM:BO,3,FALSE)</f>
        <v>9</v>
      </c>
      <c r="AA58" s="60">
        <f>VLOOKUP(INDEX(ECR!$E:$E,MATCH(P58,ECR!$C:$C,0)),RISK!A:B,2,FALSE())</f>
        <v>4</v>
      </c>
      <c r="AB58" s="61"/>
      <c r="AC58" s="46" t="s">
        <v>212</v>
      </c>
      <c r="AD58" s="46" t="str">
        <f>VLOOKUP(AC58,ECR!E:L,8,FALSE())</f>
        <v>Jordyn Tyson</v>
      </c>
      <c r="AE58" s="46" t="str">
        <f>IFERROR(VLOOKUP(Table6[[#This Row],[PLAYER]],ECR!C:F,2,FALSE()),"-")</f>
        <v>NO</v>
      </c>
      <c r="AF58" s="46">
        <f>IFERROR(VLOOKUP(Table6[[#This Row],[PLAYER]],ECR!C:F,4,FALSE()),"-")</f>
        <v>8</v>
      </c>
      <c r="AG58" s="46" t="str">
        <f>Table6[[#This Row],[Team]] &amp; "/" &amp; Table6[[#This Row],[Bye]]</f>
        <v>NO/8</v>
      </c>
      <c r="AH58" s="57">
        <f>IFERROR(VLOOKUP(Table6[[#This Row],[PLAYER]],WR!A:Q,13,FALSE())/17*(17-Table6[[#This Row],[Missed Games]]),0)</f>
        <v>86.992228443782594</v>
      </c>
      <c r="AI58" s="57">
        <f>IFERROR(VLOOKUP(Table6[[#This Row],[PLAYER]],WR!A:Q,14,FALSE())/17*(17-Table6[[#This Row],[Missed Games]]),0)</f>
        <v>94.132935815338797</v>
      </c>
      <c r="AJ58" s="57">
        <f>IFERROR(VLOOKUP(Table6[[#This Row],[PLAYER]],WR!A:Q,15,FALSE())/17*(17-Table6[[#This Row],[Missed Games]]),0)</f>
        <v>100.81719493670887</v>
      </c>
      <c r="AK58" s="58">
        <f>AVERAGE(AVERAGE(Table6[[#This Row],[LOW]],Table6[[#This Row],[HIGH]]),Table6[[#This Row],[AVG]],VLOOKUP(Table6[[#This Row],[PLAYER]],ECR!L:N,3,FALSE))</f>
        <v>96.146929908165816</v>
      </c>
      <c r="AL58" s="58">
        <f>Table6[[#This Row],[Zscore Projection]]-$AE$1</f>
        <v>-18.556968081409764</v>
      </c>
      <c r="AM58" s="59">
        <f>MAX(Table6[[#This Row],[VBD]]*Scoring!$B$48+1,1)</f>
        <v>1</v>
      </c>
      <c r="AN58" s="45">
        <f>VLOOKUP(Table6[[#This Row],[VBD]],BR:BT,3,FALSE)</f>
        <v>6</v>
      </c>
      <c r="AO58" s="60">
        <f>VLOOKUP(INDEX(ECR!$E:$E,MATCH(AD58,ECR!$C:$C,0)),RISK!A:B,2,FALSE())</f>
        <v>3.848101265822784</v>
      </c>
      <c r="AP58" s="61"/>
      <c r="AQ58" s="47" t="s">
        <v>416</v>
      </c>
      <c r="AR58" s="48"/>
      <c r="AT58" s="48"/>
      <c r="AU58" s="48"/>
      <c r="AV58" s="48"/>
      <c r="AW58" s="48"/>
      <c r="AX58" s="48"/>
      <c r="AY58" s="48"/>
      <c r="AZ58" s="48"/>
      <c r="BA58" s="48"/>
      <c r="BC58" s="48"/>
      <c r="BD58" s="48"/>
      <c r="BF58" s="91">
        <v>56</v>
      </c>
      <c r="BG58" s="61" t="str">
        <f t="shared" si="12"/>
        <v/>
      </c>
      <c r="BH58" s="61"/>
      <c r="BI58" s="61"/>
      <c r="BJ58" s="92"/>
      <c r="BK58" s="91">
        <v>56</v>
      </c>
      <c r="BL58" s="61">
        <f t="shared" si="0"/>
        <v>67.496275294117638</v>
      </c>
      <c r="BM58" s="90">
        <f>IFERROR(LARGE($X$3:$X$102,56),"")</f>
        <v>-48.117302450980389</v>
      </c>
      <c r="BN58" s="90">
        <f t="shared" si="6"/>
        <v>-46.311046568627461</v>
      </c>
      <c r="BO58" s="92">
        <f t="shared" si="7"/>
        <v>9</v>
      </c>
      <c r="BP58" s="103">
        <v>56</v>
      </c>
      <c r="BQ58" s="61">
        <f t="shared" si="1"/>
        <v>100.4031422189129</v>
      </c>
      <c r="BR58" s="90">
        <f>IFERROR(LARGE($AL$3:$AL$102,56),"")</f>
        <v>-13.538719285182424</v>
      </c>
      <c r="BS58" s="90">
        <f t="shared" si="8"/>
        <v>-5.4038830975428169</v>
      </c>
      <c r="BT58" s="92">
        <f t="shared" si="9"/>
        <v>6</v>
      </c>
      <c r="BU58" s="91">
        <v>56</v>
      </c>
      <c r="BV58" s="61" t="str">
        <f t="shared" si="2"/>
        <v/>
      </c>
      <c r="BW58" s="90"/>
      <c r="BX58" s="90"/>
      <c r="BY58" s="105">
        <f>IFERROR(VALUE(RIGHT(INDEX(ECR!$E:$E,MATCH(P58,ECR!$C:$C,0)),LEN(INDEX(ECR!$E:$E,MATCH(P58,ECR!$C:$C,0)))-2)),"")</f>
        <v>56</v>
      </c>
      <c r="BZ58" s="90"/>
      <c r="CA58" s="90"/>
      <c r="CB58" s="90"/>
      <c r="CC58" s="90"/>
      <c r="CD58" s="90"/>
      <c r="CE58" s="90"/>
      <c r="CF58" s="90"/>
      <c r="CG58" s="90"/>
    </row>
    <row r="59" spans="1:85" s="62" customFormat="1" ht="14.25" customHeight="1" x14ac:dyDescent="0.3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M59" s="48"/>
      <c r="O59" s="45" t="s">
        <v>296</v>
      </c>
      <c r="P59" s="56" t="str">
        <f>VLOOKUP(O59,ECR!E:L,8,FALSE())</f>
        <v>Josh Jacobs</v>
      </c>
      <c r="Q59" s="46" t="str">
        <f>IFERROR(VLOOKUP(Table4[[#This Row],[PLAYER]],ECR!C:F,2,FALSE()),"-")</f>
        <v>GB</v>
      </c>
      <c r="R59" s="46">
        <f>IFERROR(VLOOKUP(Table4[[#This Row],[PLAYER]],ECR!C:F,4,FALSE()),"-")</f>
        <v>11</v>
      </c>
      <c r="S59" s="46" t="str">
        <f>Table4[[#This Row],[Team]] &amp; "/" &amp; Table4[[#This Row],[Bye]]</f>
        <v>GB/11</v>
      </c>
      <c r="T59" s="57">
        <f>IFERROR(VLOOKUP(Table4[[#This Row],[PLAYER]],RB!A:Q,13,FALSE())/17*(17-Table4[[#This Row],[Missed Games]]),0)</f>
        <v>75.094117647058809</v>
      </c>
      <c r="U59" s="57">
        <f>IFERROR(VLOOKUP(Table4[[#This Row],[PLAYER]],RB!A:Q,14,FALSE())/17*(17-Table4[[#This Row],[Missed Games]]),0)</f>
        <v>96.918823529411767</v>
      </c>
      <c r="V59" s="57">
        <f>IFERROR(VLOOKUP(Table4[[#This Row],[PLAYER]],RB!A:Q,15,FALSE())/17*(17-Table4[[#This Row],[Missed Games]]),0)</f>
        <v>116.40352941176469</v>
      </c>
      <c r="W59" s="58">
        <f>AVERAGE(AVERAGE(Table4[[#This Row],[LOW]],Table4[[#This Row],[HIGH]]),Table4[[#This Row],[AVG]],VLOOKUP(Table4[[#This Row],[PLAYER]],ECR!L:N,3,FALSE))</f>
        <v>86.511176470588239</v>
      </c>
      <c r="X59" s="58">
        <f>Table4[[#This Row],[Zscore Projection]]-$Q$1</f>
        <v>-27.643301470588227</v>
      </c>
      <c r="Y59" s="59">
        <f>MAX(Table4[[#This Row],[VBD]]*Scoring!$B$48+1,1)</f>
        <v>1</v>
      </c>
      <c r="Z59" s="45">
        <f>VLOOKUP(Table4[[#This Row],[VBD]],BM:BO,3,FALSE)</f>
        <v>8</v>
      </c>
      <c r="AA59" s="60">
        <f>VLOOKUP(INDEX(ECR!$E:$E,MATCH(P59,ECR!$C:$C,0)),RISK!A:B,2,FALSE())</f>
        <v>4</v>
      </c>
      <c r="AB59" s="61"/>
      <c r="AC59" s="46" t="s">
        <v>216</v>
      </c>
      <c r="AD59" s="46" t="str">
        <f>VLOOKUP(AC59,ECR!E:L,8,FALSE())</f>
        <v>Rashid Shaheed</v>
      </c>
      <c r="AE59" s="46" t="str">
        <f>IFERROR(VLOOKUP(Table6[[#This Row],[PLAYER]],ECR!C:F,2,FALSE()),"-")</f>
        <v>SEA</v>
      </c>
      <c r="AF59" s="46">
        <f>IFERROR(VLOOKUP(Table6[[#This Row],[PLAYER]],ECR!C:F,4,FALSE()),"-")</f>
        <v>11</v>
      </c>
      <c r="AG59" s="46" t="str">
        <f>Table6[[#This Row],[Team]] &amp; "/" &amp; Table6[[#This Row],[Bye]]</f>
        <v>SEA/11</v>
      </c>
      <c r="AH59" s="57">
        <f>IFERROR(VLOOKUP(Table6[[#This Row],[PLAYER]],WR!A:Q,13,FALSE())/17*(17-Table6[[#This Row],[Missed Games]]),0)</f>
        <v>87.970729709605365</v>
      </c>
      <c r="AI59" s="57">
        <f>IFERROR(VLOOKUP(Table6[[#This Row],[PLAYER]],WR!A:Q,14,FALSE())/17*(17-Table6[[#This Row],[Missed Games]]),0)</f>
        <v>102.24440804169771</v>
      </c>
      <c r="AJ59" s="57">
        <f>IFERROR(VLOOKUP(Table6[[#This Row],[PLAYER]],WR!A:Q,15,FALSE())/17*(17-Table6[[#This Row],[Missed Games]]),0)</f>
        <v>115.58198064035743</v>
      </c>
      <c r="AK59" s="58">
        <f>AVERAGE(AVERAGE(Table6[[#This Row],[LOW]],Table6[[#This Row],[HIGH]]),Table6[[#This Row],[AVG]],VLOOKUP(Table6[[#This Row],[PLAYER]],ECR!L:N,3,FALSE))</f>
        <v>101.26059444030778</v>
      </c>
      <c r="AL59" s="58">
        <f>Table6[[#This Row],[Zscore Projection]]-$AE$1</f>
        <v>-13.443303549267796</v>
      </c>
      <c r="AM59" s="59">
        <f>MAX(Table6[[#This Row],[VBD]]*Scoring!$B$48+1,1)</f>
        <v>1</v>
      </c>
      <c r="AN59" s="45">
        <f>VLOOKUP(Table6[[#This Row],[VBD]],BR:BT,3,FALSE)</f>
        <v>6</v>
      </c>
      <c r="AO59" s="60">
        <f>VLOOKUP(INDEX(ECR!$E:$E,MATCH(AD59,ECR!$C:$C,0)),RISK!A:B,2,FALSE())</f>
        <v>3.848101265822784</v>
      </c>
      <c r="AP59" s="61"/>
      <c r="AQ59" s="47" t="s">
        <v>417</v>
      </c>
      <c r="AR59" s="48"/>
      <c r="AT59" s="48"/>
      <c r="AU59" s="48"/>
      <c r="AV59" s="48"/>
      <c r="AW59" s="48"/>
      <c r="AX59" s="48"/>
      <c r="AY59" s="48"/>
      <c r="AZ59" s="48"/>
      <c r="BA59" s="48"/>
      <c r="BC59" s="48"/>
      <c r="BD59" s="48"/>
      <c r="BF59" s="91">
        <v>57</v>
      </c>
      <c r="BG59" s="61" t="str">
        <f t="shared" si="12"/>
        <v/>
      </c>
      <c r="BH59" s="90"/>
      <c r="BI59" s="90"/>
      <c r="BJ59" s="105"/>
      <c r="BK59" s="91">
        <v>57</v>
      </c>
      <c r="BL59" s="61">
        <f t="shared" si="0"/>
        <v>66.865882352941199</v>
      </c>
      <c r="BM59" s="90">
        <f>IFERROR(LARGE($X$3:$X$102,57),"")</f>
        <v>-48.588786107843134</v>
      </c>
      <c r="BN59" s="90">
        <f t="shared" si="6"/>
        <v>-46.311046568627461</v>
      </c>
      <c r="BO59" s="92">
        <f t="shared" si="7"/>
        <v>9</v>
      </c>
      <c r="BP59" s="103">
        <v>57</v>
      </c>
      <c r="BQ59" s="61">
        <f t="shared" si="1"/>
        <v>99.761020104244238</v>
      </c>
      <c r="BR59" s="90">
        <f>IFERROR(LARGE($AL$3:$AL$102,57),"")</f>
        <v>-14.33814842392654</v>
      </c>
      <c r="BS59" s="90">
        <f t="shared" si="8"/>
        <v>-5.4038830975428169</v>
      </c>
      <c r="BT59" s="92">
        <f t="shared" si="9"/>
        <v>6</v>
      </c>
      <c r="BU59" s="91">
        <v>57</v>
      </c>
      <c r="BV59" s="61" t="str">
        <f t="shared" si="2"/>
        <v/>
      </c>
      <c r="BW59" s="90"/>
      <c r="BX59" s="90"/>
      <c r="BY59" s="105">
        <f>IFERROR(VALUE(RIGHT(INDEX(ECR!$E:$E,MATCH(P59,ECR!$C:$C,0)),LEN(INDEX(ECR!$E:$E,MATCH(P59,ECR!$C:$C,0)))-2)),"")</f>
        <v>57</v>
      </c>
      <c r="BZ59" s="90"/>
      <c r="CA59" s="90"/>
      <c r="CB59" s="90"/>
      <c r="CC59" s="90"/>
      <c r="CD59" s="90"/>
      <c r="CE59" s="90"/>
      <c r="CF59" s="90"/>
      <c r="CG59" s="90"/>
    </row>
    <row r="60" spans="1:85" s="62" customFormat="1" ht="14.25" customHeight="1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M60" s="48"/>
      <c r="O60" s="45" t="s">
        <v>318</v>
      </c>
      <c r="P60" s="56" t="str">
        <f>VLOOKUP(O60,ECR!E:L,8,FALSE())</f>
        <v>Ray Davis</v>
      </c>
      <c r="Q60" s="46" t="str">
        <f>IFERROR(VLOOKUP(Table4[[#This Row],[PLAYER]],ECR!C:F,2,FALSE()),"-")</f>
        <v>BUF</v>
      </c>
      <c r="R60" s="46">
        <f>IFERROR(VLOOKUP(Table4[[#This Row],[PLAYER]],ECR!C:F,4,FALSE()),"-")</f>
        <v>7</v>
      </c>
      <c r="S60" s="46" t="str">
        <f>Table4[[#This Row],[Team]] &amp; "/" &amp; Table4[[#This Row],[Bye]]</f>
        <v>BUF/7</v>
      </c>
      <c r="T60" s="57">
        <f>IFERROR(VLOOKUP(Table4[[#This Row],[PLAYER]],RB!A:Q,13,FALSE())/17*(17-Table4[[#This Row],[Missed Games]]),0)</f>
        <v>24.722941176470592</v>
      </c>
      <c r="U60" s="57">
        <f>IFERROR(VLOOKUP(Table4[[#This Row],[PLAYER]],RB!A:Q,14,FALSE())/17*(17-Table4[[#This Row],[Missed Games]]),0)</f>
        <v>24.722941176470592</v>
      </c>
      <c r="V60" s="57">
        <f>IFERROR(VLOOKUP(Table4[[#This Row],[PLAYER]],RB!A:Q,15,FALSE())/17*(17-Table4[[#This Row],[Missed Games]]),0)</f>
        <v>24.722941176470592</v>
      </c>
      <c r="W60" s="58">
        <f>AVERAGE(AVERAGE(Table4[[#This Row],[LOW]],Table4[[#This Row],[HIGH]]),Table4[[#This Row],[AVG]],VLOOKUP(Table4[[#This Row],[PLAYER]],ECR!L:N,3,FALSE))</f>
        <v>38.500388784313721</v>
      </c>
      <c r="X60" s="58">
        <f>Table4[[#This Row],[Zscore Projection]]-$Q$1</f>
        <v>-75.654089156862739</v>
      </c>
      <c r="Y60" s="59">
        <f>MAX(Table4[[#This Row],[VBD]]*Scoring!$B$48+1,1)</f>
        <v>1</v>
      </c>
      <c r="Z60" s="45">
        <f>VLOOKUP(Table4[[#This Row],[VBD]],BM:BO,3,FALSE)</f>
        <v>10</v>
      </c>
      <c r="AA60" s="60">
        <f>VLOOKUP(INDEX(ECR!$E:$E,MATCH(P60,ECR!$C:$C,0)),RISK!A:B,2,FALSE())</f>
        <v>4</v>
      </c>
      <c r="AB60" s="61"/>
      <c r="AC60" s="46" t="s">
        <v>231</v>
      </c>
      <c r="AD60" s="46" t="str">
        <f>VLOOKUP(AC60,ECR!E:L,8,FALSE())</f>
        <v>Denzel Boston</v>
      </c>
      <c r="AE60" s="46" t="str">
        <f>IFERROR(VLOOKUP(Table6[[#This Row],[PLAYER]],ECR!C:F,2,FALSE()),"-")</f>
        <v>CLE</v>
      </c>
      <c r="AF60" s="46">
        <f>IFERROR(VLOOKUP(Table6[[#This Row],[PLAYER]],ECR!C:F,4,FALSE()),"-")</f>
        <v>11</v>
      </c>
      <c r="AG60" s="46" t="str">
        <f>Table6[[#This Row],[Team]] &amp; "/" &amp; Table6[[#This Row],[Bye]]</f>
        <v>CLE/11</v>
      </c>
      <c r="AH60" s="57">
        <f>IFERROR(VLOOKUP(Table6[[#This Row],[PLAYER]],WR!A:Q,13,FALSE())/17*(17-Table6[[#This Row],[Missed Games]]),0)</f>
        <v>103.6038501861504</v>
      </c>
      <c r="AI60" s="57">
        <f>IFERROR(VLOOKUP(Table6[[#This Row],[PLAYER]],WR!A:Q,14,FALSE())/17*(17-Table6[[#This Row],[Missed Games]]),0)</f>
        <v>112.29183976172749</v>
      </c>
      <c r="AJ60" s="57">
        <f>IFERROR(VLOOKUP(Table6[[#This Row],[PLAYER]],WR!A:Q,15,FALSE())/17*(17-Table6[[#This Row],[Missed Games]]),0)</f>
        <v>120.98756574832467</v>
      </c>
      <c r="AK60" s="58">
        <f>AVERAGE(AVERAGE(Table6[[#This Row],[LOW]],Table6[[#This Row],[HIGH]]),Table6[[#This Row],[AVG]],VLOOKUP(Table6[[#This Row],[PLAYER]],ECR!L:N,3,FALSE))</f>
        <v>107.64684700918343</v>
      </c>
      <c r="AL60" s="58">
        <f>Table6[[#This Row],[Zscore Projection]]-$AE$1</f>
        <v>-7.0570509803921482</v>
      </c>
      <c r="AM60" s="59">
        <f>MAX(Table6[[#This Row],[VBD]]*Scoring!$B$48+1,1)</f>
        <v>1</v>
      </c>
      <c r="AN60" s="45">
        <f>VLOOKUP(Table6[[#This Row],[VBD]],BR:BT,3,FALSE)</f>
        <v>6</v>
      </c>
      <c r="AO60" s="60">
        <f>VLOOKUP(INDEX(ECR!$E:$E,MATCH(AD60,ECR!$C:$C,0)),RISK!A:B,2,FALSE())</f>
        <v>3.848101265822784</v>
      </c>
      <c r="AP60" s="61"/>
      <c r="AQ60" s="47" t="s">
        <v>418</v>
      </c>
      <c r="AR60" s="48"/>
      <c r="AT60" s="48"/>
      <c r="AU60" s="48"/>
      <c r="AV60" s="48"/>
      <c r="AW60" s="48"/>
      <c r="AX60" s="48"/>
      <c r="AY60" s="48"/>
      <c r="AZ60" s="48"/>
      <c r="BA60" s="48"/>
      <c r="BC60" s="48"/>
      <c r="BD60" s="48"/>
      <c r="BF60" s="91">
        <v>58</v>
      </c>
      <c r="BG60" s="61" t="str">
        <f t="shared" si="12"/>
        <v/>
      </c>
      <c r="BH60" s="90"/>
      <c r="BI60" s="90"/>
      <c r="BJ60" s="105"/>
      <c r="BK60" s="91">
        <v>58</v>
      </c>
      <c r="BL60" s="61">
        <f t="shared" si="0"/>
        <v>66.055283999999986</v>
      </c>
      <c r="BM60" s="90">
        <f>IFERROR(LARGE($X$3:$X$102,58),"")</f>
        <v>-49.952484215686269</v>
      </c>
      <c r="BN60" s="90">
        <f t="shared" si="6"/>
        <v>-46.311046568627461</v>
      </c>
      <c r="BO60" s="92">
        <f t="shared" si="7"/>
        <v>9</v>
      </c>
      <c r="BP60" s="103">
        <v>58</v>
      </c>
      <c r="BQ60" s="61">
        <f t="shared" si="1"/>
        <v>98.352993298585261</v>
      </c>
      <c r="BR60" s="90">
        <f>IFERROR(LARGE($AL$3:$AL$102,58),"")</f>
        <v>-18.088141573591471</v>
      </c>
      <c r="BS60" s="90">
        <f t="shared" si="8"/>
        <v>-5.4038830975428169</v>
      </c>
      <c r="BT60" s="92">
        <f t="shared" si="9"/>
        <v>6</v>
      </c>
      <c r="BU60" s="91">
        <v>58</v>
      </c>
      <c r="BV60" s="61" t="str">
        <f t="shared" si="2"/>
        <v/>
      </c>
      <c r="BW60" s="90"/>
      <c r="BX60" s="90"/>
      <c r="BY60" s="105">
        <f>IFERROR(VALUE(RIGHT(INDEX(ECR!$E:$E,MATCH(P60,ECR!$C:$C,0)),LEN(INDEX(ECR!$E:$E,MATCH(P60,ECR!$C:$C,0)))-2)),"")</f>
        <v>58</v>
      </c>
      <c r="BZ60" s="90"/>
      <c r="CA60" s="90"/>
      <c r="CB60" s="90"/>
      <c r="CC60" s="90"/>
      <c r="CD60" s="90"/>
      <c r="CE60" s="90"/>
      <c r="CF60" s="90"/>
      <c r="CG60" s="90"/>
    </row>
    <row r="61" spans="1:85" s="62" customFormat="1" ht="14.25" customHeight="1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M61" s="48"/>
      <c r="O61" s="45" t="s">
        <v>238</v>
      </c>
      <c r="P61" s="56" t="str">
        <f>VLOOKUP(O61,ECR!E:L,8,FALSE())</f>
        <v>Kimani Vidal</v>
      </c>
      <c r="Q61" s="46" t="str">
        <f>IFERROR(VLOOKUP(Table4[[#This Row],[PLAYER]],ECR!C:F,2,FALSE()),"-")</f>
        <v>LAC</v>
      </c>
      <c r="R61" s="46">
        <f>IFERROR(VLOOKUP(Table4[[#This Row],[PLAYER]],ECR!C:F,4,FALSE()),"-")</f>
        <v>7</v>
      </c>
      <c r="S61" s="46" t="str">
        <f>Table4[[#This Row],[Team]] &amp; "/" &amp; Table4[[#This Row],[Bye]]</f>
        <v>LAC/7</v>
      </c>
      <c r="T61" s="57">
        <f>IFERROR(VLOOKUP(Table4[[#This Row],[PLAYER]],RB!A:Q,13,FALSE())/17*(17-Table4[[#This Row],[Missed Games]]),0)</f>
        <v>24.807058823529413</v>
      </c>
      <c r="U61" s="57">
        <f>IFERROR(VLOOKUP(Table4[[#This Row],[PLAYER]],RB!A:Q,14,FALSE())/17*(17-Table4[[#This Row],[Missed Games]]),0)</f>
        <v>40.888823529411759</v>
      </c>
      <c r="V61" s="57">
        <f>IFERROR(VLOOKUP(Table4[[#This Row],[PLAYER]],RB!A:Q,15,FALSE())/17*(17-Table4[[#This Row],[Missed Games]]),0)</f>
        <v>56.511764705882356</v>
      </c>
      <c r="W61" s="58">
        <f>AVERAGE(AVERAGE(Table4[[#This Row],[LOW]],Table4[[#This Row],[HIGH]]),Table4[[#This Row],[AVG]],VLOOKUP(Table4[[#This Row],[PLAYER]],ECR!L:N,3,FALSE))</f>
        <v>48.456862745098043</v>
      </c>
      <c r="X61" s="58">
        <f>Table4[[#This Row],[Zscore Projection]]-$Q$1</f>
        <v>-65.697615196078431</v>
      </c>
      <c r="Y61" s="59">
        <f>MAX(Table4[[#This Row],[VBD]]*Scoring!$B$48+1,1)</f>
        <v>1</v>
      </c>
      <c r="Z61" s="45">
        <f>VLOOKUP(Table4[[#This Row],[VBD]],BM:BO,3,FALSE)</f>
        <v>9</v>
      </c>
      <c r="AA61" s="60">
        <f>VLOOKUP(INDEX(ECR!$E:$E,MATCH(P61,ECR!$C:$C,0)),RISK!A:B,2,FALSE())</f>
        <v>4</v>
      </c>
      <c r="AB61" s="61"/>
      <c r="AC61" s="46" t="s">
        <v>269</v>
      </c>
      <c r="AD61" s="46" t="str">
        <f>VLOOKUP(AC61,ECR!E:L,8,FALSE())</f>
        <v>Tre Tucker</v>
      </c>
      <c r="AE61" s="46" t="str">
        <f>IFERROR(VLOOKUP(Table6[[#This Row],[PLAYER]],ECR!C:F,2,FALSE()),"-")</f>
        <v>LV</v>
      </c>
      <c r="AF61" s="46">
        <f>IFERROR(VLOOKUP(Table6[[#This Row],[PLAYER]],ECR!C:F,4,FALSE()),"-")</f>
        <v>13</v>
      </c>
      <c r="AG61" s="46" t="str">
        <f>Table6[[#This Row],[Team]] &amp; "/" &amp; Table6[[#This Row],[Bye]]</f>
        <v>LV/13</v>
      </c>
      <c r="AH61" s="57">
        <f>IFERROR(VLOOKUP(Table6[[#This Row],[PLAYER]],WR!A:Q,13,FALSE())/17*(17-Table6[[#This Row],[Missed Games]]),0)</f>
        <v>80.652084884586756</v>
      </c>
      <c r="AI61" s="57">
        <f>IFERROR(VLOOKUP(Table6[[#This Row],[PLAYER]],WR!A:Q,14,FALSE())/17*(17-Table6[[#This Row],[Missed Games]]),0)</f>
        <v>90.941511541325383</v>
      </c>
      <c r="AJ61" s="57">
        <f>IFERROR(VLOOKUP(Table6[[#This Row],[PLAYER]],WR!A:Q,15,FALSE())/17*(17-Table6[[#This Row],[Missed Games]]),0)</f>
        <v>100.10142218912884</v>
      </c>
      <c r="AK61" s="58">
        <f>AVERAGE(AVERAGE(Table6[[#This Row],[LOW]],Table6[[#This Row],[HIGH]]),Table6[[#This Row],[AVG]],VLOOKUP(Table6[[#This Row],[PLAYER]],ECR!L:N,3,FALSE))</f>
        <v>92.994239265326385</v>
      </c>
      <c r="AL61" s="58">
        <f>Table6[[#This Row],[Zscore Projection]]-$AE$1</f>
        <v>-21.709658724249195</v>
      </c>
      <c r="AM61" s="59">
        <f>MAX(Table6[[#This Row],[VBD]]*Scoring!$B$48+1,1)</f>
        <v>1</v>
      </c>
      <c r="AN61" s="45">
        <f>VLOOKUP(Table6[[#This Row],[VBD]],BR:BT,3,FALSE)</f>
        <v>6</v>
      </c>
      <c r="AO61" s="60">
        <f>VLOOKUP(INDEX(ECR!$E:$E,MATCH(AD61,ECR!$C:$C,0)),RISK!A:B,2,FALSE())</f>
        <v>3.848101265822784</v>
      </c>
      <c r="AP61" s="61"/>
      <c r="AQ61" s="47" t="s">
        <v>419</v>
      </c>
      <c r="AR61" s="48"/>
      <c r="AT61" s="48"/>
      <c r="AU61" s="48"/>
      <c r="AV61" s="48"/>
      <c r="AW61" s="48"/>
      <c r="AX61" s="48"/>
      <c r="AY61" s="48"/>
      <c r="AZ61" s="48"/>
      <c r="BA61" s="48"/>
      <c r="BC61" s="48"/>
      <c r="BD61" s="48"/>
      <c r="BF61" s="91">
        <v>59</v>
      </c>
      <c r="BG61" s="61" t="str">
        <f t="shared" si="12"/>
        <v/>
      </c>
      <c r="BH61" s="90"/>
      <c r="BI61" s="90"/>
      <c r="BJ61" s="105"/>
      <c r="BK61" s="91">
        <v>59</v>
      </c>
      <c r="BL61" s="61">
        <f t="shared" si="0"/>
        <v>63.822352941176469</v>
      </c>
      <c r="BM61" s="90">
        <f>IFERROR(LARGE($X$3:$X$102,59),"")</f>
        <v>-53.128134411764698</v>
      </c>
      <c r="BN61" s="90">
        <f t="shared" si="6"/>
        <v>-46.311046568627461</v>
      </c>
      <c r="BO61" s="92">
        <f t="shared" si="7"/>
        <v>9</v>
      </c>
      <c r="BP61" s="103">
        <v>59</v>
      </c>
      <c r="BQ61" s="61">
        <f t="shared" si="1"/>
        <v>97.664452717795982</v>
      </c>
      <c r="BR61" s="90">
        <f>IFERROR(LARGE($AL$3:$AL$102,59),"")</f>
        <v>-18.556968081409764</v>
      </c>
      <c r="BS61" s="90">
        <f t="shared" si="8"/>
        <v>-5.4038830975428169</v>
      </c>
      <c r="BT61" s="92">
        <f t="shared" si="9"/>
        <v>6</v>
      </c>
      <c r="BU61" s="91">
        <v>59</v>
      </c>
      <c r="BV61" s="61" t="str">
        <f t="shared" si="2"/>
        <v/>
      </c>
      <c r="BW61" s="90"/>
      <c r="BX61" s="90"/>
      <c r="BY61" s="105">
        <f>IFERROR(VALUE(RIGHT(INDEX(ECR!$E:$E,MATCH(P61,ECR!$C:$C,0)),LEN(INDEX(ECR!$E:$E,MATCH(P61,ECR!$C:$C,0)))-2)),"")</f>
        <v>59</v>
      </c>
      <c r="BZ61" s="90"/>
      <c r="CA61" s="90"/>
      <c r="CB61" s="90"/>
      <c r="CC61" s="90"/>
      <c r="CD61" s="90"/>
      <c r="CE61" s="90"/>
      <c r="CF61" s="90"/>
      <c r="CG61" s="90"/>
    </row>
    <row r="62" spans="1:85" s="62" customFormat="1" ht="14.25" customHeight="1" x14ac:dyDescent="0.3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M62" s="48"/>
      <c r="O62" s="45" t="s">
        <v>321</v>
      </c>
      <c r="P62" s="56" t="str">
        <f>VLOOKUP(O62,ECR!E:L,8,FALSE())</f>
        <v>Isiah Pacheco</v>
      </c>
      <c r="Q62" s="46" t="str">
        <f>IFERROR(VLOOKUP(Table4[[#This Row],[PLAYER]],ECR!C:F,2,FALSE()),"-")</f>
        <v>DET</v>
      </c>
      <c r="R62" s="46">
        <f>IFERROR(VLOOKUP(Table4[[#This Row],[PLAYER]],ECR!C:F,4,FALSE()),"-")</f>
        <v>6</v>
      </c>
      <c r="S62" s="46" t="str">
        <f>Table4[[#This Row],[Team]] &amp; "/" &amp; Table4[[#This Row],[Bye]]</f>
        <v>DET/6</v>
      </c>
      <c r="T62" s="57">
        <f>IFERROR(VLOOKUP(Table4[[#This Row],[PLAYER]],RB!A:Q,13,FALSE())/17*(17-Table4[[#This Row],[Missed Games]]),0)</f>
        <v>46.662352941176472</v>
      </c>
      <c r="U62" s="57">
        <f>IFERROR(VLOOKUP(Table4[[#This Row],[PLAYER]],RB!A:Q,14,FALSE())/17*(17-Table4[[#This Row],[Missed Games]]),0)</f>
        <v>57.75823529411764</v>
      </c>
      <c r="V62" s="57">
        <f>IFERROR(VLOOKUP(Table4[[#This Row],[PLAYER]],RB!A:Q,15,FALSE())/17*(17-Table4[[#This Row],[Missed Games]]),0)</f>
        <v>69.435294117647061</v>
      </c>
      <c r="W62" s="58">
        <f>AVERAGE(AVERAGE(Table4[[#This Row],[LOW]],Table4[[#This Row],[HIGH]]),Table4[[#This Row],[AVG]],VLOOKUP(Table4[[#This Row],[PLAYER]],ECR!L:N,3,FALSE))</f>
        <v>59.664901960784313</v>
      </c>
      <c r="X62" s="58">
        <f>Table4[[#This Row],[Zscore Projection]]-$Q$1</f>
        <v>-54.489575980392154</v>
      </c>
      <c r="Y62" s="59">
        <f>MAX(Table4[[#This Row],[VBD]]*Scoring!$B$48+1,1)</f>
        <v>1</v>
      </c>
      <c r="Z62" s="45">
        <f>VLOOKUP(Table4[[#This Row],[VBD]],BM:BO,3,FALSE)</f>
        <v>9</v>
      </c>
      <c r="AA62" s="60">
        <f>VLOOKUP(INDEX(ECR!$E:$E,MATCH(P62,ECR!$C:$C,0)),RISK!A:B,2,FALSE())</f>
        <v>4</v>
      </c>
      <c r="AB62" s="61"/>
      <c r="AC62" s="46" t="s">
        <v>244</v>
      </c>
      <c r="AD62" s="46" t="str">
        <f>VLOOKUP(AC62,ECR!E:L,8,FALSE())</f>
        <v>Adonai Mitchell</v>
      </c>
      <c r="AE62" s="46" t="str">
        <f>IFERROR(VLOOKUP(Table6[[#This Row],[PLAYER]],ECR!C:F,2,FALSE()),"-")</f>
        <v>NYJ</v>
      </c>
      <c r="AF62" s="46">
        <f>IFERROR(VLOOKUP(Table6[[#This Row],[PLAYER]],ECR!C:F,4,FALSE()),"-")</f>
        <v>13</v>
      </c>
      <c r="AG62" s="46" t="str">
        <f>Table6[[#This Row],[Team]] &amp; "/" &amp; Table6[[#This Row],[Bye]]</f>
        <v>NYJ/13</v>
      </c>
      <c r="AH62" s="57">
        <f>IFERROR(VLOOKUP(Table6[[#This Row],[PLAYER]],WR!A:Q,13,FALSE())/17*(17-Table6[[#This Row],[Missed Games]]),0)</f>
        <v>64.134847356664196</v>
      </c>
      <c r="AI62" s="57">
        <f>IFERROR(VLOOKUP(Table6[[#This Row],[PLAYER]],WR!A:Q,14,FALSE())/17*(17-Table6[[#This Row],[Missed Games]]),0)</f>
        <v>73.217393894266564</v>
      </c>
      <c r="AJ62" s="57">
        <f>IFERROR(VLOOKUP(Table6[[#This Row],[PLAYER]],WR!A:Q,15,FALSE())/17*(17-Table6[[#This Row],[Missed Games]]),0)</f>
        <v>82.14521221146687</v>
      </c>
      <c r="AK62" s="58">
        <f>AVERAGE(AVERAGE(Table6[[#This Row],[LOW]],Table6[[#This Row],[HIGH]]),Table6[[#This Row],[AVG]],VLOOKUP(Table6[[#This Row],[PLAYER]],ECR!L:N,3,FALSE))</f>
        <v>80.935753288657239</v>
      </c>
      <c r="AL62" s="58">
        <f>Table6[[#This Row],[Zscore Projection]]-$AE$1</f>
        <v>-33.768144700918342</v>
      </c>
      <c r="AM62" s="59">
        <f>MAX(Table6[[#This Row],[VBD]]*Scoring!$B$48+1,1)</f>
        <v>1</v>
      </c>
      <c r="AN62" s="45">
        <f>VLOOKUP(Table6[[#This Row],[VBD]],BR:BT,3,FALSE)</f>
        <v>7</v>
      </c>
      <c r="AO62" s="60">
        <f>VLOOKUP(INDEX(ECR!$E:$E,MATCH(AD62,ECR!$C:$C,0)),RISK!A:B,2,FALSE())</f>
        <v>3.848101265822784</v>
      </c>
      <c r="AP62" s="61"/>
      <c r="AQ62" s="47" t="s">
        <v>420</v>
      </c>
      <c r="AR62" s="48"/>
      <c r="AT62" s="48"/>
      <c r="AU62" s="48"/>
      <c r="AV62" s="48"/>
      <c r="AW62" s="48"/>
      <c r="AX62" s="48"/>
      <c r="AY62" s="48"/>
      <c r="AZ62" s="48"/>
      <c r="BA62" s="48"/>
      <c r="BC62" s="48"/>
      <c r="BD62" s="48"/>
      <c r="BF62" s="91">
        <v>60</v>
      </c>
      <c r="BG62" s="61" t="str">
        <f t="shared" si="12"/>
        <v/>
      </c>
      <c r="BH62" s="90"/>
      <c r="BI62" s="90"/>
      <c r="BJ62" s="105"/>
      <c r="BK62" s="91">
        <v>60</v>
      </c>
      <c r="BL62" s="61">
        <f t="shared" si="0"/>
        <v>63.187647058823529</v>
      </c>
      <c r="BM62" s="90">
        <f>IFERROR(LARGE($X$3:$X$102,60),"")</f>
        <v>-53.544363823529416</v>
      </c>
      <c r="BN62" s="90">
        <f t="shared" si="6"/>
        <v>-46.311046568627461</v>
      </c>
      <c r="BO62" s="92">
        <f t="shared" si="7"/>
        <v>9</v>
      </c>
      <c r="BP62" s="103">
        <v>60</v>
      </c>
      <c r="BQ62" s="61">
        <f t="shared" si="1"/>
        <v>96.449836187639619</v>
      </c>
      <c r="BR62" s="90">
        <f>IFERROR(LARGE($AL$3:$AL$102,60),"")</f>
        <v>-19.014499429138752</v>
      </c>
      <c r="BS62" s="90">
        <f t="shared" si="8"/>
        <v>-5.4038830975428169</v>
      </c>
      <c r="BT62" s="92">
        <f t="shared" si="9"/>
        <v>6</v>
      </c>
      <c r="BU62" s="91">
        <v>60</v>
      </c>
      <c r="BV62" s="61" t="str">
        <f t="shared" si="2"/>
        <v/>
      </c>
      <c r="BW62" s="90"/>
      <c r="BX62" s="90"/>
      <c r="BY62" s="105">
        <f>IFERROR(VALUE(RIGHT(INDEX(ECR!$E:$E,MATCH(P62,ECR!$C:$C,0)),LEN(INDEX(ECR!$E:$E,MATCH(P62,ECR!$C:$C,0)))-2)),"")</f>
        <v>60</v>
      </c>
      <c r="BZ62" s="90"/>
      <c r="CA62" s="90"/>
      <c r="CB62" s="90"/>
      <c r="CC62" s="90"/>
      <c r="CD62" s="90"/>
      <c r="CE62" s="90"/>
      <c r="CF62" s="90"/>
      <c r="CG62" s="90"/>
    </row>
    <row r="63" spans="1:85" s="62" customFormat="1" ht="14.25" customHeight="1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M63" s="48"/>
      <c r="O63" s="45" t="s">
        <v>292</v>
      </c>
      <c r="P63" s="56" t="str">
        <f>VLOOKUP(O63,ECR!E:L,8,FALSE())</f>
        <v>Malik Davis</v>
      </c>
      <c r="Q63" s="46" t="str">
        <f>IFERROR(VLOOKUP(Table4[[#This Row],[PLAYER]],ECR!C:F,2,FALSE()),"-")</f>
        <v>DAL</v>
      </c>
      <c r="R63" s="46">
        <f>IFERROR(VLOOKUP(Table4[[#This Row],[PLAYER]],ECR!C:F,4,FALSE()),"-")</f>
        <v>14</v>
      </c>
      <c r="S63" s="46" t="str">
        <f>Table4[[#This Row],[Team]] &amp; "/" &amp; Table4[[#This Row],[Bye]]</f>
        <v>DAL/14</v>
      </c>
      <c r="T63" s="57">
        <f>IFERROR(VLOOKUP(Table4[[#This Row],[PLAYER]],RB!A:Q,13,FALSE())/17*(17-Table4[[#This Row],[Missed Games]]),0)</f>
        <v>37.98294117647059</v>
      </c>
      <c r="U63" s="57">
        <f>IFERROR(VLOOKUP(Table4[[#This Row],[PLAYER]],RB!A:Q,14,FALSE())/17*(17-Table4[[#This Row],[Missed Games]]),0)</f>
        <v>54.921176470588243</v>
      </c>
      <c r="V63" s="57">
        <f>IFERROR(VLOOKUP(Table4[[#This Row],[PLAYER]],RB!A:Q,15,FALSE())/17*(17-Table4[[#This Row],[Missed Games]]),0)</f>
        <v>70.964705882352945</v>
      </c>
      <c r="W63" s="58">
        <f>AVERAGE(AVERAGE(Table4[[#This Row],[LOW]],Table4[[#This Row],[HIGH]]),Table4[[#This Row],[AVG]],VLOOKUP(Table4[[#This Row],[PLAYER]],ECR!L:N,3,FALSE))</f>
        <v>57.164770588235307</v>
      </c>
      <c r="X63" s="58">
        <f>Table4[[#This Row],[Zscore Projection]]-$Q$1</f>
        <v>-56.98970735294116</v>
      </c>
      <c r="Y63" s="59">
        <f>MAX(Table4[[#This Row],[VBD]]*Scoring!$B$48+1,1)</f>
        <v>1</v>
      </c>
      <c r="Z63" s="45">
        <f>VLOOKUP(Table4[[#This Row],[VBD]],BM:BO,3,FALSE)</f>
        <v>9</v>
      </c>
      <c r="AA63" s="60">
        <f>VLOOKUP(INDEX(ECR!$E:$E,MATCH(P63,ECR!$C:$C,0)),RISK!A:B,2,FALSE())</f>
        <v>4</v>
      </c>
      <c r="AB63" s="61"/>
      <c r="AC63" s="46" t="s">
        <v>254</v>
      </c>
      <c r="AD63" s="46" t="str">
        <f>VLOOKUP(AC63,ECR!E:L,8,FALSE())</f>
        <v>Kayshon Boutte</v>
      </c>
      <c r="AE63" s="46" t="str">
        <f>IFERROR(VLOOKUP(Table6[[#This Row],[PLAYER]],ECR!C:F,2,FALSE()),"-")</f>
        <v>HOU</v>
      </c>
      <c r="AF63" s="46">
        <f>IFERROR(VLOOKUP(Table6[[#This Row],[PLAYER]],ECR!C:F,4,FALSE()),"-")</f>
        <v>8</v>
      </c>
      <c r="AG63" s="46" t="str">
        <f>Table6[[#This Row],[Team]] &amp; "/" &amp; Table6[[#This Row],[Bye]]</f>
        <v>HOU/8</v>
      </c>
      <c r="AH63" s="57">
        <f>IFERROR(VLOOKUP(Table6[[#This Row],[PLAYER]],WR!A:Q,13,FALSE())/17*(17-Table6[[#This Row],[Missed Games]]),0)</f>
        <v>76.822561429635144</v>
      </c>
      <c r="AI63" s="57">
        <f>IFERROR(VLOOKUP(Table6[[#This Row],[PLAYER]],WR!A:Q,14,FALSE())/17*(17-Table6[[#This Row],[Missed Games]]),0)</f>
        <v>88.017148175725993</v>
      </c>
      <c r="AJ63" s="57">
        <f>IFERROR(VLOOKUP(Table6[[#This Row],[PLAYER]],WR!A:Q,15,FALSE())/17*(17-Table6[[#This Row],[Missed Games]]),0)</f>
        <v>99.173052866716304</v>
      </c>
      <c r="AK63" s="58">
        <f>AVERAGE(AVERAGE(Table6[[#This Row],[LOW]],Table6[[#This Row],[HIGH]]),Table6[[#This Row],[AVG]],VLOOKUP(Table6[[#This Row],[PLAYER]],ECR!L:N,3,FALSE))</f>
        <v>90.049297046413514</v>
      </c>
      <c r="AL63" s="58">
        <f>Table6[[#This Row],[Zscore Projection]]-$AE$1</f>
        <v>-24.654600943162066</v>
      </c>
      <c r="AM63" s="59">
        <f>MAX(Table6[[#This Row],[VBD]]*Scoring!$B$48+1,1)</f>
        <v>1</v>
      </c>
      <c r="AN63" s="45">
        <f>VLOOKUP(Table6[[#This Row],[VBD]],BR:BT,3,FALSE)</f>
        <v>6</v>
      </c>
      <c r="AO63" s="60">
        <f>VLOOKUP(INDEX(ECR!$E:$E,MATCH(AD63,ECR!$C:$C,0)),RISK!A:B,2,FALSE())</f>
        <v>3.848101265822784</v>
      </c>
      <c r="AP63" s="61"/>
      <c r="AQ63" s="47" t="s">
        <v>421</v>
      </c>
      <c r="AR63" s="48"/>
      <c r="AT63" s="48"/>
      <c r="AU63" s="48"/>
      <c r="AV63" s="48"/>
      <c r="AW63" s="48"/>
      <c r="AX63" s="48"/>
      <c r="AY63" s="48"/>
      <c r="AZ63" s="48"/>
      <c r="BA63" s="48"/>
      <c r="BC63" s="48"/>
      <c r="BD63" s="48"/>
      <c r="BF63" s="91">
        <v>61</v>
      </c>
      <c r="BG63" s="61" t="str">
        <f t="shared" si="12"/>
        <v/>
      </c>
      <c r="BH63" s="90"/>
      <c r="BI63" s="90"/>
      <c r="BJ63" s="105"/>
      <c r="BK63" s="91">
        <v>61</v>
      </c>
      <c r="BL63" s="61">
        <f t="shared" si="0"/>
        <v>62.099311764705895</v>
      </c>
      <c r="BM63" s="90">
        <f>IFERROR(LARGE($X$3:$X$102,61),"")</f>
        <v>-54.489575980392154</v>
      </c>
      <c r="BN63" s="90">
        <f t="shared" si="6"/>
        <v>-46.311046568627461</v>
      </c>
      <c r="BO63" s="92">
        <f t="shared" si="7"/>
        <v>9</v>
      </c>
      <c r="BP63" s="103">
        <v>61</v>
      </c>
      <c r="BQ63" s="61">
        <f t="shared" si="1"/>
        <v>94.132935815338797</v>
      </c>
      <c r="BR63" s="90">
        <f>IFERROR(LARGE($AL$3:$AL$102,61),"")</f>
        <v>-21.709658724249195</v>
      </c>
      <c r="BS63" s="90">
        <f t="shared" si="8"/>
        <v>-5.4038830975428169</v>
      </c>
      <c r="BT63" s="92">
        <f t="shared" si="9"/>
        <v>6</v>
      </c>
      <c r="BU63" s="91">
        <v>61</v>
      </c>
      <c r="BV63" s="61" t="str">
        <f t="shared" si="2"/>
        <v/>
      </c>
      <c r="BW63" s="90"/>
      <c r="BX63" s="90"/>
      <c r="BY63" s="105">
        <f>IFERROR(VALUE(RIGHT(INDEX(ECR!$E:$E,MATCH(P63,ECR!$C:$C,0)),LEN(INDEX(ECR!$E:$E,MATCH(P63,ECR!$C:$C,0)))-2)),"")</f>
        <v>61</v>
      </c>
      <c r="BZ63" s="90"/>
      <c r="CA63" s="90"/>
      <c r="CB63" s="90"/>
      <c r="CC63" s="90"/>
      <c r="CD63" s="90"/>
      <c r="CE63" s="90"/>
      <c r="CF63" s="90"/>
      <c r="CG63" s="90"/>
    </row>
    <row r="64" spans="1:85" s="62" customFormat="1" ht="14.25" customHeight="1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M64" s="48"/>
      <c r="O64" s="45" t="s">
        <v>266</v>
      </c>
      <c r="P64" s="56" t="str">
        <f>VLOOKUP(O64,ECR!E:L,8,FALSE())</f>
        <v>Sean Tucker</v>
      </c>
      <c r="Q64" s="46" t="str">
        <f>IFERROR(VLOOKUP(Table4[[#This Row],[PLAYER]],ECR!C:F,2,FALSE()),"-")</f>
        <v>TB</v>
      </c>
      <c r="R64" s="46">
        <f>IFERROR(VLOOKUP(Table4[[#This Row],[PLAYER]],ECR!C:F,4,FALSE()),"-")</f>
        <v>10</v>
      </c>
      <c r="S64" s="46" t="str">
        <f>Table4[[#This Row],[Team]] &amp; "/" &amp; Table4[[#This Row],[Bye]]</f>
        <v>TB/10</v>
      </c>
      <c r="T64" s="57">
        <f>IFERROR(VLOOKUP(Table4[[#This Row],[PLAYER]],RB!A:Q,13,FALSE())/17*(17-Table4[[#This Row],[Missed Games]]),0)</f>
        <v>20.647058823529409</v>
      </c>
      <c r="U64" s="57">
        <f>IFERROR(VLOOKUP(Table4[[#This Row],[PLAYER]],RB!A:Q,14,FALSE())/17*(17-Table4[[#This Row],[Missed Games]]),0)</f>
        <v>23.805294117647062</v>
      </c>
      <c r="V64" s="57">
        <f>IFERROR(VLOOKUP(Table4[[#This Row],[PLAYER]],RB!A:Q,15,FALSE())/17*(17-Table4[[#This Row],[Missed Games]]),0)</f>
        <v>27.269411764705882</v>
      </c>
      <c r="W64" s="58">
        <f>AVERAGE(AVERAGE(Table4[[#This Row],[LOW]],Table4[[#This Row],[HIGH]]),Table4[[#This Row],[AVG]],VLOOKUP(Table4[[#This Row],[PLAYER]],ECR!L:N,3,FALSE))</f>
        <v>36.350773333333336</v>
      </c>
      <c r="X64" s="58">
        <f>Table4[[#This Row],[Zscore Projection]]-$Q$1</f>
        <v>-77.80370460784313</v>
      </c>
      <c r="Y64" s="59">
        <f>MAX(Table4[[#This Row],[VBD]]*Scoring!$B$48+1,1)</f>
        <v>1</v>
      </c>
      <c r="Z64" s="45">
        <f>VLOOKUP(Table4[[#This Row],[VBD]],BM:BO,3,FALSE)</f>
        <v>10</v>
      </c>
      <c r="AA64" s="60">
        <f>VLOOKUP(INDEX(ECR!$E:$E,MATCH(P64,ECR!$C:$C,0)),RISK!A:B,2,FALSE())</f>
        <v>4</v>
      </c>
      <c r="AB64" s="61"/>
      <c r="AC64" s="46" t="s">
        <v>253</v>
      </c>
      <c r="AD64" s="46" t="str">
        <f>VLOOKUP(AC64,ECR!E:L,8,FALSE())</f>
        <v>Jalen McMillan</v>
      </c>
      <c r="AE64" s="46" t="str">
        <f>IFERROR(VLOOKUP(Table6[[#This Row],[PLAYER]],ECR!C:F,2,FALSE()),"-")</f>
        <v>TB</v>
      </c>
      <c r="AF64" s="46">
        <f>IFERROR(VLOOKUP(Table6[[#This Row],[PLAYER]],ECR!C:F,4,FALSE()),"-")</f>
        <v>10</v>
      </c>
      <c r="AG64" s="46" t="str">
        <f>Table6[[#This Row],[Team]] &amp; "/" &amp; Table6[[#This Row],[Bye]]</f>
        <v>TB/10</v>
      </c>
      <c r="AH64" s="57">
        <f>IFERROR(VLOOKUP(Table6[[#This Row],[PLAYER]],WR!A:Q,13,FALSE())/17*(17-Table6[[#This Row],[Missed Games]]),0)</f>
        <v>82.694497393894267</v>
      </c>
      <c r="AI64" s="57">
        <f>IFERROR(VLOOKUP(Table6[[#This Row],[PLAYER]],WR!A:Q,14,FALSE())/17*(17-Table6[[#This Row],[Missed Games]]),0)</f>
        <v>85.247513030528665</v>
      </c>
      <c r="AJ64" s="57">
        <f>IFERROR(VLOOKUP(Table6[[#This Row],[PLAYER]],WR!A:Q,15,FALSE())/17*(17-Table6[[#This Row],[Missed Games]]),0)</f>
        <v>88.311131794489953</v>
      </c>
      <c r="AK64" s="58">
        <f>AVERAGE(AVERAGE(Table6[[#This Row],[LOW]],Table6[[#This Row],[HIGH]]),Table6[[#This Row],[AVG]],VLOOKUP(Table6[[#This Row],[PLAYER]],ECR!L:N,3,FALSE))</f>
        <v>88.067899032017877</v>
      </c>
      <c r="AL64" s="58">
        <f>Table6[[#This Row],[Zscore Projection]]-$AE$1</f>
        <v>-26.635998957557703</v>
      </c>
      <c r="AM64" s="59">
        <f>MAX(Table6[[#This Row],[VBD]]*Scoring!$B$48+1,1)</f>
        <v>1</v>
      </c>
      <c r="AN64" s="45">
        <f>VLOOKUP(Table6[[#This Row],[VBD]],BR:BT,3,FALSE)</f>
        <v>7</v>
      </c>
      <c r="AO64" s="60">
        <f>VLOOKUP(INDEX(ECR!$E:$E,MATCH(AD64,ECR!$C:$C,0)),RISK!A:B,2,FALSE())</f>
        <v>3.848101265822784</v>
      </c>
      <c r="AP64" s="61"/>
      <c r="AQ64" s="47" t="s">
        <v>422</v>
      </c>
      <c r="AR64" s="48"/>
      <c r="AT64" s="48"/>
      <c r="AU64" s="48"/>
      <c r="AV64" s="48"/>
      <c r="AW64" s="48"/>
      <c r="AX64" s="48"/>
      <c r="AY64" s="48"/>
      <c r="AZ64" s="48"/>
      <c r="BA64" s="48"/>
      <c r="BC64" s="48"/>
      <c r="BD64" s="48"/>
      <c r="BF64" s="91">
        <v>62</v>
      </c>
      <c r="BG64" s="61" t="str">
        <f t="shared" si="12"/>
        <v/>
      </c>
      <c r="BH64" s="90"/>
      <c r="BI64" s="90"/>
      <c r="BJ64" s="105"/>
      <c r="BK64" s="91">
        <v>62</v>
      </c>
      <c r="BL64" s="61">
        <f t="shared" si="0"/>
        <v>61.288790588235294</v>
      </c>
      <c r="BM64" s="90">
        <f>IFERROR(LARGE($X$3:$X$102,62),"")</f>
        <v>-56.100556372549008</v>
      </c>
      <c r="BN64" s="90">
        <f t="shared" si="6"/>
        <v>-46.311046568627461</v>
      </c>
      <c r="BO64" s="92">
        <f t="shared" si="7"/>
        <v>9</v>
      </c>
      <c r="BP64" s="103">
        <v>62</v>
      </c>
      <c r="BQ64" s="61">
        <f t="shared" si="1"/>
        <v>93.453369471332863</v>
      </c>
      <c r="BR64" s="90">
        <f>IFERROR(LARGE($AL$3:$AL$102,62),"")</f>
        <v>-22.649632663191838</v>
      </c>
      <c r="BS64" s="90">
        <f t="shared" si="8"/>
        <v>-5.4038830975428169</v>
      </c>
      <c r="BT64" s="92">
        <f t="shared" si="9"/>
        <v>6</v>
      </c>
      <c r="BU64" s="91">
        <v>62</v>
      </c>
      <c r="BV64" s="61" t="str">
        <f t="shared" si="2"/>
        <v/>
      </c>
      <c r="BW64" s="90"/>
      <c r="BX64" s="90"/>
      <c r="BY64" s="105">
        <f>IFERROR(VALUE(RIGHT(INDEX(ECR!$E:$E,MATCH(P64,ECR!$C:$C,0)),LEN(INDEX(ECR!$E:$E,MATCH(P64,ECR!$C:$C,0)))-2)),"")</f>
        <v>62</v>
      </c>
      <c r="BZ64" s="90"/>
      <c r="CA64" s="90"/>
      <c r="CB64" s="90"/>
      <c r="CC64" s="90"/>
      <c r="CD64" s="90"/>
      <c r="CE64" s="90"/>
      <c r="CF64" s="90"/>
      <c r="CG64" s="90"/>
    </row>
    <row r="65" spans="1:85" s="62" customFormat="1" ht="14.25" customHeight="1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M65" s="48"/>
      <c r="O65" s="45" t="s">
        <v>265</v>
      </c>
      <c r="P65" s="56" t="str">
        <f>VLOOKUP(O65,ECR!E:L,8,FALSE())</f>
        <v>Nicholas Singleton</v>
      </c>
      <c r="Q65" s="46" t="str">
        <f>IFERROR(VLOOKUP(Table4[[#This Row],[PLAYER]],ECR!C:F,2,FALSE()),"-")</f>
        <v>TEN</v>
      </c>
      <c r="R65" s="46">
        <f>IFERROR(VLOOKUP(Table4[[#This Row],[PLAYER]],ECR!C:F,4,FALSE()),"-")</f>
        <v>9</v>
      </c>
      <c r="S65" s="46" t="str">
        <f>Table4[[#This Row],[Team]] &amp; "/" &amp; Table4[[#This Row],[Bye]]</f>
        <v>TEN/9</v>
      </c>
      <c r="T65" s="57">
        <f>IFERROR(VLOOKUP(Table4[[#This Row],[PLAYER]],RB!A:Q,13,FALSE())/17*(17-Table4[[#This Row],[Missed Games]]),0)</f>
        <v>57.650702352941181</v>
      </c>
      <c r="U65" s="57">
        <f>IFERROR(VLOOKUP(Table4[[#This Row],[PLAYER]],RB!A:Q,14,FALSE())/17*(17-Table4[[#This Row],[Missed Games]]),0)</f>
        <v>60.579525882352939</v>
      </c>
      <c r="V65" s="57">
        <f>IFERROR(VLOOKUP(Table4[[#This Row],[PLAYER]],RB!A:Q,15,FALSE())/17*(17-Table4[[#This Row],[Missed Games]]),0)</f>
        <v>63.691878823529407</v>
      </c>
      <c r="W65" s="58">
        <f>AVERAGE(AVERAGE(Table4[[#This Row],[LOW]],Table4[[#This Row],[HIGH]]),Table4[[#This Row],[AVG]],VLOOKUP(Table4[[#This Row],[PLAYER]],ECR!L:N,3,FALSE))</f>
        <v>60.610114117647051</v>
      </c>
      <c r="X65" s="58">
        <f>Table4[[#This Row],[Zscore Projection]]-$Q$1</f>
        <v>-53.544363823529416</v>
      </c>
      <c r="Y65" s="59">
        <f>MAX(Table4[[#This Row],[VBD]]*Scoring!$B$48+1,1)</f>
        <v>1</v>
      </c>
      <c r="Z65" s="45">
        <f>VLOOKUP(Table4[[#This Row],[VBD]],BM:BO,3,FALSE)</f>
        <v>9</v>
      </c>
      <c r="AA65" s="60">
        <f>VLOOKUP(INDEX(ECR!$E:$E,MATCH(P65,ECR!$C:$C,0)),RISK!A:B,2,FALSE())</f>
        <v>4</v>
      </c>
      <c r="AB65" s="61"/>
      <c r="AC65" s="46" t="s">
        <v>245</v>
      </c>
      <c r="AD65" s="46" t="str">
        <f>VLOOKUP(AC65,ECR!E:L,8,FALSE())</f>
        <v>Dontayvion Wicks</v>
      </c>
      <c r="AE65" s="46" t="str">
        <f>IFERROR(VLOOKUP(Table6[[#This Row],[PLAYER]],ECR!C:F,2,FALSE()),"-")</f>
        <v>PHI</v>
      </c>
      <c r="AF65" s="46">
        <f>IFERROR(VLOOKUP(Table6[[#This Row],[PLAYER]],ECR!C:F,4,FALSE()),"-")</f>
        <v>10</v>
      </c>
      <c r="AG65" s="46" t="str">
        <f>Table6[[#This Row],[Team]] &amp; "/" &amp; Table6[[#This Row],[Bye]]</f>
        <v>PHI/10</v>
      </c>
      <c r="AH65" s="57">
        <f>IFERROR(VLOOKUP(Table6[[#This Row],[PLAYER]],WR!A:Q,13,FALSE())/17*(17-Table6[[#This Row],[Missed Games]]),0)</f>
        <v>58.564631422189137</v>
      </c>
      <c r="AI65" s="57">
        <f>IFERROR(VLOOKUP(Table6[[#This Row],[PLAYER]],WR!A:Q,14,FALSE())/17*(17-Table6[[#This Row],[Missed Games]]),0)</f>
        <v>64.452040208488455</v>
      </c>
      <c r="AJ65" s="57">
        <f>IFERROR(VLOOKUP(Table6[[#This Row],[PLAYER]],WR!A:Q,15,FALSE())/17*(17-Table6[[#This Row],[Missed Games]]),0)</f>
        <v>69.906209977661973</v>
      </c>
      <c r="AK65" s="58">
        <f>AVERAGE(AVERAGE(Table6[[#This Row],[LOW]],Table6[[#This Row],[HIGH]]),Table6[[#This Row],[AVG]],VLOOKUP(Table6[[#This Row],[PLAYER]],ECR!L:N,3,FALSE))</f>
        <v>73.939252618515766</v>
      </c>
      <c r="AL65" s="58">
        <f>Table6[[#This Row],[Zscore Projection]]-$AE$1</f>
        <v>-40.764645371059814</v>
      </c>
      <c r="AM65" s="59">
        <f>MAX(Table6[[#This Row],[VBD]]*Scoring!$B$48+1,1)</f>
        <v>1</v>
      </c>
      <c r="AN65" s="45">
        <f>VLOOKUP(Table6[[#This Row],[VBD]],BR:BT,3,FALSE)</f>
        <v>7</v>
      </c>
      <c r="AO65" s="60">
        <f>VLOOKUP(INDEX(ECR!$E:$E,MATCH(AD65,ECR!$C:$C,0)),RISK!A:B,2,FALSE())</f>
        <v>3.848101265822784</v>
      </c>
      <c r="AP65" s="61"/>
      <c r="AQ65" s="47" t="s">
        <v>423</v>
      </c>
      <c r="AR65" s="48"/>
      <c r="AT65" s="48"/>
      <c r="AU65" s="48"/>
      <c r="AV65" s="48"/>
      <c r="AW65" s="48"/>
      <c r="AX65" s="48"/>
      <c r="AY65" s="48"/>
      <c r="AZ65" s="48"/>
      <c r="BA65" s="48"/>
      <c r="BC65" s="48"/>
      <c r="BD65" s="48"/>
      <c r="BF65" s="91">
        <v>63</v>
      </c>
      <c r="BG65" s="61" t="str">
        <f t="shared" si="12"/>
        <v/>
      </c>
      <c r="BH65" s="90"/>
      <c r="BI65" s="90"/>
      <c r="BJ65" s="105"/>
      <c r="BK65" s="91">
        <v>63</v>
      </c>
      <c r="BL65" s="61">
        <f t="shared" si="0"/>
        <v>60.579525882352939</v>
      </c>
      <c r="BM65" s="90">
        <f>IFERROR(LARGE($X$3:$X$102,63),"")</f>
        <v>-56.98970735294116</v>
      </c>
      <c r="BN65" s="90">
        <f t="shared" si="6"/>
        <v>-46.311046568627461</v>
      </c>
      <c r="BO65" s="92">
        <f t="shared" si="7"/>
        <v>9</v>
      </c>
      <c r="BP65" s="103">
        <v>63</v>
      </c>
      <c r="BQ65" s="61">
        <f t="shared" si="1"/>
        <v>93.130296947133289</v>
      </c>
      <c r="BR65" s="90">
        <f>IFERROR(LARGE($AL$3:$AL$102,63),"")</f>
        <v>-24.654600943162066</v>
      </c>
      <c r="BS65" s="90">
        <f t="shared" si="8"/>
        <v>-5.4038830975428169</v>
      </c>
      <c r="BT65" s="92">
        <f t="shared" si="9"/>
        <v>6</v>
      </c>
      <c r="BU65" s="91">
        <v>63</v>
      </c>
      <c r="BV65" s="61" t="str">
        <f t="shared" si="2"/>
        <v/>
      </c>
      <c r="BW65" s="90"/>
      <c r="BX65" s="90"/>
      <c r="BY65" s="105">
        <f>IFERROR(VALUE(RIGHT(INDEX(ECR!$E:$E,MATCH(P65,ECR!$C:$C,0)),LEN(INDEX(ECR!$E:$E,MATCH(P65,ECR!$C:$C,0)))-2)),"")</f>
        <v>63</v>
      </c>
      <c r="BZ65" s="90"/>
      <c r="CA65" s="90"/>
      <c r="CB65" s="90"/>
      <c r="CC65" s="90"/>
      <c r="CD65" s="90"/>
      <c r="CE65" s="90"/>
      <c r="CF65" s="90"/>
      <c r="CG65" s="90"/>
    </row>
    <row r="66" spans="1:85" s="62" customFormat="1" ht="14.25" customHeight="1" x14ac:dyDescent="0.3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M66" s="48"/>
      <c r="O66" s="45" t="s">
        <v>295</v>
      </c>
      <c r="P66" s="56" t="str">
        <f>VLOOKUP(O66,ECR!E:L,8,FALSE())</f>
        <v>Kaytron Allen</v>
      </c>
      <c r="Q66" s="46" t="str">
        <f>IFERROR(VLOOKUP(Table4[[#This Row],[PLAYER]],ECR!C:F,2,FALSE()),"-")</f>
        <v>WAS</v>
      </c>
      <c r="R66" s="46">
        <f>IFERROR(VLOOKUP(Table4[[#This Row],[PLAYER]],ECR!C:F,4,FALSE()),"-")</f>
        <v>7</v>
      </c>
      <c r="S66" s="46" t="str">
        <f>Table4[[#This Row],[Team]] &amp; "/" &amp; Table4[[#This Row],[Bye]]</f>
        <v>WAS/7</v>
      </c>
      <c r="T66" s="57">
        <f>IFERROR(VLOOKUP(Table4[[#This Row],[PLAYER]],RB!A:Q,13,FALSE())/17*(17-Table4[[#This Row],[Missed Games]]),0)</f>
        <v>54.047025882352933</v>
      </c>
      <c r="U66" s="57">
        <f>IFERROR(VLOOKUP(Table4[[#This Row],[PLAYER]],RB!A:Q,14,FALSE())/17*(17-Table4[[#This Row],[Missed Games]]),0)</f>
        <v>61.288790588235294</v>
      </c>
      <c r="V66" s="57">
        <f>IFERROR(VLOOKUP(Table4[[#This Row],[PLAYER]],RB!A:Q,15,FALSE())/17*(17-Table4[[#This Row],[Missed Games]]),0)</f>
        <v>68.43114352941177</v>
      </c>
      <c r="W66" s="58">
        <f>AVERAGE(AVERAGE(Table4[[#This Row],[LOW]],Table4[[#This Row],[HIGH]]),Table4[[#This Row],[AVG]],VLOOKUP(Table4[[#This Row],[PLAYER]],ECR!L:N,3,FALSE))</f>
        <v>61.026343529411768</v>
      </c>
      <c r="X66" s="58">
        <f>Table4[[#This Row],[Zscore Projection]]-$Q$1</f>
        <v>-53.128134411764698</v>
      </c>
      <c r="Y66" s="59">
        <f>MAX(Table4[[#This Row],[VBD]]*Scoring!$B$48+1,1)</f>
        <v>1</v>
      </c>
      <c r="Z66" s="45">
        <f>VLOOKUP(Table4[[#This Row],[VBD]],BM:BO,3,FALSE)</f>
        <v>9</v>
      </c>
      <c r="AA66" s="60">
        <f>VLOOKUP(INDEX(ECR!$E:$E,MATCH(P66,ECR!$C:$C,0)),RISK!A:B,2,FALSE())</f>
        <v>4</v>
      </c>
      <c r="AB66" s="61"/>
      <c r="AC66" s="46" t="s">
        <v>263</v>
      </c>
      <c r="AD66" s="46" t="str">
        <f>VLOOKUP(AC66,ECR!E:L,8,FALSE())</f>
        <v>Jerry Jeudy</v>
      </c>
      <c r="AE66" s="46" t="str">
        <f>IFERROR(VLOOKUP(Table6[[#This Row],[PLAYER]],ECR!C:F,2,FALSE()),"-")</f>
        <v>CLE</v>
      </c>
      <c r="AF66" s="46">
        <f>IFERROR(VLOOKUP(Table6[[#This Row],[PLAYER]],ECR!C:F,4,FALSE()),"-")</f>
        <v>11</v>
      </c>
      <c r="AG66" s="46" t="str">
        <f>Table6[[#This Row],[Team]] &amp; "/" &amp; Table6[[#This Row],[Bye]]</f>
        <v>CLE/11</v>
      </c>
      <c r="AH66" s="57">
        <f>IFERROR(VLOOKUP(Table6[[#This Row],[PLAYER]],WR!A:Q,13,FALSE())/17*(17-Table6[[#This Row],[Missed Games]]),0)</f>
        <v>86.818004467609839</v>
      </c>
      <c r="AI66" s="57">
        <f>IFERROR(VLOOKUP(Table6[[#This Row],[PLAYER]],WR!A:Q,14,FALSE())/17*(17-Table6[[#This Row],[Missed Games]]),0)</f>
        <v>97.664452717795982</v>
      </c>
      <c r="AJ66" s="57">
        <f>IFERROR(VLOOKUP(Table6[[#This Row],[PLAYER]],WR!A:Q,15,FALSE())/17*(17-Table6[[#This Row],[Missed Games]]),0)</f>
        <v>107.84556962025319</v>
      </c>
      <c r="AK66" s="58">
        <f>AVERAGE(AVERAGE(Table6[[#This Row],[LOW]],Table6[[#This Row],[HIGH]]),Table6[[#This Row],[AVG]],VLOOKUP(Table6[[#This Row],[PLAYER]],ECR!L:N,3,FALSE))</f>
        <v>95.689398560436828</v>
      </c>
      <c r="AL66" s="58">
        <f>Table6[[#This Row],[Zscore Projection]]-$AE$1</f>
        <v>-19.014499429138752</v>
      </c>
      <c r="AM66" s="59">
        <f>MAX(Table6[[#This Row],[VBD]]*Scoring!$B$48+1,1)</f>
        <v>1</v>
      </c>
      <c r="AN66" s="45">
        <f>VLOOKUP(Table6[[#This Row],[VBD]],BR:BT,3,FALSE)</f>
        <v>6</v>
      </c>
      <c r="AO66" s="60">
        <f>VLOOKUP(INDEX(ECR!$E:$E,MATCH(AD66,ECR!$C:$C,0)),RISK!A:B,2,FALSE())</f>
        <v>3.848101265822784</v>
      </c>
      <c r="AP66" s="61"/>
      <c r="AQ66" s="47" t="s">
        <v>424</v>
      </c>
      <c r="AR66" s="48"/>
      <c r="AT66" s="48"/>
      <c r="AU66" s="48"/>
      <c r="AV66" s="48"/>
      <c r="AW66" s="48"/>
      <c r="AX66" s="48"/>
      <c r="AY66" s="48"/>
      <c r="AZ66" s="48"/>
      <c r="BA66" s="48"/>
      <c r="BC66" s="48"/>
      <c r="BD66" s="48"/>
      <c r="BF66" s="91">
        <v>64</v>
      </c>
      <c r="BG66" s="61" t="str">
        <f t="shared" si="12"/>
        <v/>
      </c>
      <c r="BH66" s="90"/>
      <c r="BI66" s="90"/>
      <c r="BJ66" s="105"/>
      <c r="BK66" s="91">
        <v>64</v>
      </c>
      <c r="BL66" s="61">
        <f t="shared" si="0"/>
        <v>60.551155294117649</v>
      </c>
      <c r="BM66" s="90">
        <f>IFERROR(LARGE($X$3:$X$102,64),"")</f>
        <v>-58.459189705882338</v>
      </c>
      <c r="BN66" s="90">
        <f t="shared" si="6"/>
        <v>-46.311046568627461</v>
      </c>
      <c r="BO66" s="92">
        <f t="shared" si="7"/>
        <v>9</v>
      </c>
      <c r="BP66" s="103">
        <v>64</v>
      </c>
      <c r="BQ66" s="61">
        <f t="shared" si="1"/>
        <v>92.071955919583019</v>
      </c>
      <c r="BR66" s="90">
        <f>IFERROR(LARGE($AL$3:$AL$102,64),"")</f>
        <v>-24.751615537354198</v>
      </c>
      <c r="BS66" s="90">
        <f t="shared" si="8"/>
        <v>-5.4038830975428169</v>
      </c>
      <c r="BT66" s="92">
        <f t="shared" si="9"/>
        <v>6</v>
      </c>
      <c r="BU66" s="91">
        <v>64</v>
      </c>
      <c r="BV66" s="61" t="str">
        <f t="shared" si="2"/>
        <v/>
      </c>
      <c r="BW66" s="90"/>
      <c r="BX66" s="90"/>
      <c r="BY66" s="105">
        <f>IFERROR(VALUE(RIGHT(INDEX(ECR!$E:$E,MATCH(P66,ECR!$C:$C,0)),LEN(INDEX(ECR!$E:$E,MATCH(P66,ECR!$C:$C,0)))-2)),"")</f>
        <v>64</v>
      </c>
      <c r="BZ66" s="90"/>
      <c r="CA66" s="90"/>
      <c r="CB66" s="90"/>
      <c r="CC66" s="90"/>
      <c r="CD66" s="90"/>
      <c r="CE66" s="90"/>
      <c r="CF66" s="90"/>
      <c r="CG66" s="90"/>
    </row>
    <row r="67" spans="1:85" s="62" customFormat="1" ht="14.25" customHeight="1" x14ac:dyDescent="0.3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M67" s="48"/>
      <c r="O67" s="45" t="s">
        <v>300</v>
      </c>
      <c r="P67" s="56" t="str">
        <f>VLOOKUP(O67,ECR!E:L,8,FALSE())</f>
        <v>Kaelon Black</v>
      </c>
      <c r="Q67" s="46" t="str">
        <f>IFERROR(VLOOKUP(Table4[[#This Row],[PLAYER]],ECR!C:F,2,FALSE()),"-")</f>
        <v>SF</v>
      </c>
      <c r="R67" s="46">
        <f>IFERROR(VLOOKUP(Table4[[#This Row],[PLAYER]],ECR!C:F,4,FALSE()),"-")</f>
        <v>8</v>
      </c>
      <c r="S67" s="46" t="str">
        <f>Table4[[#This Row],[Team]] &amp; "/" &amp; Table4[[#This Row],[Bye]]</f>
        <v>SF/8</v>
      </c>
      <c r="T67" s="57">
        <f>IFERROR(VLOOKUP(Table4[[#This Row],[PLAYER]],RB!A:Q,13,FALSE())/17*(17-Table4[[#This Row],[Missed Games]]),0)</f>
        <v>74.051410588235285</v>
      </c>
      <c r="U67" s="57">
        <f>IFERROR(VLOOKUP(Table4[[#This Row],[PLAYER]],RB!A:Q,14,FALSE())/17*(17-Table4[[#This Row],[Missed Games]]),0)</f>
        <v>97.313763529411744</v>
      </c>
      <c r="V67" s="57">
        <f>IFERROR(VLOOKUP(Table4[[#This Row],[PLAYER]],RB!A:Q,15,FALSE())/17*(17-Table4[[#This Row],[Missed Games]]),0)</f>
        <v>120.69082235294117</v>
      </c>
      <c r="W67" s="58">
        <f>AVERAGE(AVERAGE(Table4[[#This Row],[LOW]],Table4[[#This Row],[HIGH]]),Table4[[#This Row],[AVG]],VLOOKUP(Table4[[#This Row],[PLAYER]],ECR!L:N,3,FALSE))</f>
        <v>84.793325019607835</v>
      </c>
      <c r="X67" s="58">
        <f>Table4[[#This Row],[Zscore Projection]]-$Q$1</f>
        <v>-29.361152921568632</v>
      </c>
      <c r="Y67" s="59">
        <f>MAX(Table4[[#This Row],[VBD]]*Scoring!$B$48+1,1)</f>
        <v>1</v>
      </c>
      <c r="Z67" s="45">
        <f>VLOOKUP(Table4[[#This Row],[VBD]],BM:BO,3,FALSE)</f>
        <v>8</v>
      </c>
      <c r="AA67" s="60">
        <f>VLOOKUP(INDEX(ECR!$E:$E,MATCH(P67,ECR!$C:$C,0)),RISK!A:B,2,FALSE())</f>
        <v>4</v>
      </c>
      <c r="AB67" s="61"/>
      <c r="AC67" s="46" t="s">
        <v>275</v>
      </c>
      <c r="AD67" s="46" t="str">
        <f>VLOOKUP(AC67,ECR!E:L,8,FALSE())</f>
        <v>Jauan Jennings</v>
      </c>
      <c r="AE67" s="46" t="str">
        <f>IFERROR(VLOOKUP(Table6[[#This Row],[PLAYER]],ECR!C:F,2,FALSE()),"-")</f>
        <v>MIN</v>
      </c>
      <c r="AF67" s="46">
        <f>IFERROR(VLOOKUP(Table6[[#This Row],[PLAYER]],ECR!C:F,4,FALSE()),"-")</f>
        <v>6</v>
      </c>
      <c r="AG67" s="46" t="str">
        <f>Table6[[#This Row],[Team]] &amp; "/" &amp; Table6[[#This Row],[Bye]]</f>
        <v>MIN/6</v>
      </c>
      <c r="AH67" s="57">
        <f>IFERROR(VLOOKUP(Table6[[#This Row],[PLAYER]],WR!A:Q,13,FALSE())/17*(17-Table6[[#This Row],[Missed Games]]),0)</f>
        <v>69.89073715562175</v>
      </c>
      <c r="AI67" s="57">
        <f>IFERROR(VLOOKUP(Table6[[#This Row],[PLAYER]],WR!A:Q,14,FALSE())/17*(17-Table6[[#This Row],[Missed Games]]),0)</f>
        <v>85.154676098287439</v>
      </c>
      <c r="AJ67" s="57">
        <f>IFERROR(VLOOKUP(Table6[[#This Row],[PLAYER]],WR!A:Q,15,FALSE())/17*(17-Table6[[#This Row],[Missed Games]]),0)</f>
        <v>100.26388682055101</v>
      </c>
      <c r="AK67" s="58">
        <f>AVERAGE(AVERAGE(Table6[[#This Row],[LOW]],Table6[[#This Row],[HIGH]]),Table6[[#This Row],[AVG]],VLOOKUP(Table6[[#This Row],[PLAYER]],ECR!L:N,3,FALSE))</f>
        <v>87.16170742119634</v>
      </c>
      <c r="AL67" s="58">
        <f>Table6[[#This Row],[Zscore Projection]]-$AE$1</f>
        <v>-27.54219056837924</v>
      </c>
      <c r="AM67" s="59">
        <f>MAX(Table6[[#This Row],[VBD]]*Scoring!$B$48+1,1)</f>
        <v>1</v>
      </c>
      <c r="AN67" s="45">
        <f>VLOOKUP(Table6[[#This Row],[VBD]],BR:BT,3,FALSE)</f>
        <v>7</v>
      </c>
      <c r="AO67" s="60">
        <f>VLOOKUP(INDEX(ECR!$E:$E,MATCH(AD67,ECR!$C:$C,0)),RISK!A:B,2,FALSE())</f>
        <v>3.848101265822784</v>
      </c>
      <c r="AP67" s="61"/>
      <c r="AQ67" s="47" t="s">
        <v>425</v>
      </c>
      <c r="AR67" s="48"/>
      <c r="AT67" s="48"/>
      <c r="AU67" s="48"/>
      <c r="AV67" s="48"/>
      <c r="AW67" s="48"/>
      <c r="AX67" s="48"/>
      <c r="AY67" s="48"/>
      <c r="AZ67" s="48"/>
      <c r="BA67" s="48"/>
      <c r="BC67" s="48"/>
      <c r="BD67" s="48"/>
      <c r="BF67" s="91">
        <v>65</v>
      </c>
      <c r="BG67" s="61" t="str">
        <f t="shared" si="12"/>
        <v/>
      </c>
      <c r="BH67" s="90"/>
      <c r="BI67" s="90"/>
      <c r="BJ67" s="105"/>
      <c r="BK67" s="91">
        <v>65</v>
      </c>
      <c r="BL67" s="61">
        <f t="shared" si="0"/>
        <v>59.69509505882354</v>
      </c>
      <c r="BM67" s="90">
        <f>IFERROR(LARGE($X$3:$X$102,65),"")</f>
        <v>-60.316746960784307</v>
      </c>
      <c r="BN67" s="90">
        <f t="shared" si="6"/>
        <v>-46.311046568627461</v>
      </c>
      <c r="BO67" s="92">
        <f t="shared" si="7"/>
        <v>9</v>
      </c>
      <c r="BP67" s="103">
        <v>65</v>
      </c>
      <c r="BQ67" s="61">
        <f t="shared" si="1"/>
        <v>91.253134177215188</v>
      </c>
      <c r="BR67" s="90">
        <f>IFERROR(LARGE($AL$3:$AL$102,65),"")</f>
        <v>-26.219109555721033</v>
      </c>
      <c r="BS67" s="90">
        <f t="shared" si="8"/>
        <v>-26.219109555721033</v>
      </c>
      <c r="BT67" s="92">
        <f t="shared" si="9"/>
        <v>7</v>
      </c>
      <c r="BU67" s="91">
        <v>65</v>
      </c>
      <c r="BV67" s="61" t="str">
        <f t="shared" si="2"/>
        <v/>
      </c>
      <c r="BW67" s="90"/>
      <c r="BX67" s="90"/>
      <c r="BY67" s="105">
        <f>IFERROR(VALUE(RIGHT(INDEX(ECR!$E:$E,MATCH(P67,ECR!$C:$C,0)),LEN(INDEX(ECR!$E:$E,MATCH(P67,ECR!$C:$C,0)))-2)),"")</f>
        <v>65</v>
      </c>
      <c r="BZ67" s="90"/>
      <c r="CA67" s="90"/>
      <c r="CB67" s="90"/>
      <c r="CC67" s="90"/>
      <c r="CD67" s="90"/>
      <c r="CE67" s="90"/>
      <c r="CF67" s="90"/>
      <c r="CG67" s="90"/>
    </row>
    <row r="68" spans="1:85" s="62" customFormat="1" ht="14.25" customHeight="1" x14ac:dyDescent="0.3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M68" s="48"/>
      <c r="O68" s="45" t="s">
        <v>304</v>
      </c>
      <c r="P68" s="56" t="str">
        <f>VLOOKUP(O68,ECR!E:L,8,FALSE())</f>
        <v>George Holani</v>
      </c>
      <c r="Q68" s="46" t="str">
        <f>IFERROR(VLOOKUP(Table4[[#This Row],[PLAYER]],ECR!C:F,2,FALSE()),"-")</f>
        <v>SEA</v>
      </c>
      <c r="R68" s="46">
        <f>IFERROR(VLOOKUP(Table4[[#This Row],[PLAYER]],ECR!C:F,4,FALSE()),"-")</f>
        <v>11</v>
      </c>
      <c r="S68" s="46" t="str">
        <f>Table4[[#This Row],[Team]] &amp; "/" &amp; Table4[[#This Row],[Bye]]</f>
        <v>SEA/11</v>
      </c>
      <c r="T68" s="57">
        <f>IFERROR(VLOOKUP(Table4[[#This Row],[PLAYER]],RB!A:Q,13,FALSE())/17*(17-Table4[[#This Row],[Missed Games]]),0)</f>
        <v>17.129411764705885</v>
      </c>
      <c r="U68" s="57">
        <f>IFERROR(VLOOKUP(Table4[[#This Row],[PLAYER]],RB!A:Q,14,FALSE())/17*(17-Table4[[#This Row],[Missed Games]]),0)</f>
        <v>22.88</v>
      </c>
      <c r="V68" s="57">
        <f>IFERROR(VLOOKUP(Table4[[#This Row],[PLAYER]],RB!A:Q,15,FALSE())/17*(17-Table4[[#This Row],[Missed Games]]),0)</f>
        <v>28.630588235294116</v>
      </c>
      <c r="W68" s="58">
        <f>AVERAGE(AVERAGE(Table4[[#This Row],[LOW]],Table4[[#This Row],[HIGH]]),Table4[[#This Row],[AVG]],VLOOKUP(Table4[[#This Row],[PLAYER]],ECR!L:N,3,FALSE))</f>
        <v>34.506078431372551</v>
      </c>
      <c r="X68" s="58">
        <f>Table4[[#This Row],[Zscore Projection]]-$Q$1</f>
        <v>-79.648399509803909</v>
      </c>
      <c r="Y68" s="59">
        <f>MAX(Table4[[#This Row],[VBD]]*Scoring!$B$48+1,1)</f>
        <v>1</v>
      </c>
      <c r="Z68" s="45">
        <f>VLOOKUP(Table4[[#This Row],[VBD]],BM:BO,3,FALSE)</f>
        <v>10</v>
      </c>
      <c r="AA68" s="60">
        <f>VLOOKUP(INDEX(ECR!$E:$E,MATCH(P68,ECR!$C:$C,0)),RISK!A:B,2,FALSE())</f>
        <v>4</v>
      </c>
      <c r="AB68" s="61"/>
      <c r="AC68" s="46" t="s">
        <v>289</v>
      </c>
      <c r="AD68" s="46" t="str">
        <f>VLOOKUP(AC68,ECR!E:L,8,FALSE())</f>
        <v>Ryan Flournoy</v>
      </c>
      <c r="AE68" s="46" t="str">
        <f>IFERROR(VLOOKUP(Table6[[#This Row],[PLAYER]],ECR!C:F,2,FALSE()),"-")</f>
        <v>DAL</v>
      </c>
      <c r="AF68" s="46">
        <f>IFERROR(VLOOKUP(Table6[[#This Row],[PLAYER]],ECR!C:F,4,FALSE()),"-")</f>
        <v>14</v>
      </c>
      <c r="AG68" s="46" t="str">
        <f>Table6[[#This Row],[Team]] &amp; "/" &amp; Table6[[#This Row],[Bye]]</f>
        <v>DAL/14</v>
      </c>
      <c r="AH68" s="57">
        <f>IFERROR(VLOOKUP(Table6[[#This Row],[PLAYER]],WR!A:Q,13,FALSE())/17*(17-Table6[[#This Row],[Missed Games]]),0)</f>
        <v>56.05029784065524</v>
      </c>
      <c r="AI68" s="57">
        <f>IFERROR(VLOOKUP(Table6[[#This Row],[PLAYER]],WR!A:Q,14,FALSE())/17*(17-Table6[[#This Row],[Missed Games]]),0)</f>
        <v>56.05029784065524</v>
      </c>
      <c r="AJ68" s="57">
        <f>IFERROR(VLOOKUP(Table6[[#This Row],[PLAYER]],WR!A:Q,15,FALSE())/17*(17-Table6[[#This Row],[Missed Games]]),0)</f>
        <v>56.05029784065524</v>
      </c>
      <c r="AK68" s="58">
        <f>AVERAGE(AVERAGE(Table6[[#This Row],[LOW]],Table6[[#This Row],[HIGH]]),Table6[[#This Row],[AVG]],VLOOKUP(Table6[[#This Row],[PLAYER]],ECR!L:N,3,FALSE))</f>
        <v>67.712163812360373</v>
      </c>
      <c r="AL68" s="58">
        <f>Table6[[#This Row],[Zscore Projection]]-$AE$1</f>
        <v>-46.991734177215207</v>
      </c>
      <c r="AM68" s="59">
        <f>MAX(Table6[[#This Row],[VBD]]*Scoring!$B$48+1,1)</f>
        <v>1</v>
      </c>
      <c r="AN68" s="45">
        <f>VLOOKUP(Table6[[#This Row],[VBD]],BR:BT,3,FALSE)</f>
        <v>8</v>
      </c>
      <c r="AO68" s="60">
        <f>VLOOKUP(INDEX(ECR!$E:$E,MATCH(AD68,ECR!$C:$C,0)),RISK!A:B,2,FALSE())</f>
        <v>3.848101265822784</v>
      </c>
      <c r="AP68" s="61"/>
      <c r="AQ68" s="47" t="s">
        <v>426</v>
      </c>
      <c r="AR68" s="48"/>
      <c r="AT68" s="48"/>
      <c r="AU68" s="48"/>
      <c r="AV68" s="48"/>
      <c r="AW68" s="48"/>
      <c r="AX68" s="48"/>
      <c r="AY68" s="48"/>
      <c r="AZ68" s="48"/>
      <c r="BA68" s="48"/>
      <c r="BC68" s="48"/>
      <c r="BD68" s="48"/>
      <c r="BF68" s="91">
        <v>66</v>
      </c>
      <c r="BG68" s="61" t="str">
        <f t="shared" si="12"/>
        <v/>
      </c>
      <c r="BH68" s="90"/>
      <c r="BI68" s="90"/>
      <c r="BJ68" s="105"/>
      <c r="BK68" s="91">
        <v>66</v>
      </c>
      <c r="BL68" s="61">
        <f t="shared" ref="BL68:BL102" si="13">IFERROR(LARGE($U$3:$U$102,BK68),"")</f>
        <v>57.75823529411764</v>
      </c>
      <c r="BM68" s="90">
        <f>IFERROR(LARGE($X$3:$X$102,66),"")</f>
        <v>-60.710458333333328</v>
      </c>
      <c r="BN68" s="90">
        <f t="shared" si="6"/>
        <v>-46.311046568627461</v>
      </c>
      <c r="BO68" s="92">
        <f t="shared" si="7"/>
        <v>9</v>
      </c>
      <c r="BP68" s="103">
        <v>66</v>
      </c>
      <c r="BQ68" s="61">
        <f t="shared" ref="BQ68:BQ102" si="14">IFERROR(LARGE($AI$3:$AI$102,BP68),"")</f>
        <v>91.035895755770667</v>
      </c>
      <c r="BR68" s="90">
        <f>IFERROR(LARGE($AL$3:$AL$102,66),"")</f>
        <v>-26.635998957557703</v>
      </c>
      <c r="BS68" s="90">
        <f t="shared" si="8"/>
        <v>-26.219109555721033</v>
      </c>
      <c r="BT68" s="92">
        <f t="shared" si="9"/>
        <v>7</v>
      </c>
      <c r="BU68" s="91">
        <v>66</v>
      </c>
      <c r="BV68" s="61" t="str">
        <f t="shared" ref="BV68:BV102" si="15">IFERROR(LARGE($AW$3:$AW$52,BU68),"")</f>
        <v/>
      </c>
      <c r="BW68" s="90"/>
      <c r="BX68" s="90"/>
      <c r="BY68" s="105">
        <f>IFERROR(VALUE(RIGHT(INDEX(ECR!$E:$E,MATCH(P68,ECR!$C:$C,0)),LEN(INDEX(ECR!$E:$E,MATCH(P68,ECR!$C:$C,0)))-2)),"")</f>
        <v>66</v>
      </c>
      <c r="BZ68" s="90"/>
      <c r="CA68" s="90"/>
      <c r="CB68" s="90"/>
      <c r="CC68" s="90"/>
      <c r="CD68" s="90"/>
      <c r="CE68" s="90"/>
      <c r="CF68" s="90"/>
      <c r="CG68" s="90"/>
    </row>
    <row r="69" spans="1:85" s="62" customFormat="1" ht="14.25" customHeight="1" x14ac:dyDescent="0.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M69" s="48"/>
      <c r="O69" s="45" t="s">
        <v>307</v>
      </c>
      <c r="P69" s="56" t="str">
        <f>VLOOKUP(O69,ECR!E:L,8,FALSE())</f>
        <v>Najee Harris</v>
      </c>
      <c r="Q69" s="46" t="str">
        <f>IFERROR(VLOOKUP(Table4[[#This Row],[PLAYER]],ECR!C:F,2,FALSE()),"-")</f>
        <v>NYG</v>
      </c>
      <c r="R69" s="46">
        <f>IFERROR(VLOOKUP(Table4[[#This Row],[PLAYER]],ECR!C:F,4,FALSE()),"-")</f>
        <v>8</v>
      </c>
      <c r="S69" s="46" t="str">
        <f>Table4[[#This Row],[Team]] &amp; "/" &amp; Table4[[#This Row],[Bye]]</f>
        <v>NYG/8</v>
      </c>
      <c r="T69" s="57">
        <f>IFERROR(VLOOKUP(Table4[[#This Row],[PLAYER]],RB!A:Q,13,FALSE())/17*(17-Table4[[#This Row],[Missed Games]]),0)</f>
        <v>46.647058823529406</v>
      </c>
      <c r="U69" s="57">
        <f>IFERROR(VLOOKUP(Table4[[#This Row],[PLAYER]],RB!A:Q,14,FALSE())/17*(17-Table4[[#This Row],[Missed Games]]),0)</f>
        <v>52.558235294117651</v>
      </c>
      <c r="V69" s="57">
        <f>IFERROR(VLOOKUP(Table4[[#This Row],[PLAYER]],RB!A:Q,15,FALSE())/17*(17-Table4[[#This Row],[Missed Games]]),0)</f>
        <v>59.058235294117651</v>
      </c>
      <c r="W69" s="58">
        <f>AVERAGE(AVERAGE(Table4[[#This Row],[LOW]],Table4[[#This Row],[HIGH]]),Table4[[#This Row],[AVG]],VLOOKUP(Table4[[#This Row],[PLAYER]],ECR!L:N,3,FALSE))</f>
        <v>53.444019607843138</v>
      </c>
      <c r="X69" s="58">
        <f>Table4[[#This Row],[Zscore Projection]]-$Q$1</f>
        <v>-60.710458333333328</v>
      </c>
      <c r="Y69" s="59">
        <f>MAX(Table4[[#This Row],[VBD]]*Scoring!$B$48+1,1)</f>
        <v>1</v>
      </c>
      <c r="Z69" s="45">
        <f>VLOOKUP(Table4[[#This Row],[VBD]],BM:BO,3,FALSE)</f>
        <v>9</v>
      </c>
      <c r="AA69" s="60">
        <f>VLOOKUP(INDEX(ECR!$E:$E,MATCH(P69,ECR!$C:$C,0)),RISK!A:B,2,FALSE())</f>
        <v>4</v>
      </c>
      <c r="AB69" s="61"/>
      <c r="AC69" s="46" t="s">
        <v>259</v>
      </c>
      <c r="AD69" s="46" t="str">
        <f>VLOOKUP(AC69,ECR!E:L,8,FALSE())</f>
        <v>Pat Bryant</v>
      </c>
      <c r="AE69" s="46" t="str">
        <f>IFERROR(VLOOKUP(Table6[[#This Row],[PLAYER]],ECR!C:F,2,FALSE()),"-")</f>
        <v>DEN</v>
      </c>
      <c r="AF69" s="46">
        <f>IFERROR(VLOOKUP(Table6[[#This Row],[PLAYER]],ECR!C:F,4,FALSE()),"-")</f>
        <v>10</v>
      </c>
      <c r="AG69" s="46" t="str">
        <f>Table6[[#This Row],[Team]] &amp; "/" &amp; Table6[[#This Row],[Bye]]</f>
        <v>DEN/10</v>
      </c>
      <c r="AH69" s="57">
        <f>IFERROR(VLOOKUP(Table6[[#This Row],[PLAYER]],WR!A:Q,13,FALSE())/17*(17-Table6[[#This Row],[Missed Games]]),0)</f>
        <v>45.041384959046916</v>
      </c>
      <c r="AI69" s="57">
        <f>IFERROR(VLOOKUP(Table6[[#This Row],[PLAYER]],WR!A:Q,14,FALSE())/17*(17-Table6[[#This Row],[Missed Games]]),0)</f>
        <v>45.041384959046916</v>
      </c>
      <c r="AJ69" s="57">
        <f>IFERROR(VLOOKUP(Table6[[#This Row],[PLAYER]],WR!A:Q,15,FALSE())/17*(17-Table6[[#This Row],[Missed Games]]),0)</f>
        <v>45.041384959046916</v>
      </c>
      <c r="AK69" s="58">
        <f>AVERAGE(AVERAGE(Table6[[#This Row],[LOW]],Table6[[#This Row],[HIGH]]),Table6[[#This Row],[AVG]],VLOOKUP(Table6[[#This Row],[PLAYER]],ECR!L:N,3,FALSE))</f>
        <v>60.34142715313974</v>
      </c>
      <c r="AL69" s="58">
        <f>Table6[[#This Row],[Zscore Projection]]-$AE$1</f>
        <v>-54.36247083643584</v>
      </c>
      <c r="AM69" s="59">
        <f>MAX(Table6[[#This Row],[VBD]]*Scoring!$B$48+1,1)</f>
        <v>1</v>
      </c>
      <c r="AN69" s="45">
        <f>VLOOKUP(Table6[[#This Row],[VBD]],BR:BT,3,FALSE)</f>
        <v>8</v>
      </c>
      <c r="AO69" s="60">
        <f>VLOOKUP(INDEX(ECR!$E:$E,MATCH(AD69,ECR!$C:$C,0)),RISK!A:B,2,FALSE())</f>
        <v>3.848101265822784</v>
      </c>
      <c r="AP69" s="61"/>
      <c r="AQ69" s="47" t="s">
        <v>427</v>
      </c>
      <c r="AR69" s="48"/>
      <c r="AT69" s="48"/>
      <c r="AU69" s="48"/>
      <c r="AV69" s="48"/>
      <c r="AW69" s="48"/>
      <c r="AX69" s="48"/>
      <c r="AY69" s="48"/>
      <c r="AZ69" s="48"/>
      <c r="BA69" s="48"/>
      <c r="BC69" s="48"/>
      <c r="BD69" s="48"/>
      <c r="BF69" s="91">
        <v>67</v>
      </c>
      <c r="BG69" s="61" t="str">
        <f t="shared" si="12"/>
        <v/>
      </c>
      <c r="BH69" s="90"/>
      <c r="BI69" s="90"/>
      <c r="BJ69" s="105"/>
      <c r="BK69" s="91">
        <v>67</v>
      </c>
      <c r="BL69" s="61">
        <f t="shared" si="13"/>
        <v>54.921176470588243</v>
      </c>
      <c r="BM69" s="90">
        <f>IFERROR(LARGE($X$3:$X$102,67),"")</f>
        <v>-61.52901990196078</v>
      </c>
      <c r="BN69" s="90">
        <f t="shared" ref="BN69:BN102" si="16">IF(BM69="",BN68,IF((BN68-BM69)&gt;0.15*LARGE($X$3:$X$102,2),BM69,BN68))</f>
        <v>-46.311046568627461</v>
      </c>
      <c r="BO69" s="92">
        <f t="shared" ref="BO69:BO102" si="17">IF(BM69="",BO68,IF((BN68-BM69)&gt;0.15*LARGE($X$3:$X$102,2),BO68+1,BO68))</f>
        <v>9</v>
      </c>
      <c r="BP69" s="103">
        <v>67</v>
      </c>
      <c r="BQ69" s="61">
        <f t="shared" si="14"/>
        <v>90.941511541325383</v>
      </c>
      <c r="BR69" s="90">
        <f>IFERROR(LARGE($AL$3:$AL$102,67),"")</f>
        <v>-27.54219056837924</v>
      </c>
      <c r="BS69" s="90">
        <f t="shared" ref="BS69:BS102" si="18">IF(BR69="",BS68,IF((BS68-BR69)&gt;0.15*LARGE($AL$3:$AL$102,2),BR69,BS68))</f>
        <v>-26.219109555721033</v>
      </c>
      <c r="BT69" s="92">
        <f t="shared" ref="BT69:BT102" si="19">IF(BR69="",BT68,IF((BS68-BR69)&gt;0.15*LARGE($AL$3:$AL$102,2),BT68+1,BT68))</f>
        <v>7</v>
      </c>
      <c r="BU69" s="91">
        <v>67</v>
      </c>
      <c r="BV69" s="61" t="str">
        <f t="shared" si="15"/>
        <v/>
      </c>
      <c r="BW69" s="90"/>
      <c r="BX69" s="90"/>
      <c r="BY69" s="105">
        <f>IFERROR(VALUE(RIGHT(INDEX(ECR!$E:$E,MATCH(P69,ECR!$C:$C,0)),LEN(INDEX(ECR!$E:$E,MATCH(P69,ECR!$C:$C,0)))-2)),"")</f>
        <v>67</v>
      </c>
      <c r="BZ69" s="90"/>
      <c r="CA69" s="90"/>
      <c r="CB69" s="90"/>
      <c r="CC69" s="90"/>
      <c r="CD69" s="90"/>
      <c r="CE69" s="90"/>
      <c r="CF69" s="90"/>
      <c r="CG69" s="90"/>
    </row>
    <row r="70" spans="1:85" s="62" customFormat="1" ht="14.25" customHeight="1" x14ac:dyDescent="0.3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M70" s="48"/>
      <c r="O70" s="45" t="s">
        <v>320</v>
      </c>
      <c r="P70" s="56" t="str">
        <f>VLOOKUP(O70,ECR!E:L,8,FALSE())</f>
        <v>Jaylen Wright</v>
      </c>
      <c r="Q70" s="46" t="str">
        <f>IFERROR(VLOOKUP(Table4[[#This Row],[PLAYER]],ECR!C:F,2,FALSE()),"-")</f>
        <v>MIA</v>
      </c>
      <c r="R70" s="46">
        <f>IFERROR(VLOOKUP(Table4[[#This Row],[PLAYER]],ECR!C:F,4,FALSE()),"-")</f>
        <v>6</v>
      </c>
      <c r="S70" s="46" t="str">
        <f>Table4[[#This Row],[Team]] &amp; "/" &amp; Table4[[#This Row],[Bye]]</f>
        <v>MIA/6</v>
      </c>
      <c r="T70" s="57">
        <f>IFERROR(VLOOKUP(Table4[[#This Row],[PLAYER]],RB!A:Q,13,FALSE())/17*(17-Table4[[#This Row],[Missed Games]]),0)</f>
        <v>28.179411764705886</v>
      </c>
      <c r="U70" s="57">
        <f>IFERROR(VLOOKUP(Table4[[#This Row],[PLAYER]],RB!A:Q,14,FALSE())/17*(17-Table4[[#This Row],[Missed Games]]),0)</f>
        <v>36.912352941176479</v>
      </c>
      <c r="V70" s="57">
        <f>IFERROR(VLOOKUP(Table4[[#This Row],[PLAYER]],RB!A:Q,15,FALSE())/17*(17-Table4[[#This Row],[Missed Games]]),0)</f>
        <v>45.813529411764712</v>
      </c>
      <c r="W70" s="58">
        <f>AVERAGE(AVERAGE(Table4[[#This Row],[LOW]],Table4[[#This Row],[HIGH]]),Table4[[#This Row],[AVG]],VLOOKUP(Table4[[#This Row],[PLAYER]],ECR!L:N,3,FALSE))</f>
        <v>42.622156862745101</v>
      </c>
      <c r="X70" s="58">
        <f>Table4[[#This Row],[Zscore Projection]]-$Q$1</f>
        <v>-71.532321078431366</v>
      </c>
      <c r="Y70" s="59">
        <f>MAX(Table4[[#This Row],[VBD]]*Scoring!$B$48+1,1)</f>
        <v>1</v>
      </c>
      <c r="Z70" s="45">
        <f>VLOOKUP(Table4[[#This Row],[VBD]],BM:BO,3,FALSE)</f>
        <v>10</v>
      </c>
      <c r="AA70" s="60">
        <f>VLOOKUP(INDEX(ECR!$E:$E,MATCH(P70,ECR!$C:$C,0)),RISK!A:B,2,FALSE())</f>
        <v>4</v>
      </c>
      <c r="AB70" s="61"/>
      <c r="AC70" s="46" t="s">
        <v>291</v>
      </c>
      <c r="AD70" s="46" t="str">
        <f>VLOOKUP(AC70,ECR!E:L,8,FALSE())</f>
        <v>Tre' Harris</v>
      </c>
      <c r="AE70" s="46" t="str">
        <f>IFERROR(VLOOKUP(Table6[[#This Row],[PLAYER]],ECR!C:F,2,FALSE()),"-")</f>
        <v>LAC</v>
      </c>
      <c r="AF70" s="46">
        <f>IFERROR(VLOOKUP(Table6[[#This Row],[PLAYER]],ECR!C:F,4,FALSE()),"-")</f>
        <v>7</v>
      </c>
      <c r="AG70" s="46" t="str">
        <f>Table6[[#This Row],[Team]] &amp; "/" &amp; Table6[[#This Row],[Bye]]</f>
        <v>LAC/7</v>
      </c>
      <c r="AH70" s="57">
        <f>IFERROR(VLOOKUP(Table6[[#This Row],[PLAYER]],WR!A:Q,13,FALSE())/17*(17-Table6[[#This Row],[Missed Games]]),0)</f>
        <v>56.08897989575577</v>
      </c>
      <c r="AI70" s="57">
        <f>IFERROR(VLOOKUP(Table6[[#This Row],[PLAYER]],WR!A:Q,14,FALSE())/17*(17-Table6[[#This Row],[Missed Games]]),0)</f>
        <v>56.08897989575577</v>
      </c>
      <c r="AJ70" s="57">
        <f>IFERROR(VLOOKUP(Table6[[#This Row],[PLAYER]],WR!A:Q,15,FALSE())/17*(17-Table6[[#This Row],[Missed Games]]),0)</f>
        <v>56.08897989575577</v>
      </c>
      <c r="AK70" s="58">
        <f>AVERAGE(AVERAGE(Table6[[#This Row],[LOW]],Table6[[#This Row],[HIGH]]),Table6[[#This Row],[AVG]],VLOOKUP(Table6[[#This Row],[PLAYER]],ECR!L:N,3,FALSE))</f>
        <v>67.002477041449495</v>
      </c>
      <c r="AL70" s="58">
        <f>Table6[[#This Row],[Zscore Projection]]-$AE$1</f>
        <v>-47.701420948126085</v>
      </c>
      <c r="AM70" s="59">
        <f>MAX(Table6[[#This Row],[VBD]]*Scoring!$B$48+1,1)</f>
        <v>1</v>
      </c>
      <c r="AN70" s="45">
        <f>VLOOKUP(Table6[[#This Row],[VBD]],BR:BT,3,FALSE)</f>
        <v>8</v>
      </c>
      <c r="AO70" s="60">
        <f>VLOOKUP(INDEX(ECR!$E:$E,MATCH(AD70,ECR!$C:$C,0)),RISK!A:B,2,FALSE())</f>
        <v>3.848101265822784</v>
      </c>
      <c r="AP70" s="61"/>
      <c r="AQ70" s="47" t="s">
        <v>428</v>
      </c>
      <c r="AR70" s="48"/>
      <c r="AT70" s="48"/>
      <c r="AU70" s="48"/>
      <c r="AV70" s="48"/>
      <c r="AW70" s="48"/>
      <c r="AX70" s="48"/>
      <c r="AY70" s="48"/>
      <c r="AZ70" s="48"/>
      <c r="BA70" s="48"/>
      <c r="BC70" s="48"/>
      <c r="BD70" s="48"/>
      <c r="BF70" s="91">
        <v>68</v>
      </c>
      <c r="BG70" s="61" t="str">
        <f t="shared" ref="BG70:BG102" si="20">IFERROR(LARGE($G$3:$G$52,BF70),"")</f>
        <v/>
      </c>
      <c r="BH70" s="90"/>
      <c r="BI70" s="90"/>
      <c r="BJ70" s="105"/>
      <c r="BK70" s="91">
        <v>68</v>
      </c>
      <c r="BL70" s="61">
        <f t="shared" si="13"/>
        <v>53.957647058823525</v>
      </c>
      <c r="BM70" s="90">
        <f>IFERROR(LARGE($X$3:$X$102,68),"")</f>
        <v>-62.913117156862732</v>
      </c>
      <c r="BN70" s="90">
        <f t="shared" si="16"/>
        <v>-46.311046568627461</v>
      </c>
      <c r="BO70" s="92">
        <f t="shared" si="17"/>
        <v>9</v>
      </c>
      <c r="BP70" s="103">
        <v>68</v>
      </c>
      <c r="BQ70" s="61">
        <f t="shared" si="14"/>
        <v>88.829471332836931</v>
      </c>
      <c r="BR70" s="90">
        <f>IFERROR(LARGE($AL$3:$AL$102,68),"")</f>
        <v>-28.244347232563925</v>
      </c>
      <c r="BS70" s="90">
        <f t="shared" si="18"/>
        <v>-26.219109555721033</v>
      </c>
      <c r="BT70" s="92">
        <f t="shared" si="19"/>
        <v>7</v>
      </c>
      <c r="BU70" s="91">
        <v>68</v>
      </c>
      <c r="BV70" s="61" t="str">
        <f t="shared" si="15"/>
        <v/>
      </c>
      <c r="BW70" s="90"/>
      <c r="BX70" s="90"/>
      <c r="BY70" s="105">
        <f>IFERROR(VALUE(RIGHT(INDEX(ECR!$E:$E,MATCH(P70,ECR!$C:$C,0)),LEN(INDEX(ECR!$E:$E,MATCH(P70,ECR!$C:$C,0)))-2)),"")</f>
        <v>68</v>
      </c>
      <c r="BZ70" s="90"/>
      <c r="CA70" s="90"/>
      <c r="CB70" s="90"/>
      <c r="CC70" s="90"/>
      <c r="CD70" s="90"/>
      <c r="CE70" s="90"/>
      <c r="CF70" s="90"/>
      <c r="CG70" s="90"/>
    </row>
    <row r="71" spans="1:85" s="62" customFormat="1" ht="14.25" customHeight="1" x14ac:dyDescent="0.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M71" s="48"/>
      <c r="O71" s="45" t="s">
        <v>327</v>
      </c>
      <c r="P71" s="56" t="str">
        <f>VLOOKUP(O71,ECR!E:L,8,FALSE())</f>
        <v>Justice Hill</v>
      </c>
      <c r="Q71" s="46" t="str">
        <f>IFERROR(VLOOKUP(Table4[[#This Row],[PLAYER]],ECR!C:F,2,FALSE()),"-")</f>
        <v>BAL</v>
      </c>
      <c r="R71" s="46">
        <f>IFERROR(VLOOKUP(Table4[[#This Row],[PLAYER]],ECR!C:F,4,FALSE()),"-")</f>
        <v>13</v>
      </c>
      <c r="S71" s="46" t="str">
        <f>Table4[[#This Row],[Team]] &amp; "/" &amp; Table4[[#This Row],[Bye]]</f>
        <v>BAL/13</v>
      </c>
      <c r="T71" s="57">
        <f>IFERROR(VLOOKUP(Table4[[#This Row],[PLAYER]],RB!A:Q,13,FALSE())/17*(17-Table4[[#This Row],[Missed Games]]),0)</f>
        <v>61.467058823529413</v>
      </c>
      <c r="U71" s="57">
        <f>IFERROR(VLOOKUP(Table4[[#This Row],[PLAYER]],RB!A:Q,14,FALSE())/17*(17-Table4[[#This Row],[Missed Games]]),0)</f>
        <v>75.323529411764696</v>
      </c>
      <c r="V71" s="57">
        <f>IFERROR(VLOOKUP(Table4[[#This Row],[PLAYER]],RB!A:Q,15,FALSE())/17*(17-Table4[[#This Row],[Missed Games]]),0)</f>
        <v>89.493529411764698</v>
      </c>
      <c r="W71" s="58">
        <f>AVERAGE(AVERAGE(Table4[[#This Row],[LOW]],Table4[[#This Row],[HIGH]]),Table4[[#This Row],[AVG]],VLOOKUP(Table4[[#This Row],[PLAYER]],ECR!L:N,3,FALSE))</f>
        <v>67.843431372549006</v>
      </c>
      <c r="X71" s="58">
        <f>Table4[[#This Row],[Zscore Projection]]-$Q$1</f>
        <v>-46.311046568627461</v>
      </c>
      <c r="Y71" s="59">
        <f>MAX(Table4[[#This Row],[VBD]]*Scoring!$B$48+1,1)</f>
        <v>1</v>
      </c>
      <c r="Z71" s="45">
        <f>VLOOKUP(Table4[[#This Row],[VBD]],BM:BO,3,FALSE)</f>
        <v>9</v>
      </c>
      <c r="AA71" s="60">
        <f>VLOOKUP(INDEX(ECR!$E:$E,MATCH(P71,ECR!$C:$C,0)),RISK!A:B,2,FALSE())</f>
        <v>4</v>
      </c>
      <c r="AB71" s="61"/>
      <c r="AC71" s="46" t="s">
        <v>310</v>
      </c>
      <c r="AD71" s="46" t="str">
        <f>VLOOKUP(AC71,ECR!E:L,8,FALSE())</f>
        <v>Omar Cooper Jr.</v>
      </c>
      <c r="AE71" s="46" t="str">
        <f>IFERROR(VLOOKUP(Table6[[#This Row],[PLAYER]],ECR!C:F,2,FALSE()),"-")</f>
        <v>NYJ</v>
      </c>
      <c r="AF71" s="46">
        <f>IFERROR(VLOOKUP(Table6[[#This Row],[PLAYER]],ECR!C:F,4,FALSE()),"-")</f>
        <v>13</v>
      </c>
      <c r="AG71" s="46" t="str">
        <f>Table6[[#This Row],[Team]] &amp; "/" &amp; Table6[[#This Row],[Bye]]</f>
        <v>NYJ/13</v>
      </c>
      <c r="AH71" s="57">
        <f>IFERROR(VLOOKUP(Table6[[#This Row],[PLAYER]],WR!A:Q,13,FALSE())/17*(17-Table6[[#This Row],[Missed Games]]),0)</f>
        <v>78.967094564408043</v>
      </c>
      <c r="AI71" s="57">
        <f>IFERROR(VLOOKUP(Table6[[#This Row],[PLAYER]],WR!A:Q,14,FALSE())/17*(17-Table6[[#This Row],[Missed Games]]),0)</f>
        <v>91.035895755770667</v>
      </c>
      <c r="AJ71" s="57">
        <f>IFERROR(VLOOKUP(Table6[[#This Row],[PLAYER]],WR!A:Q,15,FALSE())/17*(17-Table6[[#This Row],[Missed Games]]),0)</f>
        <v>102.64051228592703</v>
      </c>
      <c r="AK71" s="58">
        <f>AVERAGE(AVERAGE(Table6[[#This Row],[LOW]],Table6[[#This Row],[HIGH]]),Table6[[#This Row],[AVG]],VLOOKUP(Table6[[#This Row],[PLAYER]],ECR!L:N,3,FALSE))</f>
        <v>89.952282452221382</v>
      </c>
      <c r="AL71" s="58">
        <f>Table6[[#This Row],[Zscore Projection]]-$AE$1</f>
        <v>-24.751615537354198</v>
      </c>
      <c r="AM71" s="59">
        <f>MAX(Table6[[#This Row],[VBD]]*Scoring!$B$48+1,1)</f>
        <v>1</v>
      </c>
      <c r="AN71" s="45">
        <f>VLOOKUP(Table6[[#This Row],[VBD]],BR:BT,3,FALSE)</f>
        <v>6</v>
      </c>
      <c r="AO71" s="60">
        <f>VLOOKUP(INDEX(ECR!$E:$E,MATCH(AD71,ECR!$C:$C,0)),RISK!A:B,2,FALSE())</f>
        <v>3.848101265822784</v>
      </c>
      <c r="AP71" s="61"/>
      <c r="AQ71" s="47" t="s">
        <v>429</v>
      </c>
      <c r="AR71" s="48"/>
      <c r="AT71" s="48"/>
      <c r="AU71" s="48"/>
      <c r="AV71" s="48"/>
      <c r="AW71" s="48"/>
      <c r="AX71" s="48"/>
      <c r="AY71" s="48"/>
      <c r="AZ71" s="48"/>
      <c r="BA71" s="48"/>
      <c r="BC71" s="48"/>
      <c r="BD71" s="48"/>
      <c r="BF71" s="91">
        <v>69</v>
      </c>
      <c r="BG71" s="61" t="str">
        <f t="shared" si="20"/>
        <v/>
      </c>
      <c r="BH71" s="90"/>
      <c r="BI71" s="90"/>
      <c r="BJ71" s="105"/>
      <c r="BK71" s="91">
        <v>69</v>
      </c>
      <c r="BL71" s="61">
        <f t="shared" si="13"/>
        <v>52.72647058823528</v>
      </c>
      <c r="BM71" s="90">
        <f>IFERROR(LARGE($X$3:$X$102,69),"")</f>
        <v>-63.519477941176469</v>
      </c>
      <c r="BN71" s="90">
        <f t="shared" si="16"/>
        <v>-46.311046568627461</v>
      </c>
      <c r="BO71" s="92">
        <f t="shared" si="17"/>
        <v>9</v>
      </c>
      <c r="BP71" s="103">
        <v>69</v>
      </c>
      <c r="BQ71" s="61">
        <f t="shared" si="14"/>
        <v>88.017148175725993</v>
      </c>
      <c r="BR71" s="90">
        <f>IFERROR(LARGE($AL$3:$AL$102,69),"")</f>
        <v>-28.714359990071969</v>
      </c>
      <c r="BS71" s="90">
        <f t="shared" si="18"/>
        <v>-26.219109555721033</v>
      </c>
      <c r="BT71" s="92">
        <f t="shared" si="19"/>
        <v>7</v>
      </c>
      <c r="BU71" s="91">
        <v>69</v>
      </c>
      <c r="BV71" s="61" t="str">
        <f t="shared" si="15"/>
        <v/>
      </c>
      <c r="BW71" s="90"/>
      <c r="BX71" s="90"/>
      <c r="BY71" s="105">
        <f>IFERROR(VALUE(RIGHT(INDEX(ECR!$E:$E,MATCH(P71,ECR!$C:$C,0)),LEN(INDEX(ECR!$E:$E,MATCH(P71,ECR!$C:$C,0)))-2)),"")</f>
        <v>69</v>
      </c>
      <c r="BZ71" s="90"/>
      <c r="CA71" s="90"/>
      <c r="CB71" s="90"/>
      <c r="CC71" s="90"/>
      <c r="CD71" s="90"/>
      <c r="CE71" s="90"/>
      <c r="CF71" s="90"/>
      <c r="CG71" s="90"/>
    </row>
    <row r="72" spans="1:85" s="62" customFormat="1" ht="14.25" customHeight="1" x14ac:dyDescent="0.3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M72" s="48"/>
      <c r="O72" s="45" t="s">
        <v>252</v>
      </c>
      <c r="P72" s="56" t="str">
        <f>VLOOKUP(O72,ECR!E:L,8,FALSE())</f>
        <v>James Conner</v>
      </c>
      <c r="Q72" s="46" t="str">
        <f>IFERROR(VLOOKUP(Table4[[#This Row],[PLAYER]],ECR!C:F,2,FALSE()),"-")</f>
        <v>ARI</v>
      </c>
      <c r="R72" s="46">
        <f>IFERROR(VLOOKUP(Table4[[#This Row],[PLAYER]],ECR!C:F,4,FALSE()),"-")</f>
        <v>14</v>
      </c>
      <c r="S72" s="46" t="str">
        <f>Table4[[#This Row],[Team]] &amp; "/" &amp; Table4[[#This Row],[Bye]]</f>
        <v>ARI/14</v>
      </c>
      <c r="T72" s="57">
        <f>IFERROR(VLOOKUP(Table4[[#This Row],[PLAYER]],RB!A:Q,13,FALSE())/17*(17-Table4[[#This Row],[Missed Games]]),0)</f>
        <v>0</v>
      </c>
      <c r="U72" s="57">
        <f>IFERROR(VLOOKUP(Table4[[#This Row],[PLAYER]],RB!A:Q,14,FALSE())/17*(17-Table4[[#This Row],[Missed Games]]),0)</f>
        <v>30.970588235294116</v>
      </c>
      <c r="V72" s="57">
        <f>IFERROR(VLOOKUP(Table4[[#This Row],[PLAYER]],RB!A:Q,15,FALSE())/17*(17-Table4[[#This Row],[Missed Games]]),0)</f>
        <v>61.941176470588232</v>
      </c>
      <c r="W72" s="58">
        <f>AVERAGE(AVERAGE(Table4[[#This Row],[LOW]],Table4[[#This Row],[HIGH]]),Table4[[#This Row],[AVG]],VLOOKUP(Table4[[#This Row],[PLAYER]],ECR!L:N,3,FALSE))</f>
        <v>38.166470588235292</v>
      </c>
      <c r="X72" s="58">
        <f>Table4[[#This Row],[Zscore Projection]]-$Q$1</f>
        <v>-75.988007352941167</v>
      </c>
      <c r="Y72" s="59">
        <f>MAX(Table4[[#This Row],[VBD]]*Scoring!$B$48+1,1)</f>
        <v>1</v>
      </c>
      <c r="Z72" s="45">
        <f>VLOOKUP(Table4[[#This Row],[VBD]],BM:BO,3,FALSE)</f>
        <v>10</v>
      </c>
      <c r="AA72" s="60">
        <f>VLOOKUP(INDEX(ECR!$E:$E,MATCH(P72,ECR!$C:$C,0)),RISK!A:B,2,FALSE())</f>
        <v>4</v>
      </c>
      <c r="AB72" s="61"/>
      <c r="AC72" s="46" t="s">
        <v>280</v>
      </c>
      <c r="AD72" s="46" t="str">
        <f>VLOOKUP(AC72,ECR!E:L,8,FALSE())</f>
        <v>Jalen Nailor</v>
      </c>
      <c r="AE72" s="46" t="str">
        <f>IFERROR(VLOOKUP(Table6[[#This Row],[PLAYER]],ECR!C:F,2,FALSE()),"-")</f>
        <v>LV</v>
      </c>
      <c r="AF72" s="46">
        <f>IFERROR(VLOOKUP(Table6[[#This Row],[PLAYER]],ECR!C:F,4,FALSE()),"-")</f>
        <v>13</v>
      </c>
      <c r="AG72" s="46" t="str">
        <f>Table6[[#This Row],[Team]] &amp; "/" &amp; Table6[[#This Row],[Bye]]</f>
        <v>LV/13</v>
      </c>
      <c r="AH72" s="57">
        <f>IFERROR(VLOOKUP(Table6[[#This Row],[PLAYER]],WR!A:Q,13,FALSE())/17*(17-Table6[[#This Row],[Missed Games]]),0)</f>
        <v>74.424274013402837</v>
      </c>
      <c r="AI72" s="57">
        <f>IFERROR(VLOOKUP(Table6[[#This Row],[PLAYER]],WR!A:Q,14,FALSE())/17*(17-Table6[[#This Row],[Missed Games]]),0)</f>
        <v>81.294206999255394</v>
      </c>
      <c r="AJ72" s="57">
        <f>IFERROR(VLOOKUP(Table6[[#This Row],[PLAYER]],WR!A:Q,15,FALSE())/17*(17-Table6[[#This Row],[Missed Games]]),0)</f>
        <v>88.674743112434854</v>
      </c>
      <c r="AK72" s="58">
        <f>AVERAGE(AVERAGE(Table6[[#This Row],[LOW]],Table6[[#This Row],[HIGH]]),Table6[[#This Row],[AVG]],VLOOKUP(Table6[[#This Row],[PLAYER]],ECR!L:N,3,FALSE))</f>
        <v>83.341777115909665</v>
      </c>
      <c r="AL72" s="58">
        <f>Table6[[#This Row],[Zscore Projection]]-$AE$1</f>
        <v>-31.362120873665916</v>
      </c>
      <c r="AM72" s="59">
        <f>MAX(Table6[[#This Row],[VBD]]*Scoring!$B$48+1,1)</f>
        <v>1</v>
      </c>
      <c r="AN72" s="45">
        <f>VLOOKUP(Table6[[#This Row],[VBD]],BR:BT,3,FALSE)</f>
        <v>7</v>
      </c>
      <c r="AO72" s="60">
        <f>VLOOKUP(INDEX(ECR!$E:$E,MATCH(AD72,ECR!$C:$C,0)),RISK!A:B,2,FALSE())</f>
        <v>3.848101265822784</v>
      </c>
      <c r="AP72" s="61"/>
      <c r="AQ72" s="47" t="s">
        <v>430</v>
      </c>
      <c r="AR72" s="48"/>
      <c r="AT72" s="48"/>
      <c r="AU72" s="48"/>
      <c r="AV72" s="48"/>
      <c r="AW72" s="48"/>
      <c r="AX72" s="48"/>
      <c r="AY72" s="48"/>
      <c r="AZ72" s="48"/>
      <c r="BA72" s="48"/>
      <c r="BC72" s="48"/>
      <c r="BD72" s="48"/>
      <c r="BF72" s="91">
        <v>70</v>
      </c>
      <c r="BG72" s="61" t="str">
        <f t="shared" si="20"/>
        <v/>
      </c>
      <c r="BH72" s="90"/>
      <c r="BI72" s="90"/>
      <c r="BJ72" s="105"/>
      <c r="BK72" s="91">
        <v>70</v>
      </c>
      <c r="BL72" s="61">
        <f t="shared" si="13"/>
        <v>52.558235294117651</v>
      </c>
      <c r="BM72" s="90">
        <f>IFERROR(LARGE($X$3:$X$102,70),"")</f>
        <v>-65.697615196078431</v>
      </c>
      <c r="BN72" s="90">
        <f t="shared" si="16"/>
        <v>-46.311046568627461</v>
      </c>
      <c r="BO72" s="92">
        <f t="shared" si="17"/>
        <v>9</v>
      </c>
      <c r="BP72" s="103">
        <v>70</v>
      </c>
      <c r="BQ72" s="61">
        <f t="shared" si="14"/>
        <v>87.18161578555474</v>
      </c>
      <c r="BR72" s="90">
        <f>IFERROR(LARGE($AL$3:$AL$102,70),"")</f>
        <v>-31.362120873665916</v>
      </c>
      <c r="BS72" s="90">
        <f t="shared" si="18"/>
        <v>-26.219109555721033</v>
      </c>
      <c r="BT72" s="92">
        <f t="shared" si="19"/>
        <v>7</v>
      </c>
      <c r="BU72" s="91">
        <v>70</v>
      </c>
      <c r="BV72" s="61" t="str">
        <f t="shared" si="15"/>
        <v/>
      </c>
      <c r="BW72" s="90"/>
      <c r="BX72" s="90"/>
      <c r="BY72" s="105">
        <f>IFERROR(VALUE(RIGHT(INDEX(ECR!$E:$E,MATCH(P72,ECR!$C:$C,0)),LEN(INDEX(ECR!$E:$E,MATCH(P72,ECR!$C:$C,0)))-2)),"")</f>
        <v>70</v>
      </c>
      <c r="BZ72" s="90"/>
      <c r="CA72" s="90"/>
      <c r="CB72" s="90"/>
      <c r="CC72" s="90"/>
      <c r="CD72" s="90"/>
      <c r="CE72" s="90"/>
      <c r="CF72" s="90"/>
      <c r="CG72" s="90"/>
    </row>
    <row r="73" spans="1:85" s="62" customFormat="1" ht="14.25" customHeight="1" x14ac:dyDescent="0.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M73" s="48"/>
      <c r="O73" s="45" t="s">
        <v>279</v>
      </c>
      <c r="P73" s="56" t="str">
        <f>VLOOKUP(O73,ECR!E:L,8,FALSE())</f>
        <v>Emanuel Wilson</v>
      </c>
      <c r="Q73" s="46" t="str">
        <f>IFERROR(VLOOKUP(Table4[[#This Row],[PLAYER]],ECR!C:F,2,FALSE()),"-")</f>
        <v>SEA</v>
      </c>
      <c r="R73" s="46">
        <f>IFERROR(VLOOKUP(Table4[[#This Row],[PLAYER]],ECR!C:F,4,FALSE()),"-")</f>
        <v>11</v>
      </c>
      <c r="S73" s="46" t="str">
        <f>Table4[[#This Row],[Team]] &amp; "/" &amp; Table4[[#This Row],[Bye]]</f>
        <v>SEA/11</v>
      </c>
      <c r="T73" s="57">
        <f>IFERROR(VLOOKUP(Table4[[#This Row],[PLAYER]],RB!A:Q,13,FALSE())/17*(17-Table4[[#This Row],[Missed Games]]),0)</f>
        <v>5.2994117647058827</v>
      </c>
      <c r="U73" s="57">
        <f>IFERROR(VLOOKUP(Table4[[#This Row],[PLAYER]],RB!A:Q,14,FALSE())/17*(17-Table4[[#This Row],[Missed Games]]),0)</f>
        <v>35.987058823529416</v>
      </c>
      <c r="V73" s="57">
        <f>IFERROR(VLOOKUP(Table4[[#This Row],[PLAYER]],RB!A:Q,15,FALSE())/17*(17-Table4[[#This Row],[Missed Games]]),0)</f>
        <v>66.988235294117644</v>
      </c>
      <c r="W73" s="58">
        <f>AVERAGE(AVERAGE(Table4[[#This Row],[LOW]],Table4[[#This Row],[HIGH]]),Table4[[#This Row],[AVG]],VLOOKUP(Table4[[#This Row],[PLAYER]],ECR!L:N,3,FALSE))</f>
        <v>40.26303921568627</v>
      </c>
      <c r="X73" s="58">
        <f>Table4[[#This Row],[Zscore Projection]]-$Q$1</f>
        <v>-73.89143872549019</v>
      </c>
      <c r="Y73" s="59">
        <f>MAX(Table4[[#This Row],[VBD]]*Scoring!$B$48+1,1)</f>
        <v>1</v>
      </c>
      <c r="Z73" s="45">
        <f>VLOOKUP(Table4[[#This Row],[VBD]],BM:BO,3,FALSE)</f>
        <v>10</v>
      </c>
      <c r="AA73" s="60">
        <f>VLOOKUP(INDEX(ECR!$E:$E,MATCH(P73,ECR!$C:$C,0)),RISK!A:B,2,FALSE())</f>
        <v>4</v>
      </c>
      <c r="AB73" s="61"/>
      <c r="AC73" s="46" t="s">
        <v>258</v>
      </c>
      <c r="AD73" s="46" t="str">
        <f>VLOOKUP(AC73,ECR!E:L,8,FALSE())</f>
        <v>Keenan Allen</v>
      </c>
      <c r="AE73" s="46" t="str">
        <f>IFERROR(VLOOKUP(Table6[[#This Row],[PLAYER]],ECR!C:F,2,FALSE()),"-")</f>
        <v>IND</v>
      </c>
      <c r="AF73" s="46">
        <f>IFERROR(VLOOKUP(Table6[[#This Row],[PLAYER]],ECR!C:F,4,FALSE()),"-")</f>
        <v>13</v>
      </c>
      <c r="AG73" s="46" t="str">
        <f>Table6[[#This Row],[Team]] &amp; "/" &amp; Table6[[#This Row],[Bye]]</f>
        <v>IND/13</v>
      </c>
      <c r="AH73" s="57">
        <f>IFERROR(VLOOKUP(Table6[[#This Row],[PLAYER]],WR!A:Q,13,FALSE())/17*(17-Table6[[#This Row],[Missed Games]]),0)</f>
        <v>74.486165301563673</v>
      </c>
      <c r="AI73" s="57">
        <f>IFERROR(VLOOKUP(Table6[[#This Row],[PLAYER]],WR!A:Q,14,FALSE())/17*(17-Table6[[#This Row],[Missed Games]]),0)</f>
        <v>87.18161578555474</v>
      </c>
      <c r="AJ73" s="57">
        <f>IFERROR(VLOOKUP(Table6[[#This Row],[PLAYER]],WR!A:Q,15,FALSE())/17*(17-Table6[[#This Row],[Missed Games]]),0)</f>
        <v>99.412881608339546</v>
      </c>
      <c r="AK73" s="58">
        <f>AVERAGE(AVERAGE(Table6[[#This Row],[LOW]],Table6[[#This Row],[HIGH]]),Table6[[#This Row],[AVG]],VLOOKUP(Table6[[#This Row],[PLAYER]],ECR!L:N,3,FALSE))</f>
        <v>86.459550757011655</v>
      </c>
      <c r="AL73" s="58">
        <f>Table6[[#This Row],[Zscore Projection]]-$AE$1</f>
        <v>-28.244347232563925</v>
      </c>
      <c r="AM73" s="59">
        <f>MAX(Table6[[#This Row],[VBD]]*Scoring!$B$48+1,1)</f>
        <v>1</v>
      </c>
      <c r="AN73" s="45">
        <f>VLOOKUP(Table6[[#This Row],[VBD]],BR:BT,3,FALSE)</f>
        <v>7</v>
      </c>
      <c r="AO73" s="60">
        <f>VLOOKUP(INDEX(ECR!$E:$E,MATCH(AD73,ECR!$C:$C,0)),RISK!A:B,2,FALSE())</f>
        <v>3.848101265822784</v>
      </c>
      <c r="AP73" s="61"/>
      <c r="AQ73" s="47" t="s">
        <v>431</v>
      </c>
      <c r="AR73" s="48"/>
      <c r="AT73" s="48"/>
      <c r="AU73" s="48"/>
      <c r="AV73" s="48"/>
      <c r="AW73" s="48"/>
      <c r="AX73" s="48"/>
      <c r="AY73" s="48"/>
      <c r="AZ73" s="48"/>
      <c r="BA73" s="48"/>
      <c r="BC73" s="48"/>
      <c r="BD73" s="48"/>
      <c r="BF73" s="91">
        <v>71</v>
      </c>
      <c r="BG73" s="61" t="str">
        <f t="shared" si="20"/>
        <v/>
      </c>
      <c r="BH73" s="90"/>
      <c r="BI73" s="90"/>
      <c r="BJ73" s="105"/>
      <c r="BK73" s="91">
        <v>71</v>
      </c>
      <c r="BL73" s="61">
        <f t="shared" si="13"/>
        <v>48.658235294117652</v>
      </c>
      <c r="BM73" s="90">
        <f>IFERROR(LARGE($X$3:$X$102,71),"")</f>
        <v>-65.962713235294117</v>
      </c>
      <c r="BN73" s="90">
        <f t="shared" si="16"/>
        <v>-46.311046568627461</v>
      </c>
      <c r="BO73" s="92">
        <f t="shared" si="17"/>
        <v>9</v>
      </c>
      <c r="BP73" s="103">
        <v>71</v>
      </c>
      <c r="BQ73" s="61">
        <f t="shared" si="14"/>
        <v>85.247513030528665</v>
      </c>
      <c r="BR73" s="90">
        <f>IFERROR(LARGE($AL$3:$AL$102,71),"")</f>
        <v>-31.668070141474317</v>
      </c>
      <c r="BS73" s="90">
        <f t="shared" si="18"/>
        <v>-26.219109555721033</v>
      </c>
      <c r="BT73" s="92">
        <f t="shared" si="19"/>
        <v>7</v>
      </c>
      <c r="BU73" s="91">
        <v>71</v>
      </c>
      <c r="BV73" s="61" t="str">
        <f t="shared" si="15"/>
        <v/>
      </c>
      <c r="BW73" s="90"/>
      <c r="BX73" s="90"/>
      <c r="BY73" s="105">
        <f>IFERROR(VALUE(RIGHT(INDEX(ECR!$E:$E,MATCH(P73,ECR!$C:$C,0)),LEN(INDEX(ECR!$E:$E,MATCH(P73,ECR!$C:$C,0)))-2)),"")</f>
        <v>71</v>
      </c>
      <c r="BZ73" s="90"/>
      <c r="CA73" s="90"/>
      <c r="CB73" s="90"/>
      <c r="CC73" s="90"/>
      <c r="CD73" s="90"/>
      <c r="CE73" s="90"/>
      <c r="CF73" s="90"/>
      <c r="CG73" s="90"/>
    </row>
    <row r="74" spans="1:85" s="62" customFormat="1" ht="14.25" customHeight="1" x14ac:dyDescent="0.3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M74" s="48"/>
      <c r="O74" s="45" t="s">
        <v>324</v>
      </c>
      <c r="P74" s="56" t="str">
        <f>VLOOKUP(O74,ECR!E:L,8,FALSE())</f>
        <v>Samaje Perine</v>
      </c>
      <c r="Q74" s="46" t="str">
        <f>IFERROR(VLOOKUP(Table4[[#This Row],[PLAYER]],ECR!C:F,2,FALSE()),"-")</f>
        <v>CIN</v>
      </c>
      <c r="R74" s="46">
        <f>IFERROR(VLOOKUP(Table4[[#This Row],[PLAYER]],ECR!C:F,4,FALSE()),"-")</f>
        <v>6</v>
      </c>
      <c r="S74" s="46" t="str">
        <f>Table4[[#This Row],[Team]] &amp; "/" &amp; Table4[[#This Row],[Bye]]</f>
        <v>CIN/6</v>
      </c>
      <c r="T74" s="57">
        <f>IFERROR(VLOOKUP(Table4[[#This Row],[PLAYER]],RB!A:Q,13,FALSE())/17*(17-Table4[[#This Row],[Missed Games]]),0)</f>
        <v>60.763529411764701</v>
      </c>
      <c r="U74" s="57">
        <f>IFERROR(VLOOKUP(Table4[[#This Row],[PLAYER]],RB!A:Q,14,FALSE())/17*(17-Table4[[#This Row],[Missed Games]]),0)</f>
        <v>66.865882352941199</v>
      </c>
      <c r="V74" s="57">
        <f>IFERROR(VLOOKUP(Table4[[#This Row],[PLAYER]],RB!A:Q,15,FALSE())/17*(17-Table4[[#This Row],[Missed Games]]),0)</f>
        <v>72.050588235294128</v>
      </c>
      <c r="W74" s="58">
        <f>AVERAGE(AVERAGE(Table4[[#This Row],[LOW]],Table4[[#This Row],[HIGH]]),Table4[[#This Row],[AVG]],VLOOKUP(Table4[[#This Row],[PLAYER]],ECR!L:N,3,FALSE))</f>
        <v>58.053921568627459</v>
      </c>
      <c r="X74" s="58">
        <f>Table4[[#This Row],[Zscore Projection]]-$Q$1</f>
        <v>-56.100556372549008</v>
      </c>
      <c r="Y74" s="59">
        <f>MAX(Table4[[#This Row],[VBD]]*Scoring!$B$48+1,1)</f>
        <v>1</v>
      </c>
      <c r="Z74" s="45">
        <f>VLOOKUP(Table4[[#This Row],[VBD]],BM:BO,3,FALSE)</f>
        <v>9</v>
      </c>
      <c r="AA74" s="60">
        <f>VLOOKUP(INDEX(ECR!$E:$E,MATCH(P74,ECR!$C:$C,0)),RISK!A:B,2,FALSE())</f>
        <v>4</v>
      </c>
      <c r="AB74" s="61"/>
      <c r="AC74" s="46" t="s">
        <v>278</v>
      </c>
      <c r="AD74" s="46" t="str">
        <f>VLOOKUP(AC74,ECR!E:L,8,FALSE())</f>
        <v>Malik Washington</v>
      </c>
      <c r="AE74" s="46" t="str">
        <f>IFERROR(VLOOKUP(Table6[[#This Row],[PLAYER]],ECR!C:F,2,FALSE()),"-")</f>
        <v>MIA</v>
      </c>
      <c r="AF74" s="46">
        <f>IFERROR(VLOOKUP(Table6[[#This Row],[PLAYER]],ECR!C:F,4,FALSE()),"-")</f>
        <v>6</v>
      </c>
      <c r="AG74" s="46" t="str">
        <f>Table6[[#This Row],[Team]] &amp; "/" &amp; Table6[[#This Row],[Bye]]</f>
        <v>MIA/6</v>
      </c>
      <c r="AH74" s="57">
        <f>IFERROR(VLOOKUP(Table6[[#This Row],[PLAYER]],WR!A:Q,13,FALSE())/17*(17-Table6[[#This Row],[Missed Games]]),0)</f>
        <v>58.355748324646321</v>
      </c>
      <c r="AI74" s="57">
        <f>IFERROR(VLOOKUP(Table6[[#This Row],[PLAYER]],WR!A:Q,14,FALSE())/17*(17-Table6[[#This Row],[Missed Games]]),0)</f>
        <v>68.088153387937467</v>
      </c>
      <c r="AJ74" s="57">
        <f>IFERROR(VLOOKUP(Table6[[#This Row],[PLAYER]],WR!A:Q,15,FALSE())/17*(17-Table6[[#This Row],[Missed Games]]),0)</f>
        <v>78.323425167535376</v>
      </c>
      <c r="AK74" s="58">
        <f>AVERAGE(AVERAGE(Table6[[#This Row],[LOW]],Table6[[#This Row],[HIGH]]),Table6[[#This Row],[AVG]],VLOOKUP(Table6[[#This Row],[PLAYER]],ECR!L:N,3,FALSE))</f>
        <v>73.860805410771917</v>
      </c>
      <c r="AL74" s="58">
        <f>Table6[[#This Row],[Zscore Projection]]-$AE$1</f>
        <v>-40.843092578803663</v>
      </c>
      <c r="AM74" s="59">
        <f>MAX(Table6[[#This Row],[VBD]]*Scoring!$B$48+1,1)</f>
        <v>1</v>
      </c>
      <c r="AN74" s="45">
        <f>VLOOKUP(Table6[[#This Row],[VBD]],BR:BT,3,FALSE)</f>
        <v>7</v>
      </c>
      <c r="AO74" s="60">
        <f>VLOOKUP(INDEX(ECR!$E:$E,MATCH(AD74,ECR!$C:$C,0)),RISK!A:B,2,FALSE())</f>
        <v>3.848101265822784</v>
      </c>
      <c r="AP74" s="61"/>
      <c r="AQ74" s="47" t="s">
        <v>432</v>
      </c>
      <c r="AR74" s="48"/>
      <c r="AT74" s="48"/>
      <c r="AU74" s="48"/>
      <c r="AV74" s="48"/>
      <c r="AW74" s="48"/>
      <c r="AX74" s="48"/>
      <c r="AY74" s="48"/>
      <c r="AZ74" s="48"/>
      <c r="BA74" s="48"/>
      <c r="BC74" s="48"/>
      <c r="BD74" s="48"/>
      <c r="BF74" s="91">
        <v>72</v>
      </c>
      <c r="BG74" s="61" t="str">
        <f t="shared" si="20"/>
        <v/>
      </c>
      <c r="BH74" s="90"/>
      <c r="BI74" s="90"/>
      <c r="BJ74" s="105"/>
      <c r="BK74" s="91">
        <v>72</v>
      </c>
      <c r="BL74" s="61">
        <f t="shared" si="13"/>
        <v>40.888823529411759</v>
      </c>
      <c r="BM74" s="90">
        <f>IFERROR(LARGE($X$3:$X$102,72),"")</f>
        <v>-69.175752450980383</v>
      </c>
      <c r="BN74" s="90">
        <f t="shared" si="16"/>
        <v>-46.311046568627461</v>
      </c>
      <c r="BO74" s="92">
        <f t="shared" si="17"/>
        <v>9</v>
      </c>
      <c r="BP74" s="103">
        <v>72</v>
      </c>
      <c r="BQ74" s="61">
        <f t="shared" si="14"/>
        <v>85.154676098287439</v>
      </c>
      <c r="BR74" s="90">
        <f>IFERROR(LARGE($AL$3:$AL$102,72),"")</f>
        <v>-33.768144700918342</v>
      </c>
      <c r="BS74" s="90">
        <f t="shared" si="18"/>
        <v>-26.219109555721033</v>
      </c>
      <c r="BT74" s="92">
        <f t="shared" si="19"/>
        <v>7</v>
      </c>
      <c r="BU74" s="91">
        <v>72</v>
      </c>
      <c r="BV74" s="61" t="str">
        <f t="shared" si="15"/>
        <v/>
      </c>
      <c r="BW74" s="90"/>
      <c r="BX74" s="90"/>
      <c r="BY74" s="105">
        <f>IFERROR(VALUE(RIGHT(INDEX(ECR!$E:$E,MATCH(P74,ECR!$C:$C,0)),LEN(INDEX(ECR!$E:$E,MATCH(P74,ECR!$C:$C,0)))-2)),"")</f>
        <v>72</v>
      </c>
      <c r="BZ74" s="90"/>
      <c r="CA74" s="90"/>
      <c r="CB74" s="90"/>
      <c r="CC74" s="90"/>
      <c r="CD74" s="90"/>
      <c r="CE74" s="90"/>
      <c r="CF74" s="90"/>
      <c r="CG74" s="90"/>
    </row>
    <row r="75" spans="1:85" s="62" customFormat="1" ht="14.25" customHeight="1" x14ac:dyDescent="0.3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M75" s="48"/>
      <c r="O75" s="45" t="s">
        <v>267</v>
      </c>
      <c r="P75" s="56" t="str">
        <f>VLOOKUP(O75,ECR!E:L,8,FALSE())</f>
        <v>Demond Claiborne</v>
      </c>
      <c r="Q75" s="46" t="str">
        <f>IFERROR(VLOOKUP(Table4[[#This Row],[PLAYER]],ECR!C:F,2,FALSE()),"-")</f>
        <v>MIN</v>
      </c>
      <c r="R75" s="46">
        <f>IFERROR(VLOOKUP(Table4[[#This Row],[PLAYER]],ECR!C:F,4,FALSE()),"-")</f>
        <v>6</v>
      </c>
      <c r="S75" s="46" t="str">
        <f>Table4[[#This Row],[Team]] &amp; "/" &amp; Table4[[#This Row],[Bye]]</f>
        <v>MIN/6</v>
      </c>
      <c r="T75" s="57">
        <f>IFERROR(VLOOKUP(Table4[[#This Row],[PLAYER]],RB!A:Q,13,FALSE())/17*(17-Table4[[#This Row],[Missed Games]]),0)</f>
        <v>54.899978823529416</v>
      </c>
      <c r="U75" s="57">
        <f>IFERROR(VLOOKUP(Table4[[#This Row],[PLAYER]],RB!A:Q,14,FALSE())/17*(17-Table4[[#This Row],[Missed Games]]),0)</f>
        <v>60.551155294117649</v>
      </c>
      <c r="V75" s="57">
        <f>IFERROR(VLOOKUP(Table4[[#This Row],[PLAYER]],RB!A:Q,15,FALSE())/17*(17-Table4[[#This Row],[Missed Games]]),0)</f>
        <v>66.026449411764702</v>
      </c>
      <c r="W75" s="58">
        <f>AVERAGE(AVERAGE(Table4[[#This Row],[LOW]],Table4[[#This Row],[HIGH]]),Table4[[#This Row],[AVG]],VLOOKUP(Table4[[#This Row],[PLAYER]],ECR!L:N,3,FALSE))</f>
        <v>53.837730980392159</v>
      </c>
      <c r="X75" s="58">
        <f>Table4[[#This Row],[Zscore Projection]]-$Q$1</f>
        <v>-60.316746960784307</v>
      </c>
      <c r="Y75" s="59">
        <f>MAX(Table4[[#This Row],[VBD]]*Scoring!$B$48+1,1)</f>
        <v>1</v>
      </c>
      <c r="Z75" s="45">
        <f>VLOOKUP(Table4[[#This Row],[VBD]],BM:BO,3,FALSE)</f>
        <v>9</v>
      </c>
      <c r="AA75" s="60">
        <f>VLOOKUP(INDEX(ECR!$E:$E,MATCH(P75,ECR!$C:$C,0)),RISK!A:B,2,FALSE())</f>
        <v>4</v>
      </c>
      <c r="AB75" s="61"/>
      <c r="AC75" s="46" t="s">
        <v>276</v>
      </c>
      <c r="AD75" s="46" t="str">
        <f>VLOOKUP(AC75,ECR!E:L,8,FALSE())</f>
        <v>Calvin Ridley</v>
      </c>
      <c r="AE75" s="46" t="str">
        <f>IFERROR(VLOOKUP(Table6[[#This Row],[PLAYER]],ECR!C:F,2,FALSE()),"-")</f>
        <v>TEN</v>
      </c>
      <c r="AF75" s="46">
        <f>IFERROR(VLOOKUP(Table6[[#This Row],[PLAYER]],ECR!C:F,4,FALSE()),"-")</f>
        <v>9</v>
      </c>
      <c r="AG75" s="46" t="str">
        <f>Table6[[#This Row],[Team]] &amp; "/" &amp; Table6[[#This Row],[Bye]]</f>
        <v>TEN/9</v>
      </c>
      <c r="AH75" s="57">
        <f>IFERROR(VLOOKUP(Table6[[#This Row],[PLAYER]],WR!A:Q,13,FALSE())/17*(17-Table6[[#This Row],[Missed Games]]),0)</f>
        <v>85.642069992553985</v>
      </c>
      <c r="AI75" s="57">
        <f>IFERROR(VLOOKUP(Table6[[#This Row],[PLAYER]],WR!A:Q,14,FALSE())/17*(17-Table6[[#This Row],[Missed Games]]),0)</f>
        <v>96.449836187639619</v>
      </c>
      <c r="AJ75" s="57">
        <f>IFERROR(VLOOKUP(Table6[[#This Row],[PLAYER]],WR!A:Q,15,FALSE())/17*(17-Table6[[#This Row],[Missed Games]]),0)</f>
        <v>107.6985778108712</v>
      </c>
      <c r="AK75" s="58">
        <f>AVERAGE(AVERAGE(Table6[[#This Row],[LOW]],Table6[[#This Row],[HIGH]]),Table6[[#This Row],[AVG]],VLOOKUP(Table6[[#This Row],[PLAYER]],ECR!L:N,3,FALSE))</f>
        <v>92.054265326383742</v>
      </c>
      <c r="AL75" s="58">
        <f>Table6[[#This Row],[Zscore Projection]]-$AE$1</f>
        <v>-22.649632663191838</v>
      </c>
      <c r="AM75" s="59">
        <f>MAX(Table6[[#This Row],[VBD]]*Scoring!$B$48+1,1)</f>
        <v>1</v>
      </c>
      <c r="AN75" s="45">
        <f>VLOOKUP(Table6[[#This Row],[VBD]],BR:BT,3,FALSE)</f>
        <v>6</v>
      </c>
      <c r="AO75" s="60">
        <f>VLOOKUP(INDEX(ECR!$E:$E,MATCH(AD75,ECR!$C:$C,0)),RISK!A:B,2,FALSE())</f>
        <v>3.848101265822784</v>
      </c>
      <c r="AP75" s="61"/>
      <c r="AQ75" s="47" t="s">
        <v>433</v>
      </c>
      <c r="AR75" s="48"/>
      <c r="AT75" s="48"/>
      <c r="AU75" s="48"/>
      <c r="AV75" s="48"/>
      <c r="AW75" s="48"/>
      <c r="AX75" s="48"/>
      <c r="AY75" s="48"/>
      <c r="AZ75" s="48"/>
      <c r="BA75" s="48"/>
      <c r="BC75" s="48"/>
      <c r="BD75" s="48"/>
      <c r="BF75" s="91">
        <v>73</v>
      </c>
      <c r="BG75" s="61" t="str">
        <f t="shared" si="20"/>
        <v/>
      </c>
      <c r="BH75" s="90"/>
      <c r="BI75" s="90"/>
      <c r="BJ75" s="105"/>
      <c r="BK75" s="91">
        <v>73</v>
      </c>
      <c r="BL75" s="61">
        <f t="shared" si="13"/>
        <v>40.498823529411759</v>
      </c>
      <c r="BM75" s="90">
        <f>IFERROR(LARGE($X$3:$X$102,73),"")</f>
        <v>-71.532321078431366</v>
      </c>
      <c r="BN75" s="90">
        <f t="shared" si="16"/>
        <v>-71.532321078431366</v>
      </c>
      <c r="BO75" s="92">
        <f t="shared" si="17"/>
        <v>10</v>
      </c>
      <c r="BP75" s="103">
        <v>73</v>
      </c>
      <c r="BQ75" s="61">
        <f t="shared" si="14"/>
        <v>83.042635889798973</v>
      </c>
      <c r="BR75" s="90">
        <f>IFERROR(LARGE($AL$3:$AL$102,73),"")</f>
        <v>-34.56050791759742</v>
      </c>
      <c r="BS75" s="90">
        <f t="shared" si="18"/>
        <v>-26.219109555721033</v>
      </c>
      <c r="BT75" s="92">
        <f t="shared" si="19"/>
        <v>7</v>
      </c>
      <c r="BU75" s="91">
        <v>73</v>
      </c>
      <c r="BV75" s="61" t="str">
        <f t="shared" si="15"/>
        <v/>
      </c>
      <c r="BW75" s="90"/>
      <c r="BX75" s="90"/>
      <c r="BY75" s="105">
        <f>IFERROR(VALUE(RIGHT(INDEX(ECR!$E:$E,MATCH(P75,ECR!$C:$C,0)),LEN(INDEX(ECR!$E:$E,MATCH(P75,ECR!$C:$C,0)))-2)),"")</f>
        <v>73</v>
      </c>
      <c r="BZ75" s="90"/>
      <c r="CA75" s="90"/>
      <c r="CB75" s="90"/>
      <c r="CC75" s="90"/>
      <c r="CD75" s="90"/>
      <c r="CE75" s="90"/>
      <c r="CF75" s="90"/>
      <c r="CG75" s="90"/>
    </row>
    <row r="76" spans="1:85" s="62" customFormat="1" ht="14.25" customHeight="1" x14ac:dyDescent="0.3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M76" s="48"/>
      <c r="O76" s="45" t="s">
        <v>219</v>
      </c>
      <c r="P76" s="56" t="str">
        <f>VLOOKUP(O76,ECR!E:L,8,FALSE())</f>
        <v>Chris Brooks</v>
      </c>
      <c r="Q76" s="46" t="str">
        <f>IFERROR(VLOOKUP(Table4[[#This Row],[PLAYER]],ECR!C:F,2,FALSE()),"-")</f>
        <v>GB</v>
      </c>
      <c r="R76" s="46">
        <f>IFERROR(VLOOKUP(Table4[[#This Row],[PLAYER]],ECR!C:F,4,FALSE()),"-")</f>
        <v>11</v>
      </c>
      <c r="S76" s="46" t="str">
        <f>Table4[[#This Row],[Team]] &amp; "/" &amp; Table4[[#This Row],[Bye]]</f>
        <v>GB/11</v>
      </c>
      <c r="T76" s="57">
        <f>IFERROR(VLOOKUP(Table4[[#This Row],[PLAYER]],RB!A:Q,13,FALSE())/17*(17-Table4[[#This Row],[Missed Games]]),0)</f>
        <v>36.591176470588238</v>
      </c>
      <c r="U76" s="57">
        <f>IFERROR(VLOOKUP(Table4[[#This Row],[PLAYER]],RB!A:Q,14,FALSE())/17*(17-Table4[[#This Row],[Missed Games]]),0)</f>
        <v>53.957647058823525</v>
      </c>
      <c r="V76" s="57">
        <f>IFERROR(VLOOKUP(Table4[[#This Row],[PLAYER]],RB!A:Q,15,FALSE())/17*(17-Table4[[#This Row],[Missed Games]]),0)</f>
        <v>70.819411764705862</v>
      </c>
      <c r="W76" s="58">
        <f>AVERAGE(AVERAGE(Table4[[#This Row],[LOW]],Table4[[#This Row],[HIGH]]),Table4[[#This Row],[AVG]],VLOOKUP(Table4[[#This Row],[PLAYER]],ECR!L:N,3,FALSE))</f>
        <v>48.191764705882349</v>
      </c>
      <c r="X76" s="58">
        <f>Table4[[#This Row],[Zscore Projection]]-$Q$1</f>
        <v>-65.962713235294117</v>
      </c>
      <c r="Y76" s="59">
        <f>MAX(Table4[[#This Row],[VBD]]*Scoring!$B$48+1,1)</f>
        <v>1</v>
      </c>
      <c r="Z76" s="45">
        <f>VLOOKUP(Table4[[#This Row],[VBD]],BM:BO,3,FALSE)</f>
        <v>9</v>
      </c>
      <c r="AA76" s="60">
        <f>VLOOKUP(INDEX(ECR!$E:$E,MATCH(P76,ECR!$C:$C,0)),RISK!A:B,2,FALSE())</f>
        <v>4</v>
      </c>
      <c r="AB76" s="61"/>
      <c r="AC76" s="46" t="s">
        <v>248</v>
      </c>
      <c r="AD76" s="46" t="str">
        <f>VLOOKUP(AC76,ECR!E:L,8,FALSE())</f>
        <v>Jaylin Noel</v>
      </c>
      <c r="AE76" s="46" t="str">
        <f>IFERROR(VLOOKUP(Table6[[#This Row],[PLAYER]],ECR!C:F,2,FALSE()),"-")</f>
        <v>HOU</v>
      </c>
      <c r="AF76" s="46">
        <f>IFERROR(VLOOKUP(Table6[[#This Row],[PLAYER]],ECR!C:F,4,FALSE()),"-")</f>
        <v>8</v>
      </c>
      <c r="AG76" s="46" t="str">
        <f>Table6[[#This Row],[Team]] &amp; "/" &amp; Table6[[#This Row],[Bye]]</f>
        <v>HOU/8</v>
      </c>
      <c r="AH76" s="57">
        <f>IFERROR(VLOOKUP(Table6[[#This Row],[PLAYER]],WR!A:Q,13,FALSE())/17*(17-Table6[[#This Row],[Missed Games]]),0)</f>
        <v>65.682129560685027</v>
      </c>
      <c r="AI76" s="57">
        <f>IFERROR(VLOOKUP(Table6[[#This Row],[PLAYER]],WR!A:Q,14,FALSE())/17*(17-Table6[[#This Row],[Missed Games]]),0)</f>
        <v>75.592472077438572</v>
      </c>
      <c r="AJ76" s="57">
        <f>IFERROR(VLOOKUP(Table6[[#This Row],[PLAYER]],WR!A:Q,15,FALSE())/17*(17-Table6[[#This Row],[Missed Games]]),0)</f>
        <v>84.999947877885319</v>
      </c>
      <c r="AK76" s="58">
        <f>AVERAGE(AVERAGE(Table6[[#This Row],[LOW]],Table6[[#This Row],[HIGH]]),Table6[[#This Row],[AVG]],VLOOKUP(Table6[[#This Row],[PLAYER]],ECR!L:N,3,FALSE))</f>
        <v>77.746959394390672</v>
      </c>
      <c r="AL76" s="58">
        <f>Table6[[#This Row],[Zscore Projection]]-$AE$1</f>
        <v>-36.956938595184909</v>
      </c>
      <c r="AM76" s="59">
        <f>MAX(Table6[[#This Row],[VBD]]*Scoring!$B$48+1,1)</f>
        <v>1</v>
      </c>
      <c r="AN76" s="45">
        <f>VLOOKUP(Table6[[#This Row],[VBD]],BR:BT,3,FALSE)</f>
        <v>7</v>
      </c>
      <c r="AO76" s="60">
        <f>VLOOKUP(INDEX(ECR!$E:$E,MATCH(AD76,ECR!$C:$C,0)),RISK!A:B,2,FALSE())</f>
        <v>3.848101265822784</v>
      </c>
      <c r="AP76" s="61"/>
      <c r="AQ76" s="47" t="s">
        <v>434</v>
      </c>
      <c r="AR76" s="48"/>
      <c r="AT76" s="48"/>
      <c r="AU76" s="48"/>
      <c r="AV76" s="48"/>
      <c r="AW76" s="48"/>
      <c r="AX76" s="48"/>
      <c r="AY76" s="48"/>
      <c r="AZ76" s="48"/>
      <c r="BA76" s="48"/>
      <c r="BC76" s="48"/>
      <c r="BD76" s="48"/>
      <c r="BF76" s="91">
        <v>74</v>
      </c>
      <c r="BG76" s="61" t="str">
        <f t="shared" si="20"/>
        <v/>
      </c>
      <c r="BH76" s="90"/>
      <c r="BI76" s="90"/>
      <c r="BJ76" s="105"/>
      <c r="BK76" s="91">
        <v>74</v>
      </c>
      <c r="BL76" s="61">
        <f t="shared" si="13"/>
        <v>36.912352941176479</v>
      </c>
      <c r="BM76" s="90">
        <f>IFERROR(LARGE($X$3:$X$102,74),"")</f>
        <v>-73.89143872549019</v>
      </c>
      <c r="BN76" s="90">
        <f t="shared" si="16"/>
        <v>-71.532321078431366</v>
      </c>
      <c r="BO76" s="92">
        <f t="shared" si="17"/>
        <v>10</v>
      </c>
      <c r="BP76" s="103">
        <v>74</v>
      </c>
      <c r="BQ76" s="61">
        <f t="shared" si="14"/>
        <v>82.307367386448263</v>
      </c>
      <c r="BR76" s="90">
        <f>IFERROR(LARGE($AL$3:$AL$102,74),"")</f>
        <v>-34.936342764954077</v>
      </c>
      <c r="BS76" s="90">
        <f t="shared" si="18"/>
        <v>-26.219109555721033</v>
      </c>
      <c r="BT76" s="92">
        <f t="shared" si="19"/>
        <v>7</v>
      </c>
      <c r="BU76" s="91">
        <v>74</v>
      </c>
      <c r="BV76" s="61" t="str">
        <f t="shared" si="15"/>
        <v/>
      </c>
      <c r="BW76" s="90"/>
      <c r="BX76" s="90"/>
      <c r="BY76" s="105">
        <f>IFERROR(VALUE(RIGHT(INDEX(ECR!$E:$E,MATCH(P76,ECR!$C:$C,0)),LEN(INDEX(ECR!$E:$E,MATCH(P76,ECR!$C:$C,0)))-2)),"")</f>
        <v>74</v>
      </c>
      <c r="BZ76" s="90"/>
      <c r="CA76" s="90"/>
      <c r="CB76" s="90"/>
      <c r="CC76" s="90"/>
      <c r="CD76" s="90"/>
      <c r="CE76" s="90"/>
      <c r="CF76" s="90"/>
      <c r="CG76" s="90"/>
    </row>
    <row r="77" spans="1:85" s="62" customFormat="1" ht="14.25" customHeight="1" x14ac:dyDescent="0.3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M77" s="48"/>
      <c r="O77" s="45" t="s">
        <v>303</v>
      </c>
      <c r="P77" s="56" t="str">
        <f>VLOOKUP(O77,ECR!E:L,8,FALSE())</f>
        <v>Kaleb Johnson</v>
      </c>
      <c r="Q77" s="46" t="str">
        <f>IFERROR(VLOOKUP(Table4[[#This Row],[PLAYER]],ECR!C:F,2,FALSE()),"-")</f>
        <v>GB</v>
      </c>
      <c r="R77" s="46">
        <f>IFERROR(VLOOKUP(Table4[[#This Row],[PLAYER]],ECR!C:F,4,FALSE()),"-")</f>
        <v>11</v>
      </c>
      <c r="S77" s="46" t="str">
        <f>Table4[[#This Row],[Team]] &amp; "/" &amp; Table4[[#This Row],[Bye]]</f>
        <v>GB/11</v>
      </c>
      <c r="T77" s="57">
        <f>IFERROR(VLOOKUP(Table4[[#This Row],[PLAYER]],RB!A:Q,13,FALSE())/17*(17-Table4[[#This Row],[Missed Games]]),0)</f>
        <v>5.6970588235294128</v>
      </c>
      <c r="U77" s="57">
        <f>IFERROR(VLOOKUP(Table4[[#This Row],[PLAYER]],RB!A:Q,14,FALSE())/17*(17-Table4[[#This Row],[Missed Games]]),0)</f>
        <v>5.6970588235294128</v>
      </c>
      <c r="V77" s="57">
        <f>IFERROR(VLOOKUP(Table4[[#This Row],[PLAYER]],RB!A:Q,15,FALSE())/17*(17-Table4[[#This Row],[Missed Games]]),0)</f>
        <v>5.6970588235294128</v>
      </c>
      <c r="W77" s="58">
        <f>AVERAGE(AVERAGE(Table4[[#This Row],[LOW]],Table4[[#This Row],[HIGH]]),Table4[[#This Row],[AVG]],VLOOKUP(Table4[[#This Row],[PLAYER]],ECR!L:N,3,FALSE))</f>
        <v>15.793725490196081</v>
      </c>
      <c r="X77" s="58">
        <f>Table4[[#This Row],[Zscore Projection]]-$Q$1</f>
        <v>-98.360752450980385</v>
      </c>
      <c r="Y77" s="59">
        <f>MAX(Table4[[#This Row],[VBD]]*Scoring!$B$48+1,1)</f>
        <v>1</v>
      </c>
      <c r="Z77" s="45">
        <f>VLOOKUP(Table4[[#This Row],[VBD]],BM:BO,3,FALSE)</f>
        <v>11</v>
      </c>
      <c r="AA77" s="60">
        <f>VLOOKUP(INDEX(ECR!$E:$E,MATCH(P77,ECR!$C:$C,0)),RISK!A:B,2,FALSE())</f>
        <v>4</v>
      </c>
      <c r="AB77" s="61"/>
      <c r="AC77" s="46" t="s">
        <v>246</v>
      </c>
      <c r="AD77" s="46" t="str">
        <f>VLOOKUP(AC77,ECR!E:L,8,FALSE())</f>
        <v>Travis Hunter</v>
      </c>
      <c r="AE77" s="46" t="str">
        <f>IFERROR(VLOOKUP(Table6[[#This Row],[PLAYER]],ECR!C:F,2,FALSE()),"-")</f>
        <v>JAC</v>
      </c>
      <c r="AF77" s="46">
        <f>IFERROR(VLOOKUP(Table6[[#This Row],[PLAYER]],ECR!C:F,4,FALSE()),"-")</f>
        <v>7</v>
      </c>
      <c r="AG77" s="46" t="str">
        <f>Table6[[#This Row],[Team]] &amp; "/" &amp; Table6[[#This Row],[Bye]]</f>
        <v>JAC/7</v>
      </c>
      <c r="AH77" s="57">
        <f>IFERROR(VLOOKUP(Table6[[#This Row],[PLAYER]],WR!A:Q,13,FALSE())/17*(17-Table6[[#This Row],[Missed Games]]),0)</f>
        <v>64.746023827252429</v>
      </c>
      <c r="AI77" s="57">
        <f>IFERROR(VLOOKUP(Table6[[#This Row],[PLAYER]],WR!A:Q,14,FALSE())/17*(17-Table6[[#This Row],[Missed Games]]),0)</f>
        <v>64.746023827252429</v>
      </c>
      <c r="AJ77" s="57">
        <f>IFERROR(VLOOKUP(Table6[[#This Row],[PLAYER]],WR!A:Q,15,FALSE())/17*(17-Table6[[#This Row],[Missed Games]]),0)</f>
        <v>64.746023827252429</v>
      </c>
      <c r="AK77" s="58">
        <f>AVERAGE(AVERAGE(Table6[[#This Row],[LOW]],Table6[[#This Row],[HIGH]]),Table6[[#This Row],[AVG]],VLOOKUP(Table6[[#This Row],[PLAYER]],ECR!L:N,3,FALSE))</f>
        <v>70.262084884586741</v>
      </c>
      <c r="AL77" s="58">
        <f>Table6[[#This Row],[Zscore Projection]]-$AE$1</f>
        <v>-44.441813104988839</v>
      </c>
      <c r="AM77" s="59">
        <f>MAX(Table6[[#This Row],[VBD]]*Scoring!$B$48+1,1)</f>
        <v>1</v>
      </c>
      <c r="AN77" s="45">
        <f>VLOOKUP(Table6[[#This Row],[VBD]],BR:BT,3,FALSE)</f>
        <v>7</v>
      </c>
      <c r="AO77" s="60">
        <f>VLOOKUP(INDEX(ECR!$E:$E,MATCH(AD77,ECR!$C:$C,0)),RISK!A:B,2,FALSE())</f>
        <v>3.848101265822784</v>
      </c>
      <c r="AP77" s="61"/>
      <c r="AQ77" s="47" t="s">
        <v>435</v>
      </c>
      <c r="AR77" s="48"/>
      <c r="AT77" s="48"/>
      <c r="AU77" s="48"/>
      <c r="AV77" s="48"/>
      <c r="AW77" s="48"/>
      <c r="AX77" s="48"/>
      <c r="AY77" s="48"/>
      <c r="AZ77" s="48"/>
      <c r="BA77" s="48"/>
      <c r="BC77" s="48"/>
      <c r="BD77" s="48"/>
      <c r="BF77" s="91">
        <v>75</v>
      </c>
      <c r="BG77" s="61" t="str">
        <f t="shared" si="20"/>
        <v/>
      </c>
      <c r="BH77" s="90"/>
      <c r="BI77" s="90"/>
      <c r="BJ77" s="105"/>
      <c r="BK77" s="91">
        <v>75</v>
      </c>
      <c r="BL77" s="61">
        <f t="shared" si="13"/>
        <v>35.987058823529416</v>
      </c>
      <c r="BM77" s="90">
        <f>IFERROR(LARGE($X$3:$X$102,75),"")</f>
        <v>-75.654089156862739</v>
      </c>
      <c r="BN77" s="90">
        <f t="shared" si="16"/>
        <v>-71.532321078431366</v>
      </c>
      <c r="BO77" s="92">
        <f t="shared" si="17"/>
        <v>10</v>
      </c>
      <c r="BP77" s="103">
        <v>75</v>
      </c>
      <c r="BQ77" s="61">
        <f t="shared" si="14"/>
        <v>81.294206999255394</v>
      </c>
      <c r="BR77" s="90">
        <f>IFERROR(LARGE($AL$3:$AL$102,75),"")</f>
        <v>-35.142698634897002</v>
      </c>
      <c r="BS77" s="90">
        <f t="shared" si="18"/>
        <v>-26.219109555721033</v>
      </c>
      <c r="BT77" s="92">
        <f t="shared" si="19"/>
        <v>7</v>
      </c>
      <c r="BU77" s="91">
        <v>75</v>
      </c>
      <c r="BV77" s="61" t="str">
        <f t="shared" si="15"/>
        <v/>
      </c>
      <c r="BW77" s="90"/>
      <c r="BX77" s="90"/>
      <c r="BY77" s="105">
        <f>IFERROR(VALUE(RIGHT(INDEX(ECR!$E:$E,MATCH(P77,ECR!$C:$C,0)),LEN(INDEX(ECR!$E:$E,MATCH(P77,ECR!$C:$C,0)))-2)),"")</f>
        <v>75</v>
      </c>
      <c r="BZ77" s="90"/>
      <c r="CA77" s="90"/>
      <c r="CB77" s="90"/>
      <c r="CC77" s="90"/>
      <c r="CD77" s="90"/>
      <c r="CE77" s="90"/>
      <c r="CF77" s="90"/>
      <c r="CG77" s="90"/>
    </row>
    <row r="78" spans="1:85" s="62" customFormat="1" ht="14.25" customHeight="1" x14ac:dyDescent="0.3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M78" s="48"/>
      <c r="O78" s="45" t="s">
        <v>306</v>
      </c>
      <c r="P78" s="56" t="str">
        <f>VLOOKUP(O78,ECR!E:L,8,FALSE())</f>
        <v>Ollie Gordon II</v>
      </c>
      <c r="Q78" s="46" t="str">
        <f>IFERROR(VLOOKUP(Table4[[#This Row],[PLAYER]],ECR!C:F,2,FALSE()),"-")</f>
        <v>MIA</v>
      </c>
      <c r="R78" s="46">
        <f>IFERROR(VLOOKUP(Table4[[#This Row],[PLAYER]],ECR!C:F,4,FALSE()),"-")</f>
        <v>6</v>
      </c>
      <c r="S78" s="46" t="str">
        <f>Table4[[#This Row],[Team]] &amp; "/" &amp; Table4[[#This Row],[Bye]]</f>
        <v>MIA/6</v>
      </c>
      <c r="T78" s="57">
        <f>IFERROR(VLOOKUP(Table4[[#This Row],[PLAYER]],RB!A:Q,13,FALSE())/17*(17-Table4[[#This Row],[Missed Games]]),0)</f>
        <v>11.088235294117647</v>
      </c>
      <c r="U78" s="57">
        <f>IFERROR(VLOOKUP(Table4[[#This Row],[PLAYER]],RB!A:Q,14,FALSE())/17*(17-Table4[[#This Row],[Missed Games]]),0)</f>
        <v>18.047058823529415</v>
      </c>
      <c r="V78" s="57">
        <f>IFERROR(VLOOKUP(Table4[[#This Row],[PLAYER]],RB!A:Q,15,FALSE())/17*(17-Table4[[#This Row],[Missed Games]]),0)</f>
        <v>24.501176470588234</v>
      </c>
      <c r="W78" s="58">
        <f>AVERAGE(AVERAGE(Table4[[#This Row],[LOW]],Table4[[#This Row],[HIGH]]),Table4[[#This Row],[AVG]],VLOOKUP(Table4[[#This Row],[PLAYER]],ECR!L:N,3,FALSE))</f>
        <v>22.270784313725489</v>
      </c>
      <c r="X78" s="58">
        <f>Table4[[#This Row],[Zscore Projection]]-$Q$1</f>
        <v>-91.883693627450981</v>
      </c>
      <c r="Y78" s="59">
        <f>MAX(Table4[[#This Row],[VBD]]*Scoring!$B$48+1,1)</f>
        <v>1</v>
      </c>
      <c r="Z78" s="45">
        <f>VLOOKUP(Table4[[#This Row],[VBD]],BM:BO,3,FALSE)</f>
        <v>10</v>
      </c>
      <c r="AA78" s="60">
        <f>VLOOKUP(INDEX(ECR!$E:$E,MATCH(P78,ECR!$C:$C,0)),RISK!A:B,2,FALSE())</f>
        <v>4</v>
      </c>
      <c r="AB78" s="61"/>
      <c r="AC78" s="46" t="s">
        <v>283</v>
      </c>
      <c r="AD78" s="46" t="str">
        <f>VLOOKUP(AC78,ECR!E:L,8,FALSE())</f>
        <v>Rashod Bateman</v>
      </c>
      <c r="AE78" s="46" t="str">
        <f>IFERROR(VLOOKUP(Table6[[#This Row],[PLAYER]],ECR!C:F,2,FALSE()),"-")</f>
        <v>BAL</v>
      </c>
      <c r="AF78" s="46">
        <f>IFERROR(VLOOKUP(Table6[[#This Row],[PLAYER]],ECR!C:F,4,FALSE()),"-")</f>
        <v>13</v>
      </c>
      <c r="AG78" s="46" t="str">
        <f>Table6[[#This Row],[Team]] &amp; "/" &amp; Table6[[#This Row],[Bye]]</f>
        <v>BAL/13</v>
      </c>
      <c r="AH78" s="57">
        <f>IFERROR(VLOOKUP(Table6[[#This Row],[PLAYER]],WR!A:Q,13,FALSE())/17*(17-Table6[[#This Row],[Missed Games]]),0)</f>
        <v>77.789612807148188</v>
      </c>
      <c r="AI78" s="57">
        <f>IFERROR(VLOOKUP(Table6[[#This Row],[PLAYER]],WR!A:Q,14,FALSE())/17*(17-Table6[[#This Row],[Missed Games]]),0)</f>
        <v>88.829471332836931</v>
      </c>
      <c r="AJ78" s="57">
        <f>IFERROR(VLOOKUP(Table6[[#This Row],[PLAYER]],WR!A:Q,15,FALSE())/17*(17-Table6[[#This Row],[Missed Games]]),0)</f>
        <v>100.0627401340283</v>
      </c>
      <c r="AK78" s="58">
        <f>AVERAGE(AVERAGE(Table6[[#This Row],[LOW]],Table6[[#This Row],[HIGH]]),Table6[[#This Row],[AVG]],VLOOKUP(Table6[[#This Row],[PLAYER]],ECR!L:N,3,FALSE))</f>
        <v>85.989537999503611</v>
      </c>
      <c r="AL78" s="58">
        <f>Table6[[#This Row],[Zscore Projection]]-$AE$1</f>
        <v>-28.714359990071969</v>
      </c>
      <c r="AM78" s="59">
        <f>MAX(Table6[[#This Row],[VBD]]*Scoring!$B$48+1,1)</f>
        <v>1</v>
      </c>
      <c r="AN78" s="45">
        <f>VLOOKUP(Table6[[#This Row],[VBD]],BR:BT,3,FALSE)</f>
        <v>7</v>
      </c>
      <c r="AO78" s="60">
        <f>VLOOKUP(INDEX(ECR!$E:$E,MATCH(AD78,ECR!$C:$C,0)),RISK!A:B,2,FALSE())</f>
        <v>3.848101265822784</v>
      </c>
      <c r="AP78" s="61"/>
      <c r="AQ78" s="47" t="s">
        <v>436</v>
      </c>
      <c r="AR78" s="48"/>
      <c r="AT78" s="48"/>
      <c r="AU78" s="48"/>
      <c r="AV78" s="48"/>
      <c r="AW78" s="48"/>
      <c r="AX78" s="48"/>
      <c r="AY78" s="48"/>
      <c r="AZ78" s="48"/>
      <c r="BA78" s="48"/>
      <c r="BC78" s="48"/>
      <c r="BD78" s="48"/>
      <c r="BF78" s="91">
        <v>76</v>
      </c>
      <c r="BG78" s="61" t="str">
        <f t="shared" si="20"/>
        <v/>
      </c>
      <c r="BH78" s="90"/>
      <c r="BI78" s="90"/>
      <c r="BJ78" s="105"/>
      <c r="BK78" s="91">
        <v>76</v>
      </c>
      <c r="BL78" s="61">
        <f t="shared" si="13"/>
        <v>30.970588235294116</v>
      </c>
      <c r="BM78" s="90">
        <f>IFERROR(LARGE($X$3:$X$102,76),"")</f>
        <v>-75.988007352941167</v>
      </c>
      <c r="BN78" s="90">
        <f t="shared" si="16"/>
        <v>-71.532321078431366</v>
      </c>
      <c r="BO78" s="92">
        <f t="shared" si="17"/>
        <v>10</v>
      </c>
      <c r="BP78" s="103">
        <v>76</v>
      </c>
      <c r="BQ78" s="61">
        <f t="shared" si="14"/>
        <v>80.212966195085642</v>
      </c>
      <c r="BR78" s="90">
        <f>IFERROR(LARGE($AL$3:$AL$102,76),"")</f>
        <v>-36.0310965003723</v>
      </c>
      <c r="BS78" s="90">
        <f t="shared" si="18"/>
        <v>-26.219109555721033</v>
      </c>
      <c r="BT78" s="92">
        <f t="shared" si="19"/>
        <v>7</v>
      </c>
      <c r="BU78" s="91">
        <v>76</v>
      </c>
      <c r="BV78" s="61" t="str">
        <f t="shared" si="15"/>
        <v/>
      </c>
      <c r="BW78" s="90"/>
      <c r="BX78" s="90"/>
      <c r="BY78" s="105">
        <f>IFERROR(VALUE(RIGHT(INDEX(ECR!$E:$E,MATCH(P78,ECR!$C:$C,0)),LEN(INDEX(ECR!$E:$E,MATCH(P78,ECR!$C:$C,0)))-2)),"")</f>
        <v>76</v>
      </c>
      <c r="BZ78" s="90"/>
      <c r="CA78" s="90"/>
      <c r="CB78" s="90"/>
      <c r="CC78" s="90"/>
      <c r="CD78" s="90"/>
      <c r="CE78" s="90"/>
      <c r="CF78" s="90"/>
      <c r="CG78" s="90"/>
    </row>
    <row r="79" spans="1:85" s="62" customFormat="1" ht="14.25" customHeight="1" x14ac:dyDescent="0.3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M79" s="48"/>
      <c r="O79" s="45" t="s">
        <v>286</v>
      </c>
      <c r="P79" s="56" t="str">
        <f>VLOOKUP(O79,ECR!E:L,8,FALSE())</f>
        <v>Jordan James</v>
      </c>
      <c r="Q79" s="46" t="str">
        <f>IFERROR(VLOOKUP(Table4[[#This Row],[PLAYER]],ECR!C:F,2,FALSE()),"-")</f>
        <v>SF</v>
      </c>
      <c r="R79" s="46">
        <f>IFERROR(VLOOKUP(Table4[[#This Row],[PLAYER]],ECR!C:F,4,FALSE()),"-")</f>
        <v>8</v>
      </c>
      <c r="S79" s="46" t="str">
        <f>Table4[[#This Row],[Team]] &amp; "/" &amp; Table4[[#This Row],[Bye]]</f>
        <v>SF/8</v>
      </c>
      <c r="T79" s="57">
        <f>IFERROR(VLOOKUP(Table4[[#This Row],[PLAYER]],RB!A:Q,13,FALSE())/17*(17-Table4[[#This Row],[Missed Games]]),0)</f>
        <v>17.932352941176472</v>
      </c>
      <c r="U79" s="57">
        <f>IFERROR(VLOOKUP(Table4[[#This Row],[PLAYER]],RB!A:Q,14,FALSE())/17*(17-Table4[[#This Row],[Missed Games]]),0)</f>
        <v>52.72647058823528</v>
      </c>
      <c r="V79" s="57">
        <f>IFERROR(VLOOKUP(Table4[[#This Row],[PLAYER]],RB!A:Q,15,FALSE())/17*(17-Table4[[#This Row],[Missed Games]]),0)</f>
        <v>87.558823529411768</v>
      </c>
      <c r="W79" s="58">
        <f>AVERAGE(AVERAGE(Table4[[#This Row],[LOW]],Table4[[#This Row],[HIGH]]),Table4[[#This Row],[AVG]],VLOOKUP(Table4[[#This Row],[PLAYER]],ECR!L:N,3,FALSE))</f>
        <v>44.978725490196076</v>
      </c>
      <c r="X79" s="58">
        <f>Table4[[#This Row],[Zscore Projection]]-$Q$1</f>
        <v>-69.175752450980383</v>
      </c>
      <c r="Y79" s="59">
        <f>MAX(Table4[[#This Row],[VBD]]*Scoring!$B$48+1,1)</f>
        <v>1</v>
      </c>
      <c r="Z79" s="45">
        <f>VLOOKUP(Table4[[#This Row],[VBD]],BM:BO,3,FALSE)</f>
        <v>9</v>
      </c>
      <c r="AA79" s="60">
        <f>VLOOKUP(INDEX(ECR!$E:$E,MATCH(P79,ECR!$C:$C,0)),RISK!A:B,2,FALSE())</f>
        <v>4</v>
      </c>
      <c r="AB79" s="61"/>
      <c r="AC79" s="46" t="s">
        <v>297</v>
      </c>
      <c r="AD79" s="46" t="str">
        <f>VLOOKUP(AC79,ECR!E:L,8,FALSE())</f>
        <v>Chris Bell</v>
      </c>
      <c r="AE79" s="46" t="str">
        <f>IFERROR(VLOOKUP(Table6[[#This Row],[PLAYER]],ECR!C:F,2,FALSE()),"-")</f>
        <v>MIA</v>
      </c>
      <c r="AF79" s="46">
        <f>IFERROR(VLOOKUP(Table6[[#This Row],[PLAYER]],ECR!C:F,4,FALSE()),"-")</f>
        <v>6</v>
      </c>
      <c r="AG79" s="46" t="str">
        <f>Table6[[#This Row],[Team]] &amp; "/" &amp; Table6[[#This Row],[Bye]]</f>
        <v>MIA/6</v>
      </c>
      <c r="AH79" s="57">
        <f>IFERROR(VLOOKUP(Table6[[#This Row],[PLAYER]],WR!A:Q,13,FALSE())/17*(17-Table6[[#This Row],[Missed Games]]),0)</f>
        <v>78.980401191362631</v>
      </c>
      <c r="AI79" s="57">
        <f>IFERROR(VLOOKUP(Table6[[#This Row],[PLAYER]],WR!A:Q,14,FALSE())/17*(17-Table6[[#This Row],[Missed Games]]),0)</f>
        <v>93.130296947133289</v>
      </c>
      <c r="AJ79" s="57">
        <f>IFERROR(VLOOKUP(Table6[[#This Row],[PLAYER]],WR!A:Q,15,FALSE())/17*(17-Table6[[#This Row],[Missed Games]]),0)</f>
        <v>107.24151064780344</v>
      </c>
      <c r="AK79" s="58">
        <f>AVERAGE(AVERAGE(Table6[[#This Row],[LOW]],Table6[[#This Row],[HIGH]]),Table6[[#This Row],[AVG]],VLOOKUP(Table6[[#This Row],[PLAYER]],ECR!L:N,3,FALSE))</f>
        <v>88.484788433854547</v>
      </c>
      <c r="AL79" s="58">
        <f>Table6[[#This Row],[Zscore Projection]]-$AE$1</f>
        <v>-26.219109555721033</v>
      </c>
      <c r="AM79" s="59">
        <f>MAX(Table6[[#This Row],[VBD]]*Scoring!$B$48+1,1)</f>
        <v>1</v>
      </c>
      <c r="AN79" s="45">
        <f>VLOOKUP(Table6[[#This Row],[VBD]],BR:BT,3,FALSE)</f>
        <v>7</v>
      </c>
      <c r="AO79" s="60">
        <f>VLOOKUP(INDEX(ECR!$E:$E,MATCH(AD79,ECR!$C:$C,0)),RISK!A:B,2,FALSE())</f>
        <v>3.848101265822784</v>
      </c>
      <c r="AP79" s="61"/>
      <c r="AQ79" s="47" t="s">
        <v>437</v>
      </c>
      <c r="AR79" s="48"/>
      <c r="AT79" s="48"/>
      <c r="AU79" s="48"/>
      <c r="AV79" s="48"/>
      <c r="AW79" s="48"/>
      <c r="AX79" s="48"/>
      <c r="AY79" s="48"/>
      <c r="AZ79" s="48"/>
      <c r="BA79" s="48"/>
      <c r="BC79" s="48"/>
      <c r="BD79" s="48"/>
      <c r="BF79" s="91">
        <v>77</v>
      </c>
      <c r="BG79" s="61" t="str">
        <f t="shared" si="20"/>
        <v/>
      </c>
      <c r="BH79" s="90"/>
      <c r="BI79" s="90"/>
      <c r="BJ79" s="105"/>
      <c r="BK79" s="91">
        <v>77</v>
      </c>
      <c r="BL79" s="61">
        <f t="shared" si="13"/>
        <v>29.464117647058824</v>
      </c>
      <c r="BM79" s="90">
        <f>IFERROR(LARGE($X$3:$X$102,77),"")</f>
        <v>-77.80370460784313</v>
      </c>
      <c r="BN79" s="90">
        <f t="shared" si="16"/>
        <v>-71.532321078431366</v>
      </c>
      <c r="BO79" s="92">
        <f t="shared" si="17"/>
        <v>10</v>
      </c>
      <c r="BP79" s="103">
        <v>77</v>
      </c>
      <c r="BQ79" s="61">
        <f t="shared" si="14"/>
        <v>79.213112434847361</v>
      </c>
      <c r="BR79" s="90">
        <f>IFERROR(LARGE($AL$3:$AL$102,77),"")</f>
        <v>-36.956938595184909</v>
      </c>
      <c r="BS79" s="90">
        <f t="shared" si="18"/>
        <v>-26.219109555721033</v>
      </c>
      <c r="BT79" s="92">
        <f t="shared" si="19"/>
        <v>7</v>
      </c>
      <c r="BU79" s="91">
        <v>77</v>
      </c>
      <c r="BV79" s="61" t="str">
        <f t="shared" si="15"/>
        <v/>
      </c>
      <c r="BW79" s="90"/>
      <c r="BX79" s="90"/>
      <c r="BY79" s="105">
        <f>IFERROR(VALUE(RIGHT(INDEX(ECR!$E:$E,MATCH(P79,ECR!$C:$C,0)),LEN(INDEX(ECR!$E:$E,MATCH(P79,ECR!$C:$C,0)))-2)),"")</f>
        <v>77</v>
      </c>
      <c r="BZ79" s="90"/>
      <c r="CA79" s="90"/>
      <c r="CB79" s="90"/>
      <c r="CC79" s="90"/>
      <c r="CD79" s="90"/>
      <c r="CE79" s="90"/>
      <c r="CF79" s="90"/>
      <c r="CG79" s="90"/>
    </row>
    <row r="80" spans="1:85" s="62" customFormat="1" ht="14.25" customHeight="1" x14ac:dyDescent="0.3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M80" s="48"/>
      <c r="O80" s="45" t="s">
        <v>328</v>
      </c>
      <c r="P80" s="56" t="str">
        <f>VLOOKUP(O80,ECR!E:L,8,FALSE())</f>
        <v>Isaiah Davis</v>
      </c>
      <c r="Q80" s="46" t="str">
        <f>IFERROR(VLOOKUP(Table4[[#This Row],[PLAYER]],ECR!C:F,2,FALSE()),"-")</f>
        <v>NYJ</v>
      </c>
      <c r="R80" s="46">
        <f>IFERROR(VLOOKUP(Table4[[#This Row],[PLAYER]],ECR!C:F,4,FALSE()),"-")</f>
        <v>13</v>
      </c>
      <c r="S80" s="46" t="str">
        <f>Table4[[#This Row],[Team]] &amp; "/" &amp; Table4[[#This Row],[Bye]]</f>
        <v>NYJ/13</v>
      </c>
      <c r="T80" s="57">
        <f>IFERROR(VLOOKUP(Table4[[#This Row],[PLAYER]],RB!A:Q,13,FALSE())/17*(17-Table4[[#This Row],[Missed Games]]),0)</f>
        <v>24.852941176470591</v>
      </c>
      <c r="U80" s="57">
        <f>IFERROR(VLOOKUP(Table4[[#This Row],[PLAYER]],RB!A:Q,14,FALSE())/17*(17-Table4[[#This Row],[Missed Games]]),0)</f>
        <v>29.464117647058824</v>
      </c>
      <c r="V80" s="57">
        <f>IFERROR(VLOOKUP(Table4[[#This Row],[PLAYER]],RB!A:Q,15,FALSE())/17*(17-Table4[[#This Row],[Missed Games]]),0)</f>
        <v>33.731176470588238</v>
      </c>
      <c r="W80" s="58">
        <f>AVERAGE(AVERAGE(Table4[[#This Row],[LOW]],Table4[[#This Row],[HIGH]]),Table4[[#This Row],[AVG]],VLOOKUP(Table4[[#This Row],[PLAYER]],ECR!L:N,3,FALSE))</f>
        <v>28.545196078431374</v>
      </c>
      <c r="X80" s="58">
        <f>Table4[[#This Row],[Zscore Projection]]-$Q$1</f>
        <v>-85.609281862745092</v>
      </c>
      <c r="Y80" s="59">
        <f>MAX(Table4[[#This Row],[VBD]]*Scoring!$B$48+1,1)</f>
        <v>1</v>
      </c>
      <c r="Z80" s="45">
        <f>VLOOKUP(Table4[[#This Row],[VBD]],BM:BO,3,FALSE)</f>
        <v>10</v>
      </c>
      <c r="AA80" s="60">
        <f>VLOOKUP(INDEX(ECR!$E:$E,MATCH(P80,ECR!$C:$C,0)),RISK!A:B,2,FALSE())</f>
        <v>4</v>
      </c>
      <c r="AB80" s="61"/>
      <c r="AC80" s="46" t="s">
        <v>261</v>
      </c>
      <c r="AD80" s="46" t="str">
        <f>VLOOKUP(AC80,ECR!E:L,8,FALSE())</f>
        <v>Ja'Kobi Lane</v>
      </c>
      <c r="AE80" s="46" t="str">
        <f>IFERROR(VLOOKUP(Table6[[#This Row],[PLAYER]],ECR!C:F,2,FALSE()),"-")</f>
        <v>BAL</v>
      </c>
      <c r="AF80" s="46">
        <f>IFERROR(VLOOKUP(Table6[[#This Row],[PLAYER]],ECR!C:F,4,FALSE()),"-")</f>
        <v>13</v>
      </c>
      <c r="AG80" s="46" t="str">
        <f>Table6[[#This Row],[Team]] &amp; "/" &amp; Table6[[#This Row],[Bye]]</f>
        <v>BAL/13</v>
      </c>
      <c r="AH80" s="57">
        <f>IFERROR(VLOOKUP(Table6[[#This Row],[PLAYER]],WR!A:Q,13,FALSE())/17*(17-Table6[[#This Row],[Missed Games]]),0)</f>
        <v>90.654645420699907</v>
      </c>
      <c r="AI80" s="57">
        <f>IFERROR(VLOOKUP(Table6[[#This Row],[PLAYER]],WR!A:Q,14,FALSE())/17*(17-Table6[[#This Row],[Missed Games]]),0)</f>
        <v>105.80253819806404</v>
      </c>
      <c r="AJ80" s="57">
        <f>IFERROR(VLOOKUP(Table6[[#This Row],[PLAYER]],WR!A:Q,15,FALSE())/17*(17-Table6[[#This Row],[Missed Games]]),0)</f>
        <v>120.95816738644825</v>
      </c>
      <c r="AK80" s="58">
        <f>AVERAGE(AVERAGE(Table6[[#This Row],[LOW]],Table6[[#This Row],[HIGH]]),Table6[[#This Row],[AVG]],VLOOKUP(Table6[[#This Row],[PLAYER]],ECR!L:N,3,FALSE))</f>
        <v>96.615756415984109</v>
      </c>
      <c r="AL80" s="58">
        <f>Table6[[#This Row],[Zscore Projection]]-$AE$1</f>
        <v>-18.088141573591471</v>
      </c>
      <c r="AM80" s="59">
        <f>MAX(Table6[[#This Row],[VBD]]*Scoring!$B$48+1,1)</f>
        <v>1</v>
      </c>
      <c r="AN80" s="45">
        <f>VLOOKUP(Table6[[#This Row],[VBD]],BR:BT,3,FALSE)</f>
        <v>6</v>
      </c>
      <c r="AO80" s="60">
        <f>VLOOKUP(INDEX(ECR!$E:$E,MATCH(AD80,ECR!$C:$C,0)),RISK!A:B,2,FALSE())</f>
        <v>3.848101265822784</v>
      </c>
      <c r="AP80" s="61"/>
      <c r="AQ80" s="47" t="s">
        <v>438</v>
      </c>
      <c r="AR80" s="48"/>
      <c r="AT80" s="48"/>
      <c r="AU80" s="48"/>
      <c r="AV80" s="48"/>
      <c r="AW80" s="48"/>
      <c r="AX80" s="48"/>
      <c r="AY80" s="48"/>
      <c r="AZ80" s="48"/>
      <c r="BA80" s="48"/>
      <c r="BC80" s="48"/>
      <c r="BD80" s="48"/>
      <c r="BF80" s="91">
        <v>78</v>
      </c>
      <c r="BG80" s="61" t="str">
        <f t="shared" si="20"/>
        <v/>
      </c>
      <c r="BH80" s="90"/>
      <c r="BI80" s="90"/>
      <c r="BJ80" s="105"/>
      <c r="BK80" s="91">
        <v>78</v>
      </c>
      <c r="BL80" s="61">
        <f t="shared" si="13"/>
        <v>26.879411764705878</v>
      </c>
      <c r="BM80" s="90">
        <f>IFERROR(LARGE($X$3:$X$102,78),"")</f>
        <v>-79.648399509803909</v>
      </c>
      <c r="BN80" s="90">
        <f t="shared" si="16"/>
        <v>-71.532321078431366</v>
      </c>
      <c r="BO80" s="92">
        <f t="shared" si="17"/>
        <v>10</v>
      </c>
      <c r="BP80" s="103">
        <v>78</v>
      </c>
      <c r="BQ80" s="61">
        <f t="shared" si="14"/>
        <v>78.238324646314226</v>
      </c>
      <c r="BR80" s="90">
        <f>IFERROR(LARGE($AL$3:$AL$102,78),"")</f>
        <v>-39.486848150905928</v>
      </c>
      <c r="BS80" s="90">
        <f t="shared" si="18"/>
        <v>-26.219109555721033</v>
      </c>
      <c r="BT80" s="92">
        <f t="shared" si="19"/>
        <v>7</v>
      </c>
      <c r="BU80" s="91">
        <v>78</v>
      </c>
      <c r="BV80" s="61" t="str">
        <f t="shared" si="15"/>
        <v/>
      </c>
      <c r="BW80" s="90"/>
      <c r="BX80" s="90"/>
      <c r="BY80" s="105">
        <f>IFERROR(VALUE(RIGHT(INDEX(ECR!$E:$E,MATCH(P80,ECR!$C:$C,0)),LEN(INDEX(ECR!$E:$E,MATCH(P80,ECR!$C:$C,0)))-2)),"")</f>
        <v>78</v>
      </c>
      <c r="BZ80" s="90"/>
      <c r="CA80" s="90"/>
      <c r="CB80" s="90"/>
      <c r="CC80" s="90"/>
      <c r="CD80" s="90"/>
      <c r="CE80" s="90"/>
      <c r="CF80" s="90"/>
      <c r="CG80" s="90"/>
    </row>
    <row r="81" spans="1:85" s="62" customFormat="1" ht="14.25" customHeight="1" x14ac:dyDescent="0.3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M81" s="48"/>
      <c r="O81" s="45" t="s">
        <v>277</v>
      </c>
      <c r="P81" s="56" t="str">
        <f>VLOOKUP(O81,ECR!E:L,8,FALSE())</f>
        <v>Ty Johnson</v>
      </c>
      <c r="Q81" s="46" t="str">
        <f>IFERROR(VLOOKUP(Table4[[#This Row],[PLAYER]],ECR!C:F,2,FALSE()),"-")</f>
        <v>BUF</v>
      </c>
      <c r="R81" s="46">
        <f>IFERROR(VLOOKUP(Table4[[#This Row],[PLAYER]],ECR!C:F,4,FALSE()),"-")</f>
        <v>7</v>
      </c>
      <c r="S81" s="46" t="str">
        <f>Table4[[#This Row],[Team]] &amp; "/" &amp; Table4[[#This Row],[Bye]]</f>
        <v>BUF/7</v>
      </c>
      <c r="T81" s="57">
        <f>IFERROR(VLOOKUP(Table4[[#This Row],[PLAYER]],RB!A:Q,13,FALSE())/17*(17-Table4[[#This Row],[Missed Games]]),0)</f>
        <v>55.525294117647064</v>
      </c>
      <c r="U81" s="57">
        <f>IFERROR(VLOOKUP(Table4[[#This Row],[PLAYER]],RB!A:Q,14,FALSE())/17*(17-Table4[[#This Row],[Missed Games]]),0)</f>
        <v>63.822352941176469</v>
      </c>
      <c r="V81" s="57">
        <f>IFERROR(VLOOKUP(Table4[[#This Row],[PLAYER]],RB!A:Q,15,FALSE())/17*(17-Table4[[#This Row],[Missed Games]]),0)</f>
        <v>71.194117647058818</v>
      </c>
      <c r="W81" s="58">
        <f>AVERAGE(AVERAGE(Table4[[#This Row],[LOW]],Table4[[#This Row],[HIGH]]),Table4[[#This Row],[AVG]],VLOOKUP(Table4[[#This Row],[PLAYER]],ECR!L:N,3,FALSE))</f>
        <v>50.634999999999998</v>
      </c>
      <c r="X81" s="58">
        <f>Table4[[#This Row],[Zscore Projection]]-$Q$1</f>
        <v>-63.519477941176469</v>
      </c>
      <c r="Y81" s="59">
        <f>MAX(Table4[[#This Row],[VBD]]*Scoring!$B$48+1,1)</f>
        <v>1</v>
      </c>
      <c r="Z81" s="45">
        <f>VLOOKUP(Table4[[#This Row],[VBD]],BM:BO,3,FALSE)</f>
        <v>9</v>
      </c>
      <c r="AA81" s="60">
        <f>VLOOKUP(INDEX(ECR!$E:$E,MATCH(P81,ECR!$C:$C,0)),RISK!A:B,2,FALSE())</f>
        <v>4</v>
      </c>
      <c r="AB81" s="61"/>
      <c r="AC81" s="46" t="s">
        <v>317</v>
      </c>
      <c r="AD81" s="46" t="str">
        <f>VLOOKUP(AC81,ECR!E:L,8,FALSE())</f>
        <v>Zachariah Branch</v>
      </c>
      <c r="AE81" s="46" t="str">
        <f>IFERROR(VLOOKUP(Table6[[#This Row],[PLAYER]],ECR!C:F,2,FALSE()),"-")</f>
        <v>ATL</v>
      </c>
      <c r="AF81" s="46">
        <f>IFERROR(VLOOKUP(Table6[[#This Row],[PLAYER]],ECR!C:F,4,FALSE()),"-")</f>
        <v>11</v>
      </c>
      <c r="AG81" s="46" t="str">
        <f>Table6[[#This Row],[Team]] &amp; "/" &amp; Table6[[#This Row],[Bye]]</f>
        <v>ATL/11</v>
      </c>
      <c r="AH81" s="57">
        <f>IFERROR(VLOOKUP(Table6[[#This Row],[PLAYER]],WR!A:Q,13,FALSE())/17*(17-Table6[[#This Row],[Missed Games]]),0)</f>
        <v>80.212966195085642</v>
      </c>
      <c r="AI81" s="57">
        <f>IFERROR(VLOOKUP(Table6[[#This Row],[PLAYER]],WR!A:Q,14,FALSE())/17*(17-Table6[[#This Row],[Missed Games]]),0)</f>
        <v>80.212966195085642</v>
      </c>
      <c r="AJ81" s="57">
        <f>IFERROR(VLOOKUP(Table6[[#This Row],[PLAYER]],WR!A:Q,15,FALSE())/17*(17-Table6[[#This Row],[Missed Games]]),0)</f>
        <v>80.212966195085642</v>
      </c>
      <c r="AK81" s="58">
        <f>AVERAGE(AVERAGE(Table6[[#This Row],[LOW]],Table6[[#This Row],[HIGH]]),Table6[[#This Row],[AVG]],VLOOKUP(Table6[[#This Row],[PLAYER]],ECR!L:N,3,FALSE))</f>
        <v>78.67280148920328</v>
      </c>
      <c r="AL81" s="58">
        <f>Table6[[#This Row],[Zscore Projection]]-$AE$1</f>
        <v>-36.0310965003723</v>
      </c>
      <c r="AM81" s="59">
        <f>MAX(Table6[[#This Row],[VBD]]*Scoring!$B$48+1,1)</f>
        <v>1</v>
      </c>
      <c r="AN81" s="45">
        <f>VLOOKUP(Table6[[#This Row],[VBD]],BR:BT,3,FALSE)</f>
        <v>7</v>
      </c>
      <c r="AO81" s="60">
        <f>VLOOKUP(INDEX(ECR!$E:$E,MATCH(AD81,ECR!$C:$C,0)),RISK!A:B,2,FALSE())</f>
        <v>3.848101265822784</v>
      </c>
      <c r="AP81" s="61"/>
      <c r="AQ81" s="47" t="s">
        <v>439</v>
      </c>
      <c r="AR81" s="48"/>
      <c r="AT81" s="48"/>
      <c r="AU81" s="48"/>
      <c r="AV81" s="48"/>
      <c r="AW81" s="48"/>
      <c r="AX81" s="48"/>
      <c r="AY81" s="48"/>
      <c r="AZ81" s="48"/>
      <c r="BA81" s="48"/>
      <c r="BC81" s="48"/>
      <c r="BD81" s="48"/>
      <c r="BF81" s="91">
        <v>79</v>
      </c>
      <c r="BG81" s="61" t="str">
        <f t="shared" si="20"/>
        <v/>
      </c>
      <c r="BH81" s="90"/>
      <c r="BI81" s="90"/>
      <c r="BJ81" s="105"/>
      <c r="BK81" s="91">
        <v>79</v>
      </c>
      <c r="BL81" s="61">
        <f t="shared" si="13"/>
        <v>24.722941176470592</v>
      </c>
      <c r="BM81" s="90">
        <f>IFERROR(LARGE($X$3:$X$102,79),"")</f>
        <v>-81.38937990196078</v>
      </c>
      <c r="BN81" s="90">
        <f t="shared" si="16"/>
        <v>-71.532321078431366</v>
      </c>
      <c r="BO81" s="92">
        <f t="shared" si="17"/>
        <v>10</v>
      </c>
      <c r="BP81" s="103">
        <v>79</v>
      </c>
      <c r="BQ81" s="61">
        <f t="shared" si="14"/>
        <v>75.592472077438572</v>
      </c>
      <c r="BR81" s="90">
        <f>IFERROR(LARGE($AL$3:$AL$102,79),"")</f>
        <v>-40.764645371059814</v>
      </c>
      <c r="BS81" s="90">
        <f t="shared" si="18"/>
        <v>-26.219109555721033</v>
      </c>
      <c r="BT81" s="92">
        <f t="shared" si="19"/>
        <v>7</v>
      </c>
      <c r="BU81" s="91">
        <v>79</v>
      </c>
      <c r="BV81" s="61" t="str">
        <f t="shared" si="15"/>
        <v/>
      </c>
      <c r="BW81" s="90"/>
      <c r="BX81" s="90"/>
      <c r="BY81" s="105">
        <f>IFERROR(VALUE(RIGHT(INDEX(ECR!$E:$E,MATCH(P81,ECR!$C:$C,0)),LEN(INDEX(ECR!$E:$E,MATCH(P81,ECR!$C:$C,0)))-2)),"")</f>
        <v>79</v>
      </c>
      <c r="BZ81" s="90"/>
      <c r="CA81" s="90"/>
      <c r="CB81" s="90"/>
      <c r="CC81" s="90"/>
      <c r="CD81" s="90"/>
      <c r="CE81" s="90"/>
      <c r="CF81" s="90"/>
      <c r="CG81" s="90"/>
    </row>
    <row r="82" spans="1:85" s="62" customFormat="1" ht="14.25" customHeight="1" x14ac:dyDescent="0.3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M82" s="48"/>
      <c r="O82" s="45" t="s">
        <v>323</v>
      </c>
      <c r="P82" s="56" t="str">
        <f>VLOOKUP(O82,ECR!E:L,8,FALSE())</f>
        <v>LeQuint Allen Jr.</v>
      </c>
      <c r="Q82" s="46" t="str">
        <f>IFERROR(VLOOKUP(Table4[[#This Row],[PLAYER]],ECR!C:F,2,FALSE()),"-")</f>
        <v>JAC</v>
      </c>
      <c r="R82" s="46">
        <f>IFERROR(VLOOKUP(Table4[[#This Row],[PLAYER]],ECR!C:F,4,FALSE()),"-")</f>
        <v>7</v>
      </c>
      <c r="S82" s="46" t="str">
        <f>Table4[[#This Row],[Team]] &amp; "/" &amp; Table4[[#This Row],[Bye]]</f>
        <v>JAC/7</v>
      </c>
      <c r="T82" s="57">
        <f>IFERROR(VLOOKUP(Table4[[#This Row],[PLAYER]],RB!A:Q,13,FALSE())/17*(17-Table4[[#This Row],[Missed Games]]),0)</f>
        <v>10.468823529411766</v>
      </c>
      <c r="U82" s="57">
        <f>IFERROR(VLOOKUP(Table4[[#This Row],[PLAYER]],RB!A:Q,14,FALSE())/17*(17-Table4[[#This Row],[Missed Games]]),0)</f>
        <v>26.879411764705878</v>
      </c>
      <c r="V82" s="57">
        <f>IFERROR(VLOOKUP(Table4[[#This Row],[PLAYER]],RB!A:Q,15,FALSE())/17*(17-Table4[[#This Row],[Missed Games]]),0)</f>
        <v>43.473529411764702</v>
      </c>
      <c r="W82" s="58">
        <f>AVERAGE(AVERAGE(Table4[[#This Row],[LOW]],Table4[[#This Row],[HIGH]]),Table4[[#This Row],[AVG]],VLOOKUP(Table4[[#This Row],[PLAYER]],ECR!L:N,3,FALSE))</f>
        <v>25.88529411764706</v>
      </c>
      <c r="X82" s="58">
        <f>Table4[[#This Row],[Zscore Projection]]-$Q$1</f>
        <v>-88.269183823529403</v>
      </c>
      <c r="Y82" s="59">
        <f>MAX(Table4[[#This Row],[VBD]]*Scoring!$B$48+1,1)</f>
        <v>1</v>
      </c>
      <c r="Z82" s="45">
        <f>VLOOKUP(Table4[[#This Row],[VBD]],BM:BO,3,FALSE)</f>
        <v>10</v>
      </c>
      <c r="AA82" s="60">
        <f>VLOOKUP(INDEX(ECR!$E:$E,MATCH(P82,ECR!$C:$C,0)),RISK!A:B,2,FALSE())</f>
        <v>4</v>
      </c>
      <c r="AB82" s="61"/>
      <c r="AC82" s="46" t="s">
        <v>288</v>
      </c>
      <c r="AD82" s="46" t="str">
        <f>VLOOKUP(AC82,ECR!E:L,8,FALSE())</f>
        <v>Malachi Fields</v>
      </c>
      <c r="AE82" s="46" t="str">
        <f>IFERROR(VLOOKUP(Table6[[#This Row],[PLAYER]],ECR!C:F,2,FALSE()),"-")</f>
        <v>NYG</v>
      </c>
      <c r="AF82" s="46">
        <f>IFERROR(VLOOKUP(Table6[[#This Row],[PLAYER]],ECR!C:F,4,FALSE()),"-")</f>
        <v>8</v>
      </c>
      <c r="AG82" s="46" t="str">
        <f>Table6[[#This Row],[Team]] &amp; "/" &amp; Table6[[#This Row],[Bye]]</f>
        <v>NYG/8</v>
      </c>
      <c r="AH82" s="57">
        <f>IFERROR(VLOOKUP(Table6[[#This Row],[PLAYER]],WR!A:Q,13,FALSE())/17*(17-Table6[[#This Row],[Missed Games]]),0)</f>
        <v>83.042635889798973</v>
      </c>
      <c r="AI82" s="57">
        <f>IFERROR(VLOOKUP(Table6[[#This Row],[PLAYER]],WR!A:Q,14,FALSE())/17*(17-Table6[[#This Row],[Missed Games]]),0)</f>
        <v>83.042635889798973</v>
      </c>
      <c r="AJ82" s="57">
        <f>IFERROR(VLOOKUP(Table6[[#This Row],[PLAYER]],WR!A:Q,15,FALSE())/17*(17-Table6[[#This Row],[Missed Games]]),0)</f>
        <v>83.042635889798973</v>
      </c>
      <c r="AK82" s="58">
        <f>AVERAGE(AVERAGE(Table6[[#This Row],[LOW]],Table6[[#This Row],[HIGH]]),Table6[[#This Row],[AVG]],VLOOKUP(Table6[[#This Row],[PLAYER]],ECR!L:N,3,FALSE))</f>
        <v>79.767555224621503</v>
      </c>
      <c r="AL82" s="58">
        <f>Table6[[#This Row],[Zscore Projection]]-$AE$1</f>
        <v>-34.936342764954077</v>
      </c>
      <c r="AM82" s="59">
        <f>MAX(Table6[[#This Row],[VBD]]*Scoring!$B$48+1,1)</f>
        <v>1</v>
      </c>
      <c r="AN82" s="45">
        <f>VLOOKUP(Table6[[#This Row],[VBD]],BR:BT,3,FALSE)</f>
        <v>7</v>
      </c>
      <c r="AO82" s="60">
        <f>VLOOKUP(INDEX(ECR!$E:$E,MATCH(AD82,ECR!$C:$C,0)),RISK!A:B,2,FALSE())</f>
        <v>3.848101265822784</v>
      </c>
      <c r="AP82" s="61"/>
      <c r="AQ82" s="47" t="s">
        <v>440</v>
      </c>
      <c r="AR82" s="48"/>
      <c r="AT82" s="48"/>
      <c r="AU82" s="48"/>
      <c r="AV82" s="48"/>
      <c r="AW82" s="48"/>
      <c r="AX82" s="48"/>
      <c r="AY82" s="48"/>
      <c r="AZ82" s="48"/>
      <c r="BA82" s="48"/>
      <c r="BC82" s="48"/>
      <c r="BD82" s="48"/>
      <c r="BF82" s="91">
        <v>80</v>
      </c>
      <c r="BG82" s="61" t="str">
        <f t="shared" si="20"/>
        <v/>
      </c>
      <c r="BH82" s="90"/>
      <c r="BI82" s="90"/>
      <c r="BJ82" s="105"/>
      <c r="BK82" s="91">
        <v>80</v>
      </c>
      <c r="BL82" s="61">
        <f t="shared" si="13"/>
        <v>23.805294117647062</v>
      </c>
      <c r="BM82" s="90">
        <f>IFERROR(LARGE($X$3:$X$102,80),"")</f>
        <v>-85.609281862745092</v>
      </c>
      <c r="BN82" s="90">
        <f t="shared" si="16"/>
        <v>-71.532321078431366</v>
      </c>
      <c r="BO82" s="92">
        <f t="shared" si="17"/>
        <v>10</v>
      </c>
      <c r="BP82" s="103">
        <v>80</v>
      </c>
      <c r="BQ82" s="61">
        <f t="shared" si="14"/>
        <v>73.217393894266564</v>
      </c>
      <c r="BR82" s="90">
        <f>IFERROR(LARGE($AL$3:$AL$102,80),"")</f>
        <v>-40.843092578803663</v>
      </c>
      <c r="BS82" s="90">
        <f t="shared" si="18"/>
        <v>-26.219109555721033</v>
      </c>
      <c r="BT82" s="92">
        <f t="shared" si="19"/>
        <v>7</v>
      </c>
      <c r="BU82" s="91">
        <v>80</v>
      </c>
      <c r="BV82" s="61" t="str">
        <f t="shared" si="15"/>
        <v/>
      </c>
      <c r="BW82" s="90"/>
      <c r="BX82" s="90"/>
      <c r="BY82" s="105">
        <f>IFERROR(VALUE(RIGHT(INDEX(ECR!$E:$E,MATCH(P82,ECR!$C:$C,0)),LEN(INDEX(ECR!$E:$E,MATCH(P82,ECR!$C:$C,0)))-2)),"")</f>
        <v>80</v>
      </c>
      <c r="BZ82" s="90"/>
      <c r="CA82" s="90"/>
      <c r="CB82" s="90"/>
      <c r="CC82" s="90"/>
      <c r="CD82" s="90"/>
      <c r="CE82" s="90"/>
      <c r="CF82" s="90"/>
      <c r="CG82" s="90"/>
    </row>
    <row r="83" spans="1:85" s="62" customFormat="1" ht="14.25" customHeight="1" x14ac:dyDescent="0.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M83" s="48"/>
      <c r="O83" s="45" t="s">
        <v>329</v>
      </c>
      <c r="P83" s="56" t="str">
        <f>VLOOKUP(O83,ECR!E:L,8,FALSE())</f>
        <v>Seth McGowan</v>
      </c>
      <c r="Q83" s="46" t="str">
        <f>IFERROR(VLOOKUP(Table4[[#This Row],[PLAYER]],ECR!C:F,2,FALSE()),"-")</f>
        <v>IND</v>
      </c>
      <c r="R83" s="46">
        <f>IFERROR(VLOOKUP(Table4[[#This Row],[PLAYER]],ECR!C:F,4,FALSE()),"-")</f>
        <v>13</v>
      </c>
      <c r="S83" s="46" t="str">
        <f>Table4[[#This Row],[Team]] &amp; "/" &amp; Table4[[#This Row],[Bye]]</f>
        <v>IND/13</v>
      </c>
      <c r="T83" s="57">
        <f>IFERROR(VLOOKUP(Table4[[#This Row],[PLAYER]],RB!A:Q,13,FALSE())/17*(17-Table4[[#This Row],[Missed Games]]),0)</f>
        <v>61.868040000000001</v>
      </c>
      <c r="U83" s="57">
        <f>IFERROR(VLOOKUP(Table4[[#This Row],[PLAYER]],RB!A:Q,14,FALSE())/17*(17-Table4[[#This Row],[Missed Games]]),0)</f>
        <v>67.496275294117638</v>
      </c>
      <c r="V83" s="57">
        <f>IFERROR(VLOOKUP(Table4[[#This Row],[PLAYER]],RB!A:Q,15,FALSE())/17*(17-Table4[[#This Row],[Missed Games]]),0)</f>
        <v>73.132157647058818</v>
      </c>
      <c r="W83" s="58">
        <f>AVERAGE(AVERAGE(Table4[[#This Row],[LOW]],Table4[[#This Row],[HIGH]]),Table4[[#This Row],[AVG]],VLOOKUP(Table4[[#This Row],[PLAYER]],ECR!L:N,3,FALSE))</f>
        <v>52.625458039215687</v>
      </c>
      <c r="X83" s="58">
        <f>Table4[[#This Row],[Zscore Projection]]-$Q$1</f>
        <v>-61.52901990196078</v>
      </c>
      <c r="Y83" s="59">
        <f>MAX(Table4[[#This Row],[VBD]]*Scoring!$B$48+1,1)</f>
        <v>1</v>
      </c>
      <c r="Z83" s="45">
        <f>VLOOKUP(Table4[[#This Row],[VBD]],BM:BO,3,FALSE)</f>
        <v>9</v>
      </c>
      <c r="AA83" s="60">
        <f>VLOOKUP(INDEX(ECR!$E:$E,MATCH(P83,ECR!$C:$C,0)),RISK!A:B,2,FALSE())</f>
        <v>4</v>
      </c>
      <c r="AB83" s="61"/>
      <c r="AC83" s="46" t="s">
        <v>272</v>
      </c>
      <c r="AD83" s="46" t="str">
        <f>VLOOKUP(AC83,ECR!E:L,8,FALSE())</f>
        <v>Isaac TeSlaa</v>
      </c>
      <c r="AE83" s="46" t="str">
        <f>IFERROR(VLOOKUP(Table6[[#This Row],[PLAYER]],ECR!C:F,2,FALSE()),"-")</f>
        <v>DET</v>
      </c>
      <c r="AF83" s="46">
        <f>IFERROR(VLOOKUP(Table6[[#This Row],[PLAYER]],ECR!C:F,4,FALSE()),"-")</f>
        <v>6</v>
      </c>
      <c r="AG83" s="46" t="str">
        <f>Table6[[#This Row],[Team]] &amp; "/" &amp; Table6[[#This Row],[Bye]]</f>
        <v>DET/6</v>
      </c>
      <c r="AH83" s="57">
        <f>IFERROR(VLOOKUP(Table6[[#This Row],[PLAYER]],WR!A:Q,13,FALSE())/17*(17-Table6[[#This Row],[Missed Games]]),0)</f>
        <v>47.029642591213701</v>
      </c>
      <c r="AI83" s="57">
        <f>IFERROR(VLOOKUP(Table6[[#This Row],[PLAYER]],WR!A:Q,14,FALSE())/17*(17-Table6[[#This Row],[Missed Games]]),0)</f>
        <v>55.965197319434104</v>
      </c>
      <c r="AJ83" s="57">
        <f>IFERROR(VLOOKUP(Table6[[#This Row],[PLAYER]],WR!A:Q,15,FALSE())/17*(17-Table6[[#This Row],[Missed Games]]),0)</f>
        <v>64.908488458674611</v>
      </c>
      <c r="AK83" s="58">
        <f>AVERAGE(AVERAGE(Table6[[#This Row],[LOW]],Table6[[#This Row],[HIGH]]),Table6[[#This Row],[AVG]],VLOOKUP(Table6[[#This Row],[PLAYER]],ECR!L:N,3,FALSE))</f>
        <v>60.007472077438571</v>
      </c>
      <c r="AL83" s="58">
        <f>Table6[[#This Row],[Zscore Projection]]-$AE$1</f>
        <v>-54.696425912137009</v>
      </c>
      <c r="AM83" s="59">
        <f>MAX(Table6[[#This Row],[VBD]]*Scoring!$B$48+1,1)</f>
        <v>1</v>
      </c>
      <c r="AN83" s="45">
        <f>VLOOKUP(Table6[[#This Row],[VBD]],BR:BT,3,FALSE)</f>
        <v>8</v>
      </c>
      <c r="AO83" s="60">
        <f>VLOOKUP(INDEX(ECR!$E:$E,MATCH(AD83,ECR!$C:$C,0)),RISK!A:B,2,FALSE())</f>
        <v>3.848101265822784</v>
      </c>
      <c r="AP83" s="61"/>
      <c r="AQ83" s="47" t="s">
        <v>441</v>
      </c>
      <c r="AR83" s="48"/>
      <c r="AT83" s="48"/>
      <c r="AU83" s="48"/>
      <c r="AV83" s="48"/>
      <c r="AW83" s="48"/>
      <c r="AX83" s="48"/>
      <c r="AY83" s="48"/>
      <c r="AZ83" s="48"/>
      <c r="BA83" s="48"/>
      <c r="BC83" s="48"/>
      <c r="BD83" s="48"/>
      <c r="BF83" s="91">
        <v>81</v>
      </c>
      <c r="BG83" s="61" t="str">
        <f t="shared" si="20"/>
        <v/>
      </c>
      <c r="BH83" s="90"/>
      <c r="BI83" s="90"/>
      <c r="BJ83" s="105"/>
      <c r="BK83" s="91">
        <v>81</v>
      </c>
      <c r="BL83" s="61">
        <f t="shared" si="13"/>
        <v>22.88</v>
      </c>
      <c r="BM83" s="90">
        <f>IFERROR(LARGE($X$3:$X$102,81),"")</f>
        <v>-88.269183823529403</v>
      </c>
      <c r="BN83" s="90">
        <f t="shared" si="16"/>
        <v>-71.532321078431366</v>
      </c>
      <c r="BO83" s="92">
        <f t="shared" si="17"/>
        <v>10</v>
      </c>
      <c r="BP83" s="103">
        <v>81</v>
      </c>
      <c r="BQ83" s="61">
        <f t="shared" si="14"/>
        <v>68.088153387937467</v>
      </c>
      <c r="BR83" s="90">
        <f>IFERROR(LARGE($AL$3:$AL$102,81),"")</f>
        <v>-40.937218912881605</v>
      </c>
      <c r="BS83" s="90">
        <f t="shared" si="18"/>
        <v>-26.219109555721033</v>
      </c>
      <c r="BT83" s="92">
        <f t="shared" si="19"/>
        <v>7</v>
      </c>
      <c r="BU83" s="91">
        <v>81</v>
      </c>
      <c r="BV83" s="61" t="str">
        <f t="shared" si="15"/>
        <v/>
      </c>
      <c r="BW83" s="90"/>
      <c r="BX83" s="90"/>
      <c r="BY83" s="105">
        <f>IFERROR(VALUE(RIGHT(INDEX(ECR!$E:$E,MATCH(P83,ECR!$C:$C,0)),LEN(INDEX(ECR!$E:$E,MATCH(P83,ECR!$C:$C,0)))-2)),"")</f>
        <v>81</v>
      </c>
      <c r="BZ83" s="90"/>
      <c r="CA83" s="90"/>
      <c r="CB83" s="90"/>
      <c r="CC83" s="90"/>
      <c r="CD83" s="90"/>
      <c r="CE83" s="90"/>
      <c r="CF83" s="90"/>
      <c r="CG83" s="90"/>
    </row>
    <row r="84" spans="1:85" s="62" customFormat="1" ht="14.25" customHeight="1" x14ac:dyDescent="0.3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M84" s="48"/>
      <c r="O84" s="45" t="s">
        <v>342</v>
      </c>
      <c r="P84" s="56" t="str">
        <f>VLOOKUP(O84,ECR!E:L,8,FALSE())</f>
        <v>DJ Giddens</v>
      </c>
      <c r="Q84" s="46" t="str">
        <f>IFERROR(VLOOKUP(Table4[[#This Row],[PLAYER]],ECR!C:F,2,FALSE()),"-")</f>
        <v>IND</v>
      </c>
      <c r="R84" s="46">
        <f>IFERROR(VLOOKUP(Table4[[#This Row],[PLAYER]],ECR!C:F,4,FALSE()),"-")</f>
        <v>13</v>
      </c>
      <c r="S84" s="46" t="str">
        <f>Table4[[#This Row],[Team]] &amp; "/" &amp; Table4[[#This Row],[Bye]]</f>
        <v>IND/13</v>
      </c>
      <c r="T84" s="57">
        <f>IFERROR(VLOOKUP(Table4[[#This Row],[PLAYER]],RB!A:Q,13,FALSE())/17*(17-Table4[[#This Row],[Missed Games]]),0)</f>
        <v>6.9435294117647066</v>
      </c>
      <c r="U84" s="57">
        <f>IFERROR(VLOOKUP(Table4[[#This Row],[PLAYER]],RB!A:Q,14,FALSE())/17*(17-Table4[[#This Row],[Missed Games]]),0)</f>
        <v>13.298235294117648</v>
      </c>
      <c r="V84" s="57">
        <f>IFERROR(VLOOKUP(Table4[[#This Row],[PLAYER]],RB!A:Q,15,FALSE())/17*(17-Table4[[#This Row],[Missed Games]]),0)</f>
        <v>19.5</v>
      </c>
      <c r="W84" s="58">
        <f>AVERAGE(AVERAGE(Table4[[#This Row],[LOW]],Table4[[#This Row],[HIGH]]),Table4[[#This Row],[AVG]],VLOOKUP(Table4[[#This Row],[PLAYER]],ECR!L:N,3,FALSE))</f>
        <v>15.238039215686277</v>
      </c>
      <c r="X84" s="58">
        <f>Table4[[#This Row],[Zscore Projection]]-$Q$1</f>
        <v>-98.916438725490195</v>
      </c>
      <c r="Y84" s="59">
        <f>MAX(Table4[[#This Row],[VBD]]*Scoring!$B$48+1,1)</f>
        <v>1</v>
      </c>
      <c r="Z84" s="45">
        <f>VLOOKUP(Table4[[#This Row],[VBD]],BM:BO,3,FALSE)</f>
        <v>11</v>
      </c>
      <c r="AA84" s="60">
        <f>VLOOKUP(INDEX(ECR!$E:$E,MATCH(P84,ECR!$C:$C,0)),RISK!A:B,2,FALSE())</f>
        <v>4</v>
      </c>
      <c r="AB84" s="61"/>
      <c r="AC84" s="46" t="s">
        <v>255</v>
      </c>
      <c r="AD84" s="46" t="str">
        <f>VLOOKUP(AC84,ECR!E:L,8,FALSE())</f>
        <v>Cooper Kupp</v>
      </c>
      <c r="AE84" s="46" t="str">
        <f>IFERROR(VLOOKUP(Table6[[#This Row],[PLAYER]],ECR!C:F,2,FALSE()),"-")</f>
        <v>SEA</v>
      </c>
      <c r="AF84" s="46">
        <f>IFERROR(VLOOKUP(Table6[[#This Row],[PLAYER]],ECR!C:F,4,FALSE()),"-")</f>
        <v>11</v>
      </c>
      <c r="AG84" s="46" t="str">
        <f>Table6[[#This Row],[Team]] &amp; "/" &amp; Table6[[#This Row],[Bye]]</f>
        <v>SEA/11</v>
      </c>
      <c r="AH84" s="57">
        <f>IFERROR(VLOOKUP(Table6[[#This Row],[PLAYER]],WR!A:Q,13,FALSE())/17*(17-Table6[[#This Row],[Missed Games]]),0)</f>
        <v>62.556619508562925</v>
      </c>
      <c r="AI84" s="57">
        <f>IFERROR(VLOOKUP(Table6[[#This Row],[PLAYER]],WR!A:Q,14,FALSE())/17*(17-Table6[[#This Row],[Missed Games]]),0)</f>
        <v>78.238324646314226</v>
      </c>
      <c r="AJ84" s="57">
        <f>IFERROR(VLOOKUP(Table6[[#This Row],[PLAYER]],WR!A:Q,15,FALSE())/17*(17-Table6[[#This Row],[Missed Games]]),0)</f>
        <v>94.074758004467625</v>
      </c>
      <c r="AK84" s="58">
        <f>AVERAGE(AVERAGE(Table6[[#This Row],[LOW]],Table6[[#This Row],[HIGH]]),Table6[[#This Row],[AVG]],VLOOKUP(Table6[[#This Row],[PLAYER]],ECR!L:N,3,FALSE))</f>
        <v>73.766679076693976</v>
      </c>
      <c r="AL84" s="58">
        <f>Table6[[#This Row],[Zscore Projection]]-$AE$1</f>
        <v>-40.937218912881605</v>
      </c>
      <c r="AM84" s="59">
        <f>MAX(Table6[[#This Row],[VBD]]*Scoring!$B$48+1,1)</f>
        <v>1</v>
      </c>
      <c r="AN84" s="45">
        <f>VLOOKUP(Table6[[#This Row],[VBD]],BR:BT,3,FALSE)</f>
        <v>7</v>
      </c>
      <c r="AO84" s="60">
        <f>VLOOKUP(INDEX(ECR!$E:$E,MATCH(AD84,ECR!$C:$C,0)),RISK!A:B,2,FALSE())</f>
        <v>3.848101265822784</v>
      </c>
      <c r="AP84" s="61"/>
      <c r="AQ84" s="47" t="s">
        <v>442</v>
      </c>
      <c r="AR84" s="48"/>
      <c r="AT84" s="48"/>
      <c r="AU84" s="48"/>
      <c r="AV84" s="48"/>
      <c r="AW84" s="48"/>
      <c r="AX84" s="48"/>
      <c r="AY84" s="48"/>
      <c r="AZ84" s="48"/>
      <c r="BA84" s="48"/>
      <c r="BC84" s="48"/>
      <c r="BD84" s="48"/>
      <c r="BF84" s="91">
        <v>82</v>
      </c>
      <c r="BG84" s="61" t="str">
        <f t="shared" si="20"/>
        <v/>
      </c>
      <c r="BH84" s="90"/>
      <c r="BI84" s="90"/>
      <c r="BJ84" s="105"/>
      <c r="BK84" s="91">
        <v>82</v>
      </c>
      <c r="BL84" s="61">
        <f t="shared" si="13"/>
        <v>19.194117647058821</v>
      </c>
      <c r="BM84" s="90">
        <f>IFERROR(LARGE($X$3:$X$102,82),"")</f>
        <v>-91.883693627450981</v>
      </c>
      <c r="BN84" s="90">
        <f t="shared" si="16"/>
        <v>-71.532321078431366</v>
      </c>
      <c r="BO84" s="92">
        <f t="shared" si="17"/>
        <v>10</v>
      </c>
      <c r="BP84" s="103">
        <v>82</v>
      </c>
      <c r="BQ84" s="61">
        <f t="shared" si="14"/>
        <v>64.746023827252429</v>
      </c>
      <c r="BR84" s="90">
        <f>IFERROR(LARGE($AL$3:$AL$102,82),"")</f>
        <v>-41.562578803673375</v>
      </c>
      <c r="BS84" s="90">
        <f t="shared" si="18"/>
        <v>-26.219109555721033</v>
      </c>
      <c r="BT84" s="92">
        <f t="shared" si="19"/>
        <v>7</v>
      </c>
      <c r="BU84" s="91">
        <v>82</v>
      </c>
      <c r="BV84" s="61" t="str">
        <f t="shared" si="15"/>
        <v/>
      </c>
      <c r="BW84" s="90"/>
      <c r="BX84" s="90"/>
      <c r="BY84" s="105">
        <f>IFERROR(VALUE(RIGHT(INDEX(ECR!$E:$E,MATCH(P84,ECR!$C:$C,0)),LEN(INDEX(ECR!$E:$E,MATCH(P84,ECR!$C:$C,0)))-2)),"")</f>
        <v>82</v>
      </c>
      <c r="BZ84" s="90"/>
      <c r="CA84" s="90"/>
      <c r="CB84" s="90"/>
      <c r="CC84" s="90"/>
      <c r="CD84" s="90"/>
      <c r="CE84" s="90"/>
      <c r="CF84" s="90"/>
      <c r="CG84" s="90"/>
    </row>
    <row r="85" spans="1:85" s="62" customFormat="1" ht="14.25" customHeight="1" x14ac:dyDescent="0.3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M85" s="48"/>
      <c r="O85" s="45" t="s">
        <v>241</v>
      </c>
      <c r="P85" s="56" t="str">
        <f>VLOOKUP(O85,ECR!E:L,8,FALSE())</f>
        <v>Kendre Miller</v>
      </c>
      <c r="Q85" s="46" t="str">
        <f>IFERROR(VLOOKUP(Table4[[#This Row],[PLAYER]],ECR!C:F,2,FALSE()),"-")</f>
        <v>NO</v>
      </c>
      <c r="R85" s="46">
        <f>IFERROR(VLOOKUP(Table4[[#This Row],[PLAYER]],ECR!C:F,4,FALSE()),"-")</f>
        <v>8</v>
      </c>
      <c r="S85" s="46" t="str">
        <f>Table4[[#This Row],[Team]] &amp; "/" &amp; Table4[[#This Row],[Bye]]</f>
        <v>NO/8</v>
      </c>
      <c r="T85" s="57">
        <f>IFERROR(VLOOKUP(Table4[[#This Row],[PLAYER]],RB!A:Q,13,FALSE())/17*(17-Table4[[#This Row],[Missed Games]]),0)</f>
        <v>11.455294117647059</v>
      </c>
      <c r="U85" s="57">
        <f>IFERROR(VLOOKUP(Table4[[#This Row],[PLAYER]],RB!A:Q,14,FALSE())/17*(17-Table4[[#This Row],[Missed Games]]),0)</f>
        <v>17.374117647058824</v>
      </c>
      <c r="V85" s="57">
        <f>IFERROR(VLOOKUP(Table4[[#This Row],[PLAYER]],RB!A:Q,15,FALSE())/17*(17-Table4[[#This Row],[Missed Games]]),0)</f>
        <v>23.132352941176471</v>
      </c>
      <c r="W85" s="58">
        <f>AVERAGE(AVERAGE(Table4[[#This Row],[LOW]],Table4[[#This Row],[HIGH]]),Table4[[#This Row],[AVG]],VLOOKUP(Table4[[#This Row],[PLAYER]],ECR!L:N,3,FALSE))</f>
        <v>17.571666666666669</v>
      </c>
      <c r="X85" s="58">
        <f>Table4[[#This Row],[Zscore Projection]]-$Q$1</f>
        <v>-96.582811274509794</v>
      </c>
      <c r="Y85" s="59">
        <f>MAX(Table4[[#This Row],[VBD]]*Scoring!$B$48+1,1)</f>
        <v>1</v>
      </c>
      <c r="Z85" s="45">
        <f>VLOOKUP(Table4[[#This Row],[VBD]],BM:BO,3,FALSE)</f>
        <v>11</v>
      </c>
      <c r="AA85" s="60">
        <f>VLOOKUP(INDEX(ECR!$E:$E,MATCH(P85,ECR!$C:$C,0)),RISK!A:B,2,FALSE())</f>
        <v>4</v>
      </c>
      <c r="AB85" s="61"/>
      <c r="AC85" s="46" t="s">
        <v>270</v>
      </c>
      <c r="AD85" s="46" t="str">
        <f>VLOOKUP(AC85,ECR!E:L,8,FALSE())</f>
        <v>Darnell Mooney</v>
      </c>
      <c r="AE85" s="46" t="str">
        <f>IFERROR(VLOOKUP(Table6[[#This Row],[PLAYER]],ECR!C:F,2,FALSE()),"-")</f>
        <v>NYG</v>
      </c>
      <c r="AF85" s="46">
        <f>IFERROR(VLOOKUP(Table6[[#This Row],[PLAYER]],ECR!C:F,4,FALSE()),"-")</f>
        <v>8</v>
      </c>
      <c r="AG85" s="46" t="str">
        <f>Table6[[#This Row],[Team]] &amp; "/" &amp; Table6[[#This Row],[Bye]]</f>
        <v>NYG/8</v>
      </c>
      <c r="AH85" s="57">
        <f>IFERROR(VLOOKUP(Table6[[#This Row],[PLAYER]],WR!A:Q,13,FALSE())/17*(17-Table6[[#This Row],[Missed Games]]),0)</f>
        <v>41.142233804914369</v>
      </c>
      <c r="AI85" s="57">
        <f>IFERROR(VLOOKUP(Table6[[#This Row],[PLAYER]],WR!A:Q,14,FALSE())/17*(17-Table6[[#This Row],[Missed Games]]),0)</f>
        <v>41.142233804914369</v>
      </c>
      <c r="AJ85" s="57">
        <f>IFERROR(VLOOKUP(Table6[[#This Row],[PLAYER]],WR!A:Q,15,FALSE())/17*(17-Table6[[#This Row],[Missed Games]]),0)</f>
        <v>41.142233804914369</v>
      </c>
      <c r="AK85" s="58">
        <f>AVERAGE(AVERAGE(Table6[[#This Row],[LOW]],Table6[[#This Row],[HIGH]]),Table6[[#This Row],[AVG]],VLOOKUP(Table6[[#This Row],[PLAYER]],ECR!L:N,3,FALSE))</f>
        <v>48.912169272772395</v>
      </c>
      <c r="AL85" s="58">
        <f>Table6[[#This Row],[Zscore Projection]]-$AE$1</f>
        <v>-65.791728716803192</v>
      </c>
      <c r="AM85" s="59">
        <f>MAX(Table6[[#This Row],[VBD]]*Scoring!$B$48+1,1)</f>
        <v>1</v>
      </c>
      <c r="AN85" s="45">
        <f>VLOOKUP(Table6[[#This Row],[VBD]],BR:BT,3,FALSE)</f>
        <v>8</v>
      </c>
      <c r="AO85" s="60">
        <f>VLOOKUP(INDEX(ECR!$E:$E,MATCH(AD85,ECR!$C:$C,0)),RISK!A:B,2,FALSE())</f>
        <v>3.848101265822784</v>
      </c>
      <c r="AP85" s="61"/>
      <c r="AQ85" s="47" t="s">
        <v>443</v>
      </c>
      <c r="AR85" s="48"/>
      <c r="AT85" s="48"/>
      <c r="AU85" s="48"/>
      <c r="AV85" s="48"/>
      <c r="AW85" s="48"/>
      <c r="AX85" s="48"/>
      <c r="AY85" s="48"/>
      <c r="AZ85" s="48"/>
      <c r="BA85" s="48"/>
      <c r="BC85" s="48"/>
      <c r="BD85" s="48"/>
      <c r="BF85" s="91">
        <v>83</v>
      </c>
      <c r="BG85" s="61" t="str">
        <f t="shared" si="20"/>
        <v/>
      </c>
      <c r="BH85" s="90"/>
      <c r="BI85" s="90"/>
      <c r="BJ85" s="105"/>
      <c r="BK85" s="91">
        <v>83</v>
      </c>
      <c r="BL85" s="61">
        <f t="shared" si="13"/>
        <v>18.047058823529415</v>
      </c>
      <c r="BM85" s="90">
        <f>IFERROR(LARGE($X$3:$X$102,83),"")</f>
        <v>-95.770948529411754</v>
      </c>
      <c r="BN85" s="90">
        <f t="shared" si="16"/>
        <v>-95.770948529411754</v>
      </c>
      <c r="BO85" s="92">
        <f t="shared" si="17"/>
        <v>11</v>
      </c>
      <c r="BP85" s="103">
        <v>83</v>
      </c>
      <c r="BQ85" s="61">
        <f t="shared" si="14"/>
        <v>64.452040208488455</v>
      </c>
      <c r="BR85" s="90">
        <f>IFERROR(LARGE($AL$3:$AL$102,83),"")</f>
        <v>-44.441813104988839</v>
      </c>
      <c r="BS85" s="90">
        <f t="shared" si="18"/>
        <v>-26.219109555721033</v>
      </c>
      <c r="BT85" s="92">
        <f t="shared" si="19"/>
        <v>7</v>
      </c>
      <c r="BU85" s="91">
        <v>83</v>
      </c>
      <c r="BV85" s="61" t="str">
        <f t="shared" si="15"/>
        <v/>
      </c>
      <c r="BW85" s="90"/>
      <c r="BX85" s="90"/>
      <c r="BY85" s="105">
        <f>IFERROR(VALUE(RIGHT(INDEX(ECR!$E:$E,MATCH(P85,ECR!$C:$C,0)),LEN(INDEX(ECR!$E:$E,MATCH(P85,ECR!$C:$C,0)))-2)),"")</f>
        <v>83</v>
      </c>
      <c r="BZ85" s="90"/>
      <c r="CA85" s="90"/>
      <c r="CB85" s="90"/>
      <c r="CC85" s="90"/>
      <c r="CD85" s="90"/>
      <c r="CE85" s="90"/>
      <c r="CF85" s="90"/>
      <c r="CG85" s="90"/>
    </row>
    <row r="86" spans="1:85" s="62" customFormat="1" ht="14.25" customHeight="1" x14ac:dyDescent="0.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M86" s="48"/>
      <c r="O86" s="45" t="s">
        <v>282</v>
      </c>
      <c r="P86" s="56" t="str">
        <f>VLOOKUP(O86,ECR!E:L,8,FALSE())</f>
        <v>Brashard Smith</v>
      </c>
      <c r="Q86" s="46" t="str">
        <f>IFERROR(VLOOKUP(Table4[[#This Row],[PLAYER]],ECR!C:F,2,FALSE()),"-")</f>
        <v>KC</v>
      </c>
      <c r="R86" s="46">
        <f>IFERROR(VLOOKUP(Table4[[#This Row],[PLAYER]],ECR!C:F,4,FALSE()),"-")</f>
        <v>5</v>
      </c>
      <c r="S86" s="46" t="str">
        <f>Table4[[#This Row],[Team]] &amp; "/" &amp; Table4[[#This Row],[Bye]]</f>
        <v>KC/5</v>
      </c>
      <c r="T86" s="57">
        <f>IFERROR(VLOOKUP(Table4[[#This Row],[PLAYER]],RB!A:Q,13,FALSE())/17*(17-Table4[[#This Row],[Missed Games]]),0)</f>
        <v>37.638823529411759</v>
      </c>
      <c r="U86" s="57">
        <f>IFERROR(VLOOKUP(Table4[[#This Row],[PLAYER]],RB!A:Q,14,FALSE())/17*(17-Table4[[#This Row],[Missed Games]]),0)</f>
        <v>40.498823529411759</v>
      </c>
      <c r="V86" s="57">
        <f>IFERROR(VLOOKUP(Table4[[#This Row],[PLAYER]],RB!A:Q,15,FALSE())/17*(17-Table4[[#This Row],[Missed Games]]),0)</f>
        <v>43.205882352941181</v>
      </c>
      <c r="W86" s="58">
        <f>AVERAGE(AVERAGE(Table4[[#This Row],[LOW]],Table4[[#This Row],[HIGH]]),Table4[[#This Row],[AVG]],VLOOKUP(Table4[[#This Row],[PLAYER]],ECR!L:N,3,FALSE))</f>
        <v>32.76509803921568</v>
      </c>
      <c r="X86" s="58">
        <f>Table4[[#This Row],[Zscore Projection]]-$Q$1</f>
        <v>-81.38937990196078</v>
      </c>
      <c r="Y86" s="59">
        <f>MAX(Table4[[#This Row],[VBD]]*Scoring!$B$48+1,1)</f>
        <v>1</v>
      </c>
      <c r="Z86" s="45">
        <f>VLOOKUP(Table4[[#This Row],[VBD]],BM:BO,3,FALSE)</f>
        <v>10</v>
      </c>
      <c r="AA86" s="60">
        <f>VLOOKUP(INDEX(ECR!$E:$E,MATCH(P86,ECR!$C:$C,0)),RISK!A:B,2,FALSE())</f>
        <v>4</v>
      </c>
      <c r="AB86" s="61"/>
      <c r="AC86" s="46" t="s">
        <v>284</v>
      </c>
      <c r="AD86" s="46" t="str">
        <f>VLOOKUP(AC86,ECR!E:L,8,FALSE())</f>
        <v>Germie Bernard</v>
      </c>
      <c r="AE86" s="46" t="str">
        <f>IFERROR(VLOOKUP(Table6[[#This Row],[PLAYER]],ECR!C:F,2,FALSE()),"-")</f>
        <v>PIT</v>
      </c>
      <c r="AF86" s="46">
        <f>IFERROR(VLOOKUP(Table6[[#This Row],[PLAYER]],ECR!C:F,4,FALSE()),"-")</f>
        <v>9</v>
      </c>
      <c r="AG86" s="46" t="str">
        <f>Table6[[#This Row],[Team]] &amp; "/" &amp; Table6[[#This Row],[Bye]]</f>
        <v>PIT/9</v>
      </c>
      <c r="AH86" s="57">
        <f>IFERROR(VLOOKUP(Table6[[#This Row],[PLAYER]],WR!A:Q,13,FALSE())/17*(17-Table6[[#This Row],[Missed Games]]),0)</f>
        <v>91.882878034251675</v>
      </c>
      <c r="AI86" s="57">
        <f>IFERROR(VLOOKUP(Table6[[#This Row],[PLAYER]],WR!A:Q,14,FALSE())/17*(17-Table6[[#This Row],[Missed Games]]),0)</f>
        <v>93.453369471332863</v>
      </c>
      <c r="AJ86" s="57">
        <f>IFERROR(VLOOKUP(Table6[[#This Row],[PLAYER]],WR!A:Q,15,FALSE())/17*(17-Table6[[#This Row],[Missed Games]]),0)</f>
        <v>95.48804556962024</v>
      </c>
      <c r="AK86" s="58">
        <f>AVERAGE(AVERAGE(Table6[[#This Row],[LOW]],Table6[[#This Row],[HIGH]]),Table6[[#This Row],[AVG]],VLOOKUP(Table6[[#This Row],[PLAYER]],ECR!L:N,3,FALSE))</f>
        <v>83.035827848101263</v>
      </c>
      <c r="AL86" s="58">
        <f>Table6[[#This Row],[Zscore Projection]]-$AE$1</f>
        <v>-31.668070141474317</v>
      </c>
      <c r="AM86" s="59">
        <f>MAX(Table6[[#This Row],[VBD]]*Scoring!$B$48+1,1)</f>
        <v>1</v>
      </c>
      <c r="AN86" s="45">
        <f>VLOOKUP(Table6[[#This Row],[VBD]],BR:BT,3,FALSE)</f>
        <v>7</v>
      </c>
      <c r="AO86" s="60">
        <f>VLOOKUP(INDEX(ECR!$E:$E,MATCH(AD86,ECR!$C:$C,0)),RISK!A:B,2,FALSE())</f>
        <v>3.848101265822784</v>
      </c>
      <c r="AP86" s="61"/>
      <c r="AQ86" s="47" t="s">
        <v>444</v>
      </c>
      <c r="AR86" s="48"/>
      <c r="AT86" s="48"/>
      <c r="AU86" s="48"/>
      <c r="AV86" s="48"/>
      <c r="AW86" s="48"/>
      <c r="AX86" s="48"/>
      <c r="AY86" s="48"/>
      <c r="AZ86" s="48"/>
      <c r="BA86" s="48"/>
      <c r="BC86" s="48"/>
      <c r="BD86" s="48"/>
      <c r="BF86" s="91">
        <v>84</v>
      </c>
      <c r="BG86" s="61" t="str">
        <f t="shared" si="20"/>
        <v/>
      </c>
      <c r="BH86" s="90"/>
      <c r="BI86" s="90"/>
      <c r="BJ86" s="105"/>
      <c r="BK86" s="91">
        <v>84</v>
      </c>
      <c r="BL86" s="61">
        <f t="shared" si="13"/>
        <v>17.374117647058824</v>
      </c>
      <c r="BM86" s="90">
        <f>IFERROR(LARGE($X$3:$X$102,84),"")</f>
        <v>-96.582811274509794</v>
      </c>
      <c r="BN86" s="90">
        <f t="shared" si="16"/>
        <v>-95.770948529411754</v>
      </c>
      <c r="BO86" s="92">
        <f t="shared" si="17"/>
        <v>11</v>
      </c>
      <c r="BP86" s="103">
        <v>84</v>
      </c>
      <c r="BQ86" s="61">
        <f t="shared" si="14"/>
        <v>61.968652271034991</v>
      </c>
      <c r="BR86" s="90">
        <f>IFERROR(LARGE($AL$3:$AL$102,84),"")</f>
        <v>-46.991734177215207</v>
      </c>
      <c r="BS86" s="90">
        <f t="shared" si="18"/>
        <v>-46.991734177215207</v>
      </c>
      <c r="BT86" s="92">
        <f t="shared" si="19"/>
        <v>8</v>
      </c>
      <c r="BU86" s="91">
        <v>84</v>
      </c>
      <c r="BV86" s="61" t="str">
        <f t="shared" si="15"/>
        <v/>
      </c>
      <c r="BW86" s="90"/>
      <c r="BX86" s="90"/>
      <c r="BY86" s="105">
        <f>IFERROR(VALUE(RIGHT(INDEX(ECR!$E:$E,MATCH(P86,ECR!$C:$C,0)),LEN(INDEX(ECR!$E:$E,MATCH(P86,ECR!$C:$C,0)))-2)),"")</f>
        <v>84</v>
      </c>
      <c r="BZ86" s="90"/>
      <c r="CA86" s="90"/>
      <c r="CB86" s="90"/>
      <c r="CC86" s="90"/>
      <c r="CD86" s="90"/>
      <c r="CE86" s="90"/>
      <c r="CF86" s="90"/>
      <c r="CG86" s="90"/>
    </row>
    <row r="87" spans="1:85" s="62" customFormat="1" ht="14.25" customHeight="1" x14ac:dyDescent="0.3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M87" s="48"/>
      <c r="O87" s="45" t="s">
        <v>333</v>
      </c>
      <c r="P87" s="56" t="str">
        <f>VLOOKUP(O87,ECR!E:L,8,FALSE())</f>
        <v>Emari Demercado</v>
      </c>
      <c r="Q87" s="46" t="str">
        <f>IFERROR(VLOOKUP(Table4[[#This Row],[PLAYER]],ECR!C:F,2,FALSE()),"-")</f>
        <v>DAL</v>
      </c>
      <c r="R87" s="46">
        <f>IFERROR(VLOOKUP(Table4[[#This Row],[PLAYER]],ECR!C:F,4,FALSE()),"-")</f>
        <v>14</v>
      </c>
      <c r="S87" s="46" t="str">
        <f>Table4[[#This Row],[Team]] &amp; "/" &amp; Table4[[#This Row],[Bye]]</f>
        <v>DAL/14</v>
      </c>
      <c r="T87" s="57">
        <f>IFERROR(VLOOKUP(Table4[[#This Row],[PLAYER]],RB!A:Q,13,FALSE())/17*(17-Table4[[#This Row],[Missed Games]]),0)</f>
        <v>13.183529411764706</v>
      </c>
      <c r="U87" s="57">
        <f>IFERROR(VLOOKUP(Table4[[#This Row],[PLAYER]],RB!A:Q,14,FALSE())/17*(17-Table4[[#This Row],[Missed Games]]),0)</f>
        <v>19.194117647058821</v>
      </c>
      <c r="V87" s="57">
        <f>IFERROR(VLOOKUP(Table4[[#This Row],[PLAYER]],RB!A:Q,15,FALSE())/17*(17-Table4[[#This Row],[Missed Games]]),0)</f>
        <v>24.929411764705883</v>
      </c>
      <c r="W87" s="58">
        <f>AVERAGE(AVERAGE(Table4[[#This Row],[LOW]],Table4[[#This Row],[HIGH]]),Table4[[#This Row],[AVG]],VLOOKUP(Table4[[#This Row],[PLAYER]],ECR!L:N,3,FALSE))</f>
        <v>18.383529411764705</v>
      </c>
      <c r="X87" s="58">
        <f>Table4[[#This Row],[Zscore Projection]]-$Q$1</f>
        <v>-95.770948529411754</v>
      </c>
      <c r="Y87" s="59">
        <f>MAX(Table4[[#This Row],[VBD]]*Scoring!$B$48+1,1)</f>
        <v>1</v>
      </c>
      <c r="Z87" s="45">
        <f>VLOOKUP(Table4[[#This Row],[VBD]],BM:BO,3,FALSE)</f>
        <v>11</v>
      </c>
      <c r="AA87" s="60">
        <f>VLOOKUP(INDEX(ECR!$E:$E,MATCH(P87,ECR!$C:$C,0)),RISK!A:B,2,FALSE())</f>
        <v>4</v>
      </c>
      <c r="AB87" s="61"/>
      <c r="AC87" s="46" t="s">
        <v>322</v>
      </c>
      <c r="AD87" s="46" t="str">
        <f>VLOOKUP(AC87,ECR!E:L,8,FALSE())</f>
        <v>Ted Hurst III</v>
      </c>
      <c r="AE87" s="46" t="str">
        <f>IFERROR(VLOOKUP(Table6[[#This Row],[PLAYER]],ECR!C:F,2,FALSE()),"-")</f>
        <v>TB</v>
      </c>
      <c r="AF87" s="46">
        <f>IFERROR(VLOOKUP(Table6[[#This Row],[PLAYER]],ECR!C:F,4,FALSE()),"-")</f>
        <v>10</v>
      </c>
      <c r="AG87" s="46" t="str">
        <f>Table6[[#This Row],[Team]] &amp; "/" &amp; Table6[[#This Row],[Bye]]</f>
        <v>TB/10</v>
      </c>
      <c r="AH87" s="57">
        <f>IFERROR(VLOOKUP(Table6[[#This Row],[PLAYER]],WR!A:Q,13,FALSE())/17*(17-Table6[[#This Row],[Missed Games]]),0)</f>
        <v>69.170941474311249</v>
      </c>
      <c r="AI87" s="57">
        <f>IFERROR(VLOOKUP(Table6[[#This Row],[PLAYER]],WR!A:Q,14,FALSE())/17*(17-Table6[[#This Row],[Missed Games]]),0)</f>
        <v>82.307367386448263</v>
      </c>
      <c r="AJ87" s="57">
        <f>IFERROR(VLOOKUP(Table6[[#This Row],[PLAYER]],WR!A:Q,15,FALSE())/17*(17-Table6[[#This Row],[Missed Games]]),0)</f>
        <v>94.971872226358911</v>
      </c>
      <c r="AK87" s="58">
        <f>AVERAGE(AVERAGE(Table6[[#This Row],[LOW]],Table6[[#This Row],[HIGH]]),Table6[[#This Row],[AVG]],VLOOKUP(Table6[[#This Row],[PLAYER]],ECR!L:N,3,FALSE))</f>
        <v>75.217049838669652</v>
      </c>
      <c r="AL87" s="58">
        <f>Table6[[#This Row],[Zscore Projection]]-$AE$1</f>
        <v>-39.486848150905928</v>
      </c>
      <c r="AM87" s="59">
        <f>MAX(Table6[[#This Row],[VBD]]*Scoring!$B$48+1,1)</f>
        <v>1</v>
      </c>
      <c r="AN87" s="45">
        <f>VLOOKUP(Table6[[#This Row],[VBD]],BR:BT,3,FALSE)</f>
        <v>7</v>
      </c>
      <c r="AO87" s="60">
        <f>VLOOKUP(INDEX(ECR!$E:$E,MATCH(AD87,ECR!$C:$C,0)),RISK!A:B,2,FALSE())</f>
        <v>3.848101265822784</v>
      </c>
      <c r="AP87" s="61"/>
      <c r="AQ87" s="47" t="s">
        <v>445</v>
      </c>
      <c r="AR87" s="48"/>
      <c r="AT87" s="48"/>
      <c r="AU87" s="48"/>
      <c r="AV87" s="48"/>
      <c r="AW87" s="48"/>
      <c r="AX87" s="48"/>
      <c r="AY87" s="48"/>
      <c r="AZ87" s="48"/>
      <c r="BA87" s="48"/>
      <c r="BC87" s="48"/>
      <c r="BD87" s="48"/>
      <c r="BF87" s="91">
        <v>85</v>
      </c>
      <c r="BG87" s="61" t="str">
        <f t="shared" si="20"/>
        <v/>
      </c>
      <c r="BH87" s="90"/>
      <c r="BI87" s="90"/>
      <c r="BJ87" s="105"/>
      <c r="BK87" s="91">
        <v>85</v>
      </c>
      <c r="BL87" s="61">
        <f t="shared" si="13"/>
        <v>16.899999999999999</v>
      </c>
      <c r="BM87" s="90">
        <f>IFERROR(LARGE($X$3:$X$102,85),"")</f>
        <v>-98.360752450980385</v>
      </c>
      <c r="BN87" s="90">
        <f t="shared" si="16"/>
        <v>-95.770948529411754</v>
      </c>
      <c r="BO87" s="92">
        <f t="shared" si="17"/>
        <v>11</v>
      </c>
      <c r="BP87" s="103">
        <v>85</v>
      </c>
      <c r="BQ87" s="61">
        <f t="shared" si="14"/>
        <v>61.272375279225614</v>
      </c>
      <c r="BR87" s="90">
        <f>IFERROR(LARGE($AL$3:$AL$102,85),"")</f>
        <v>-47.701420948126085</v>
      </c>
      <c r="BS87" s="90">
        <f t="shared" si="18"/>
        <v>-46.991734177215207</v>
      </c>
      <c r="BT87" s="92">
        <f t="shared" si="19"/>
        <v>8</v>
      </c>
      <c r="BU87" s="91">
        <v>85</v>
      </c>
      <c r="BV87" s="61" t="str">
        <f t="shared" si="15"/>
        <v/>
      </c>
      <c r="BW87" s="90"/>
      <c r="BX87" s="90"/>
      <c r="BY87" s="105">
        <f>IFERROR(VALUE(RIGHT(INDEX(ECR!$E:$E,MATCH(P87,ECR!$C:$C,0)),LEN(INDEX(ECR!$E:$E,MATCH(P87,ECR!$C:$C,0)))-2)),"")</f>
        <v>85</v>
      </c>
      <c r="BZ87" s="90"/>
      <c r="CA87" s="90"/>
      <c r="CB87" s="90"/>
      <c r="CC87" s="90"/>
      <c r="CD87" s="90"/>
      <c r="CE87" s="90"/>
      <c r="CF87" s="90"/>
      <c r="CG87" s="90"/>
    </row>
    <row r="88" spans="1:85" s="62" customFormat="1" ht="14.25" customHeight="1" x14ac:dyDescent="0.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M88" s="48"/>
      <c r="O88" s="45" t="s">
        <v>331</v>
      </c>
      <c r="P88" s="56" t="str">
        <f>VLOOKUP(O88,ECR!E:L,8,FALSE())</f>
        <v>Devin Singletary</v>
      </c>
      <c r="Q88" s="46" t="str">
        <f>IFERROR(VLOOKUP(Table4[[#This Row],[PLAYER]],ECR!C:F,2,FALSE()),"-")</f>
        <v>NYG</v>
      </c>
      <c r="R88" s="46">
        <f>IFERROR(VLOOKUP(Table4[[#This Row],[PLAYER]],ECR!C:F,4,FALSE()),"-")</f>
        <v>8</v>
      </c>
      <c r="S88" s="46" t="str">
        <f>Table4[[#This Row],[Team]] &amp; "/" &amp; Table4[[#This Row],[Bye]]</f>
        <v>NYG/8</v>
      </c>
      <c r="T88" s="57">
        <f>IFERROR(VLOOKUP(Table4[[#This Row],[PLAYER]],RB!A:Q,13,FALSE())/17*(17-Table4[[#This Row],[Missed Games]]),0)</f>
        <v>0</v>
      </c>
      <c r="U88" s="57">
        <f>IFERROR(VLOOKUP(Table4[[#This Row],[PLAYER]],RB!A:Q,14,FALSE())/17*(17-Table4[[#This Row],[Missed Games]]),0)</f>
        <v>7.8382352941176467</v>
      </c>
      <c r="V88" s="57">
        <f>IFERROR(VLOOKUP(Table4[[#This Row],[PLAYER]],RB!A:Q,15,FALSE())/17*(17-Table4[[#This Row],[Missed Games]]),0)</f>
        <v>15.676470588235293</v>
      </c>
      <c r="W88" s="58">
        <f>AVERAGE(AVERAGE(Table4[[#This Row],[LOW]],Table4[[#This Row],[HIGH]]),Table4[[#This Row],[AVG]],VLOOKUP(Table4[[#This Row],[PLAYER]],ECR!L:N,3,FALSE))</f>
        <v>10.818039215686275</v>
      </c>
      <c r="X88" s="58">
        <f>Table4[[#This Row],[Zscore Projection]]-$Q$1</f>
        <v>-103.3364387254902</v>
      </c>
      <c r="Y88" s="59">
        <f>MAX(Table4[[#This Row],[VBD]]*Scoring!$B$48+1,1)</f>
        <v>1</v>
      </c>
      <c r="Z88" s="45">
        <f>VLOOKUP(Table4[[#This Row],[VBD]],BM:BO,3,FALSE)</f>
        <v>11</v>
      </c>
      <c r="AA88" s="60">
        <f>VLOOKUP(INDEX(ECR!$E:$E,MATCH(P88,ECR!$C:$C,0)),RISK!A:B,2,FALSE())</f>
        <v>4</v>
      </c>
      <c r="AB88" s="61"/>
      <c r="AC88" s="46" t="s">
        <v>273</v>
      </c>
      <c r="AD88" s="46" t="str">
        <f>VLOOKUP(AC88,ECR!E:L,8,FALSE())</f>
        <v>Devaughn Vele</v>
      </c>
      <c r="AE88" s="46" t="str">
        <f>IFERROR(VLOOKUP(Table6[[#This Row],[PLAYER]],ECR!C:F,2,FALSE()),"-")</f>
        <v>NO</v>
      </c>
      <c r="AF88" s="46">
        <f>IFERROR(VLOOKUP(Table6[[#This Row],[PLAYER]],ECR!C:F,4,FALSE()),"-")</f>
        <v>8</v>
      </c>
      <c r="AG88" s="46" t="str">
        <f>Table6[[#This Row],[Team]] &amp; "/" &amp; Table6[[#This Row],[Bye]]</f>
        <v>NO/8</v>
      </c>
      <c r="AH88" s="57">
        <f>IFERROR(VLOOKUP(Table6[[#This Row],[PLAYER]],WR!A:Q,13,FALSE())/17*(17-Table6[[#This Row],[Missed Games]]),0)</f>
        <v>74.958086373790024</v>
      </c>
      <c r="AI88" s="57">
        <f>IFERROR(VLOOKUP(Table6[[#This Row],[PLAYER]],WR!A:Q,14,FALSE())/17*(17-Table6[[#This Row],[Missed Games]]),0)</f>
        <v>79.213112434847361</v>
      </c>
      <c r="AJ88" s="57">
        <f>IFERROR(VLOOKUP(Table6[[#This Row],[PLAYER]],WR!A:Q,15,FALSE())/17*(17-Table6[[#This Row],[Missed Games]]),0)</f>
        <v>83.475874906924801</v>
      </c>
      <c r="AK88" s="58">
        <f>AVERAGE(AVERAGE(Table6[[#This Row],[LOW]],Table6[[#This Row],[HIGH]]),Table6[[#This Row],[AVG]],VLOOKUP(Table6[[#This Row],[PLAYER]],ECR!L:N,3,FALSE))</f>
        <v>73.141319185902205</v>
      </c>
      <c r="AL88" s="58">
        <f>Table6[[#This Row],[Zscore Projection]]-$AE$1</f>
        <v>-41.562578803673375</v>
      </c>
      <c r="AM88" s="59">
        <f>MAX(Table6[[#This Row],[VBD]]*Scoring!$B$48+1,1)</f>
        <v>1</v>
      </c>
      <c r="AN88" s="45">
        <f>VLOOKUP(Table6[[#This Row],[VBD]],BR:BT,3,FALSE)</f>
        <v>7</v>
      </c>
      <c r="AO88" s="60">
        <f>VLOOKUP(INDEX(ECR!$E:$E,MATCH(AD88,ECR!$C:$C,0)),RISK!A:B,2,FALSE())</f>
        <v>3.848101265822784</v>
      </c>
      <c r="AP88" s="61"/>
      <c r="AQ88" s="47" t="s">
        <v>446</v>
      </c>
      <c r="AR88" s="48"/>
      <c r="AT88" s="48"/>
      <c r="AU88" s="48"/>
      <c r="AV88" s="48"/>
      <c r="AW88" s="48"/>
      <c r="AX88" s="48"/>
      <c r="AY88" s="48"/>
      <c r="AZ88" s="48"/>
      <c r="BA88" s="48"/>
      <c r="BC88" s="48"/>
      <c r="BD88" s="48"/>
      <c r="BF88" s="91">
        <v>86</v>
      </c>
      <c r="BG88" s="61" t="str">
        <f t="shared" si="20"/>
        <v/>
      </c>
      <c r="BH88" s="90"/>
      <c r="BI88" s="90"/>
      <c r="BJ88" s="105"/>
      <c r="BK88" s="91">
        <v>86</v>
      </c>
      <c r="BL88" s="61">
        <f t="shared" si="13"/>
        <v>16.777647058823533</v>
      </c>
      <c r="BM88" s="90">
        <f>IFERROR(LARGE($X$3:$X$102,86),"")</f>
        <v>-98.916438725490195</v>
      </c>
      <c r="BN88" s="90">
        <f t="shared" si="16"/>
        <v>-95.770948529411754</v>
      </c>
      <c r="BO88" s="92">
        <f t="shared" si="17"/>
        <v>11</v>
      </c>
      <c r="BP88" s="103">
        <v>86</v>
      </c>
      <c r="BQ88" s="61">
        <f t="shared" si="14"/>
        <v>60.993864482501863</v>
      </c>
      <c r="BR88" s="90">
        <f>IFERROR(LARGE($AL$3:$AL$102,86),"")</f>
        <v>-53.642984611566156</v>
      </c>
      <c r="BS88" s="90">
        <f t="shared" si="18"/>
        <v>-46.991734177215207</v>
      </c>
      <c r="BT88" s="92">
        <f t="shared" si="19"/>
        <v>8</v>
      </c>
      <c r="BU88" s="91">
        <v>86</v>
      </c>
      <c r="BV88" s="61" t="str">
        <f t="shared" si="15"/>
        <v/>
      </c>
      <c r="BW88" s="90"/>
      <c r="BX88" s="90"/>
      <c r="BY88" s="105">
        <f>IFERROR(VALUE(RIGHT(INDEX(ECR!$E:$E,MATCH(P88,ECR!$C:$C,0)),LEN(INDEX(ECR!$E:$E,MATCH(P88,ECR!$C:$C,0)))-2)),"")</f>
        <v>86</v>
      </c>
      <c r="BZ88" s="90"/>
      <c r="CA88" s="90"/>
      <c r="CB88" s="90"/>
      <c r="CC88" s="90"/>
      <c r="CD88" s="90"/>
      <c r="CE88" s="90"/>
      <c r="CF88" s="90"/>
      <c r="CG88" s="90"/>
    </row>
    <row r="89" spans="1:85" s="62" customFormat="1" ht="14.25" customHeight="1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M89" s="48"/>
      <c r="O89" s="45" t="s">
        <v>332</v>
      </c>
      <c r="P89" s="56" t="str">
        <f>VLOOKUP(O89,ECR!E:L,8,FALSE())</f>
        <v>Adam Randall</v>
      </c>
      <c r="Q89" s="46" t="str">
        <f>IFERROR(VLOOKUP(Table4[[#This Row],[PLAYER]],ECR!C:F,2,FALSE()),"-")</f>
        <v>BAL</v>
      </c>
      <c r="R89" s="46">
        <f>IFERROR(VLOOKUP(Table4[[#This Row],[PLAYER]],ECR!C:F,4,FALSE()),"-")</f>
        <v>13</v>
      </c>
      <c r="S89" s="46" t="str">
        <f>Table4[[#This Row],[Team]] &amp; "/" &amp; Table4[[#This Row],[Bye]]</f>
        <v>BAL/13</v>
      </c>
      <c r="T89" s="57">
        <f>IFERROR(VLOOKUP(Table4[[#This Row],[PLAYER]],RB!A:Q,13,FALSE())/17*(17-Table4[[#This Row],[Missed Games]]),0)</f>
        <v>41.490570588235293</v>
      </c>
      <c r="U89" s="57">
        <f>IFERROR(VLOOKUP(Table4[[#This Row],[PLAYER]],RB!A:Q,14,FALSE())/17*(17-Table4[[#This Row],[Missed Games]]),0)</f>
        <v>69.975864705882358</v>
      </c>
      <c r="V89" s="57">
        <f>IFERROR(VLOOKUP(Table4[[#This Row],[PLAYER]],RB!A:Q,15,FALSE())/17*(17-Table4[[#This Row],[Missed Games]]),0)</f>
        <v>98.461158823529416</v>
      </c>
      <c r="W89" s="58">
        <f>AVERAGE(AVERAGE(Table4[[#This Row],[LOW]],Table4[[#This Row],[HIGH]]),Table4[[#This Row],[AVG]],VLOOKUP(Table4[[#This Row],[PLAYER]],ECR!L:N,3,FALSE))</f>
        <v>51.241360784313734</v>
      </c>
      <c r="X89" s="58">
        <f>Table4[[#This Row],[Zscore Projection]]-$Q$1</f>
        <v>-62.913117156862732</v>
      </c>
      <c r="Y89" s="59">
        <f>MAX(Table4[[#This Row],[VBD]]*Scoring!$B$48+1,1)</f>
        <v>1</v>
      </c>
      <c r="Z89" s="45">
        <f>VLOOKUP(Table4[[#This Row],[VBD]],BM:BO,3,FALSE)</f>
        <v>9</v>
      </c>
      <c r="AA89" s="60">
        <f>VLOOKUP(INDEX(ECR!$E:$E,MATCH(P89,ECR!$C:$C,0)),RISK!A:B,2,FALSE())</f>
        <v>4</v>
      </c>
      <c r="AB89" s="61"/>
      <c r="AC89" s="46" t="s">
        <v>260</v>
      </c>
      <c r="AD89" s="46" t="str">
        <f>VLOOKUP(AC89,ECR!E:L,8,FALSE())</f>
        <v>Troy Franklin</v>
      </c>
      <c r="AE89" s="46" t="str">
        <f>IFERROR(VLOOKUP(Table6[[#This Row],[PLAYER]],ECR!C:F,2,FALSE()),"-")</f>
        <v>DEN</v>
      </c>
      <c r="AF89" s="46">
        <f>IFERROR(VLOOKUP(Table6[[#This Row],[PLAYER]],ECR!C:F,4,FALSE()),"-")</f>
        <v>10</v>
      </c>
      <c r="AG89" s="46" t="str">
        <f>Table6[[#This Row],[Team]] &amp; "/" &amp; Table6[[#This Row],[Bye]]</f>
        <v>DEN/10</v>
      </c>
      <c r="AH89" s="57">
        <f>IFERROR(VLOOKUP(Table6[[#This Row],[PLAYER]],WR!A:Q,13,FALSE())/17*(17-Table6[[#This Row],[Missed Games]]),0)</f>
        <v>30.930171258376774</v>
      </c>
      <c r="AI89" s="57">
        <f>IFERROR(VLOOKUP(Table6[[#This Row],[PLAYER]],WR!A:Q,14,FALSE())/17*(17-Table6[[#This Row],[Missed Games]]),0)</f>
        <v>60.993864482501863</v>
      </c>
      <c r="AJ89" s="57">
        <f>IFERROR(VLOOKUP(Table6[[#This Row],[PLAYER]],WR!A:Q,15,FALSE())/17*(17-Table6[[#This Row],[Missed Games]]),0)</f>
        <v>91.521742367833198</v>
      </c>
      <c r="AK89" s="58">
        <f>AVERAGE(AVERAGE(Table6[[#This Row],[LOW]],Table6[[#This Row],[HIGH]]),Table6[[#This Row],[AVG]],VLOOKUP(Table6[[#This Row],[PLAYER]],ECR!L:N,3,FALSE))</f>
        <v>61.060913378009424</v>
      </c>
      <c r="AL89" s="58">
        <f>Table6[[#This Row],[Zscore Projection]]-$AE$1</f>
        <v>-53.642984611566156</v>
      </c>
      <c r="AM89" s="59">
        <f>MAX(Table6[[#This Row],[VBD]]*Scoring!$B$48+1,1)</f>
        <v>1</v>
      </c>
      <c r="AN89" s="45">
        <f>VLOOKUP(Table6[[#This Row],[VBD]],BR:BT,3,FALSE)</f>
        <v>8</v>
      </c>
      <c r="AO89" s="60">
        <f>VLOOKUP(INDEX(ECR!$E:$E,MATCH(AD89,ECR!$C:$C,0)),RISK!A:B,2,FALSE())</f>
        <v>3.848101265822784</v>
      </c>
      <c r="AP89" s="61"/>
      <c r="AQ89" s="47" t="s">
        <v>447</v>
      </c>
      <c r="AR89" s="48"/>
      <c r="AT89" s="48"/>
      <c r="AU89" s="48"/>
      <c r="AV89" s="48"/>
      <c r="AW89" s="48"/>
      <c r="AX89" s="48"/>
      <c r="AY89" s="48"/>
      <c r="AZ89" s="48"/>
      <c r="BA89" s="48"/>
      <c r="BC89" s="48"/>
      <c r="BD89" s="48"/>
      <c r="BF89" s="91">
        <v>87</v>
      </c>
      <c r="BG89" s="61" t="str">
        <f t="shared" si="20"/>
        <v/>
      </c>
      <c r="BH89" s="90"/>
      <c r="BI89" s="90"/>
      <c r="BJ89" s="105"/>
      <c r="BK89" s="91">
        <v>87</v>
      </c>
      <c r="BL89" s="61">
        <f t="shared" si="13"/>
        <v>13.772352941176472</v>
      </c>
      <c r="BM89" s="90">
        <f>IFERROR(LARGE($X$3:$X$102,87),"")</f>
        <v>-102.66604656862745</v>
      </c>
      <c r="BN89" s="90">
        <f t="shared" si="16"/>
        <v>-95.770948529411754</v>
      </c>
      <c r="BO89" s="92">
        <f t="shared" si="17"/>
        <v>11</v>
      </c>
      <c r="BP89" s="103">
        <v>87</v>
      </c>
      <c r="BQ89" s="61">
        <f t="shared" si="14"/>
        <v>60.962918838421444</v>
      </c>
      <c r="BR89" s="90">
        <f>IFERROR(LARGE($AL$3:$AL$102,87),"")</f>
        <v>-54.36247083643584</v>
      </c>
      <c r="BS89" s="90">
        <f t="shared" si="18"/>
        <v>-46.991734177215207</v>
      </c>
      <c r="BT89" s="92">
        <f t="shared" si="19"/>
        <v>8</v>
      </c>
      <c r="BU89" s="91">
        <v>87</v>
      </c>
      <c r="BV89" s="61" t="str">
        <f t="shared" si="15"/>
        <v/>
      </c>
      <c r="BW89" s="90"/>
      <c r="BX89" s="90"/>
      <c r="BY89" s="105">
        <f>IFERROR(VALUE(RIGHT(INDEX(ECR!$E:$E,MATCH(P89,ECR!$C:$C,0)),LEN(INDEX(ECR!$E:$E,MATCH(P89,ECR!$C:$C,0)))-2)),"")</f>
        <v>87</v>
      </c>
      <c r="BZ89" s="90"/>
      <c r="CA89" s="90"/>
      <c r="CB89" s="90"/>
      <c r="CC89" s="90"/>
      <c r="CD89" s="90"/>
      <c r="CE89" s="90"/>
      <c r="CF89" s="90"/>
      <c r="CG89" s="90"/>
    </row>
    <row r="90" spans="1:85" s="62" customFormat="1" ht="14.25" customHeight="1" x14ac:dyDescent="0.3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M90" s="48"/>
      <c r="O90" s="45" t="s">
        <v>287</v>
      </c>
      <c r="P90" s="56" t="str">
        <f>VLOOKUP(O90,ECR!E:L,8,FALSE())</f>
        <v>Jaydon Blue</v>
      </c>
      <c r="Q90" s="46" t="str">
        <f>IFERROR(VLOOKUP(Table4[[#This Row],[PLAYER]],ECR!C:F,2,FALSE()),"-")</f>
        <v>PHI</v>
      </c>
      <c r="R90" s="46">
        <f>IFERROR(VLOOKUP(Table4[[#This Row],[PLAYER]],ECR!C:F,4,FALSE()),"-")</f>
        <v>10</v>
      </c>
      <c r="S90" s="46" t="str">
        <f>Table4[[#This Row],[Team]] &amp; "/" &amp; Table4[[#This Row],[Bye]]</f>
        <v>PHI/10</v>
      </c>
      <c r="T90" s="57">
        <f>IFERROR(VLOOKUP(Table4[[#This Row],[PLAYER]],RB!A:Q,13,FALSE())/17*(17-Table4[[#This Row],[Missed Games]]),0)</f>
        <v>0</v>
      </c>
      <c r="U90" s="57">
        <f>IFERROR(VLOOKUP(Table4[[#This Row],[PLAYER]],RB!A:Q,14,FALSE())/17*(17-Table4[[#This Row],[Missed Games]]),0)</f>
        <v>0</v>
      </c>
      <c r="V90" s="57">
        <f>IFERROR(VLOOKUP(Table4[[#This Row],[PLAYER]],RB!A:Q,15,FALSE())/17*(17-Table4[[#This Row],[Missed Games]]),0)</f>
        <v>0</v>
      </c>
      <c r="W90" s="58">
        <f>AVERAGE(AVERAGE(Table4[[#This Row],[LOW]],Table4[[#This Row],[HIGH]]),Table4[[#This Row],[AVG]],VLOOKUP(Table4[[#This Row],[PLAYER]],ECR!L:N,3,FALSE))</f>
        <v>4.4327450980392156</v>
      </c>
      <c r="X90" s="58">
        <f>Table4[[#This Row],[Zscore Projection]]-$Q$1</f>
        <v>-109.72173284313725</v>
      </c>
      <c r="Y90" s="59">
        <f>MAX(Table4[[#This Row],[VBD]]*Scoring!$B$48+1,1)</f>
        <v>1</v>
      </c>
      <c r="Z90" s="45">
        <f>VLOOKUP(Table4[[#This Row],[VBD]],BM:BO,3,FALSE)</f>
        <v>11</v>
      </c>
      <c r="AA90" s="60">
        <f>VLOOKUP(INDEX(ECR!$E:$E,MATCH(P90,ECR!$C:$C,0)),RISK!A:B,2,FALSE())</f>
        <v>4</v>
      </c>
      <c r="AB90" s="61"/>
      <c r="AC90" s="46" t="s">
        <v>311</v>
      </c>
      <c r="AD90" s="46" t="str">
        <f>VLOOKUP(AC90,ECR!E:L,8,FALSE())</f>
        <v>Tank Dell</v>
      </c>
      <c r="AE90" s="46" t="str">
        <f>IFERROR(VLOOKUP(Table6[[#This Row],[PLAYER]],ECR!C:F,2,FALSE()),"-")</f>
        <v>HOU</v>
      </c>
      <c r="AF90" s="46">
        <f>IFERROR(VLOOKUP(Table6[[#This Row],[PLAYER]],ECR!C:F,4,FALSE()),"-")</f>
        <v>8</v>
      </c>
      <c r="AG90" s="46" t="str">
        <f>Table6[[#This Row],[Team]] &amp; "/" &amp; Table6[[#This Row],[Bye]]</f>
        <v>HOU/8</v>
      </c>
      <c r="AH90" s="57">
        <f>IFERROR(VLOOKUP(Table6[[#This Row],[PLAYER]],WR!A:Q,13,FALSE())/17*(17-Table6[[#This Row],[Missed Games]]),0)</f>
        <v>0</v>
      </c>
      <c r="AI90" s="57">
        <f>IFERROR(VLOOKUP(Table6[[#This Row],[PLAYER]],WR!A:Q,14,FALSE())/17*(17-Table6[[#This Row],[Missed Games]]),0)</f>
        <v>34.543075204765451</v>
      </c>
      <c r="AJ90" s="57">
        <f>IFERROR(VLOOKUP(Table6[[#This Row],[PLAYER]],WR!A:Q,15,FALSE())/17*(17-Table6[[#This Row],[Missed Games]]),0)</f>
        <v>69.086150409530902</v>
      </c>
      <c r="AK90" s="58">
        <f>AVERAGE(AVERAGE(Table6[[#This Row],[LOW]],Table6[[#This Row],[HIGH]]),Table6[[#This Row],[AVG]],VLOOKUP(Table6[[#This Row],[PLAYER]],ECR!L:N,3,FALSE))</f>
        <v>42.63536113179449</v>
      </c>
      <c r="AL90" s="58">
        <f>Table6[[#This Row],[Zscore Projection]]-$AE$1</f>
        <v>-72.068536857781083</v>
      </c>
      <c r="AM90" s="59">
        <f>MAX(Table6[[#This Row],[VBD]]*Scoring!$B$48+1,1)</f>
        <v>1</v>
      </c>
      <c r="AN90" s="45">
        <f>VLOOKUP(Table6[[#This Row],[VBD]],BR:BT,3,FALSE)</f>
        <v>9</v>
      </c>
      <c r="AO90" s="60">
        <f>VLOOKUP(INDEX(ECR!$E:$E,MATCH(AD90,ECR!$C:$C,0)),RISK!A:B,2,FALSE())</f>
        <v>3.848101265822784</v>
      </c>
      <c r="AP90" s="61"/>
      <c r="AQ90" s="47" t="s">
        <v>448</v>
      </c>
      <c r="AR90" s="48"/>
      <c r="AT90" s="48"/>
      <c r="AU90" s="48"/>
      <c r="AV90" s="48"/>
      <c r="AW90" s="48"/>
      <c r="AX90" s="48"/>
      <c r="AY90" s="48"/>
      <c r="AZ90" s="48"/>
      <c r="BA90" s="48"/>
      <c r="BC90" s="48"/>
      <c r="BD90" s="48"/>
      <c r="BF90" s="91">
        <v>88</v>
      </c>
      <c r="BG90" s="61" t="str">
        <f t="shared" si="20"/>
        <v/>
      </c>
      <c r="BH90" s="90"/>
      <c r="BI90" s="90"/>
      <c r="BJ90" s="105"/>
      <c r="BK90" s="91">
        <v>88</v>
      </c>
      <c r="BL90" s="61">
        <f t="shared" si="13"/>
        <v>13.298235294117648</v>
      </c>
      <c r="BM90" s="90">
        <f>IFERROR(LARGE($X$3:$X$102,88),"")</f>
        <v>-102.8878112745098</v>
      </c>
      <c r="BN90" s="90">
        <f t="shared" si="16"/>
        <v>-95.770948529411754</v>
      </c>
      <c r="BO90" s="92">
        <f t="shared" si="17"/>
        <v>11</v>
      </c>
      <c r="BP90" s="103">
        <v>88</v>
      </c>
      <c r="BQ90" s="61">
        <f t="shared" si="14"/>
        <v>58.819932985852574</v>
      </c>
      <c r="BR90" s="90">
        <f>IFERROR(LARGE($AL$3:$AL$102,88),"")</f>
        <v>-54.696425912137009</v>
      </c>
      <c r="BS90" s="90">
        <f t="shared" si="18"/>
        <v>-46.991734177215207</v>
      </c>
      <c r="BT90" s="92">
        <f t="shared" si="19"/>
        <v>8</v>
      </c>
      <c r="BU90" s="91">
        <v>88</v>
      </c>
      <c r="BV90" s="61" t="str">
        <f t="shared" si="15"/>
        <v/>
      </c>
      <c r="BW90" s="90"/>
      <c r="BX90" s="90"/>
      <c r="BY90" s="105">
        <f>IFERROR(VALUE(RIGHT(INDEX(ECR!$E:$E,MATCH(P90,ECR!$C:$C,0)),LEN(INDEX(ECR!$E:$E,MATCH(P90,ECR!$C:$C,0)))-2)),"")</f>
        <v>88</v>
      </c>
      <c r="BZ90" s="90"/>
      <c r="CA90" s="90"/>
      <c r="CB90" s="90"/>
      <c r="CC90" s="90"/>
      <c r="CD90" s="90"/>
      <c r="CE90" s="90"/>
      <c r="CF90" s="90"/>
      <c r="CG90" s="90"/>
    </row>
    <row r="91" spans="1:85" s="62" customFormat="1" ht="14.25" customHeight="1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M91" s="48"/>
      <c r="O91" s="45" t="s">
        <v>343</v>
      </c>
      <c r="P91" s="56" t="str">
        <f>VLOOKUP(O91,ECR!E:L,8,FALSE())</f>
        <v>Devin Neal</v>
      </c>
      <c r="Q91" s="46" t="str">
        <f>IFERROR(VLOOKUP(Table4[[#This Row],[PLAYER]],ECR!C:F,2,FALSE()),"-")</f>
        <v>FA</v>
      </c>
      <c r="R91" s="46" t="str">
        <f>IFERROR(VLOOKUP(Table4[[#This Row],[PLAYER]],ECR!C:F,4,FALSE()),"-")</f>
        <v>-</v>
      </c>
      <c r="S91" s="46" t="str">
        <f>Table4[[#This Row],[Team]] &amp; "/" &amp; Table4[[#This Row],[Bye]]</f>
        <v>FA/-</v>
      </c>
      <c r="T91" s="57">
        <f>IFERROR(VLOOKUP(Table4[[#This Row],[PLAYER]],RB!A:Q,13,FALSE())/17*(17-Table4[[#This Row],[Missed Games]]),0)</f>
        <v>0</v>
      </c>
      <c r="U91" s="57">
        <f>IFERROR(VLOOKUP(Table4[[#This Row],[PLAYER]],RB!A:Q,14,FALSE())/17*(17-Table4[[#This Row],[Missed Games]]),0)</f>
        <v>0</v>
      </c>
      <c r="V91" s="57">
        <f>IFERROR(VLOOKUP(Table4[[#This Row],[PLAYER]],RB!A:Q,15,FALSE())/17*(17-Table4[[#This Row],[Missed Games]]),0)</f>
        <v>0</v>
      </c>
      <c r="W91" s="58">
        <f>AVERAGE(AVERAGE(Table4[[#This Row],[LOW]],Table4[[#This Row],[HIGH]]),Table4[[#This Row],[AVG]],VLOOKUP(Table4[[#This Row],[PLAYER]],ECR!L:N,3,FALSE))</f>
        <v>2.8803921568627451</v>
      </c>
      <c r="X91" s="58">
        <f>Table4[[#This Row],[Zscore Projection]]-$Q$1</f>
        <v>-111.27408578431373</v>
      </c>
      <c r="Y91" s="59">
        <f>MAX(Table4[[#This Row],[VBD]]*Scoring!$B$48+1,1)</f>
        <v>1</v>
      </c>
      <c r="Z91" s="45">
        <f>VLOOKUP(Table4[[#This Row],[VBD]],BM:BO,3,FALSE)</f>
        <v>11</v>
      </c>
      <c r="AA91" s="60">
        <f>VLOOKUP(INDEX(ECR!$E:$E,MATCH(P91,ECR!$C:$C,0)),RISK!A:B,2,FALSE())</f>
        <v>4</v>
      </c>
      <c r="AB91" s="61"/>
      <c r="AC91" s="46" t="s">
        <v>290</v>
      </c>
      <c r="AD91" s="46" t="str">
        <f>VLOOKUP(AC91,ECR!E:L,8,FALSE())</f>
        <v>Keon Coleman</v>
      </c>
      <c r="AE91" s="46" t="str">
        <f>IFERROR(VLOOKUP(Table6[[#This Row],[PLAYER]],ECR!C:F,2,FALSE()),"-")</f>
        <v>BUF</v>
      </c>
      <c r="AF91" s="46">
        <f>IFERROR(VLOOKUP(Table6[[#This Row],[PLAYER]],ECR!C:F,4,FALSE()),"-")</f>
        <v>7</v>
      </c>
      <c r="AG91" s="46" t="str">
        <f>Table6[[#This Row],[Team]] &amp; "/" &amp; Table6[[#This Row],[Bye]]</f>
        <v>BUF/7</v>
      </c>
      <c r="AH91" s="57">
        <f>IFERROR(VLOOKUP(Table6[[#This Row],[PLAYER]],WR!A:Q,13,FALSE())/17*(17-Table6[[#This Row],[Missed Games]]),0)</f>
        <v>48.267468354430378</v>
      </c>
      <c r="AI91" s="57">
        <f>IFERROR(VLOOKUP(Table6[[#This Row],[PLAYER]],WR!A:Q,14,FALSE())/17*(17-Table6[[#This Row],[Missed Games]]),0)</f>
        <v>48.267468354430378</v>
      </c>
      <c r="AJ91" s="57">
        <f>IFERROR(VLOOKUP(Table6[[#This Row],[PLAYER]],WR!A:Q,15,FALSE())/17*(17-Table6[[#This Row],[Missed Games]]),0)</f>
        <v>48.267468354430378</v>
      </c>
      <c r="AK91" s="58">
        <f>AVERAGE(AVERAGE(Table6[[#This Row],[LOW]],Table6[[#This Row],[HIGH]]),Table6[[#This Row],[AVG]],VLOOKUP(Table6[[#This Row],[PLAYER]],ECR!L:N,3,FALSE))</f>
        <v>50.874638868205501</v>
      </c>
      <c r="AL91" s="58">
        <f>Table6[[#This Row],[Zscore Projection]]-$AE$1</f>
        <v>-63.829259121370079</v>
      </c>
      <c r="AM91" s="59">
        <f>MAX(Table6[[#This Row],[VBD]]*Scoring!$B$48+1,1)</f>
        <v>1</v>
      </c>
      <c r="AN91" s="45">
        <f>VLOOKUP(Table6[[#This Row],[VBD]],BR:BT,3,FALSE)</f>
        <v>8</v>
      </c>
      <c r="AO91" s="60">
        <f>VLOOKUP(INDEX(ECR!$E:$E,MATCH(AD91,ECR!$C:$C,0)),RISK!A:B,2,FALSE())</f>
        <v>3.848101265822784</v>
      </c>
      <c r="AP91" s="61"/>
      <c r="AQ91" s="47" t="s">
        <v>449</v>
      </c>
      <c r="AR91" s="48"/>
      <c r="AT91" s="48"/>
      <c r="AU91" s="48"/>
      <c r="AV91" s="48"/>
      <c r="AW91" s="48"/>
      <c r="AX91" s="48"/>
      <c r="AY91" s="48"/>
      <c r="AZ91" s="48"/>
      <c r="BA91" s="48"/>
      <c r="BC91" s="48"/>
      <c r="BD91" s="48"/>
      <c r="BF91" s="91">
        <v>89</v>
      </c>
      <c r="BG91" s="61" t="str">
        <f t="shared" si="20"/>
        <v/>
      </c>
      <c r="BH91" s="90"/>
      <c r="BI91" s="90"/>
      <c r="BJ91" s="105"/>
      <c r="BK91" s="91">
        <v>89</v>
      </c>
      <c r="BL91" s="61">
        <f t="shared" si="13"/>
        <v>8.6411764705882348</v>
      </c>
      <c r="BM91" s="90">
        <f>IFERROR(LARGE($X$3:$X$102,89),"")</f>
        <v>-102.96937990196078</v>
      </c>
      <c r="BN91" s="90">
        <f t="shared" si="16"/>
        <v>-95.770948529411754</v>
      </c>
      <c r="BO91" s="92">
        <f t="shared" si="17"/>
        <v>11</v>
      </c>
      <c r="BP91" s="103">
        <v>89</v>
      </c>
      <c r="BQ91" s="61">
        <f t="shared" si="14"/>
        <v>56.08897989575577</v>
      </c>
      <c r="BR91" s="90">
        <f>IFERROR(LARGE($AL$3:$AL$102,89),"")</f>
        <v>-56.535112931248449</v>
      </c>
      <c r="BS91" s="90">
        <f t="shared" si="18"/>
        <v>-46.991734177215207</v>
      </c>
      <c r="BT91" s="92">
        <f t="shared" si="19"/>
        <v>8</v>
      </c>
      <c r="BU91" s="91">
        <v>89</v>
      </c>
      <c r="BV91" s="61" t="str">
        <f t="shared" si="15"/>
        <v/>
      </c>
      <c r="BW91" s="90"/>
      <c r="BX91" s="90"/>
      <c r="BY91" s="105">
        <f>IFERROR(VALUE(RIGHT(INDEX(ECR!$E:$E,MATCH(P91,ECR!$C:$C,0)),LEN(INDEX(ECR!$E:$E,MATCH(P91,ECR!$C:$C,0)))-2)),"")</f>
        <v>89</v>
      </c>
      <c r="BZ91" s="90"/>
      <c r="CA91" s="90"/>
      <c r="CB91" s="90"/>
      <c r="CC91" s="90"/>
      <c r="CD91" s="90"/>
      <c r="CE91" s="90"/>
      <c r="CF91" s="90"/>
      <c r="CG91" s="90"/>
    </row>
    <row r="92" spans="1:85" s="62" customFormat="1" ht="14.25" customHeight="1" x14ac:dyDescent="0.3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M92" s="48"/>
      <c r="O92" s="45" t="s">
        <v>339</v>
      </c>
      <c r="P92" s="56" t="str">
        <f>VLOOKUP(O92,ECR!E:L,8,FALSE())</f>
        <v>Trevor Etienne</v>
      </c>
      <c r="Q92" s="46" t="str">
        <f>IFERROR(VLOOKUP(Table4[[#This Row],[PLAYER]],ECR!C:F,2,FALSE()),"-")</f>
        <v>CAR</v>
      </c>
      <c r="R92" s="46">
        <f>IFERROR(VLOOKUP(Table4[[#This Row],[PLAYER]],ECR!C:F,4,FALSE()),"-")</f>
        <v>5</v>
      </c>
      <c r="S92" s="46" t="str">
        <f>Table4[[#This Row],[Team]] &amp; "/" &amp; Table4[[#This Row],[Bye]]</f>
        <v>CAR/5</v>
      </c>
      <c r="T92" s="57">
        <f>IFERROR(VLOOKUP(Table4[[#This Row],[PLAYER]],RB!A:Q,13,FALSE())/17*(17-Table4[[#This Row],[Missed Games]]),0)</f>
        <v>0</v>
      </c>
      <c r="U92" s="57">
        <f>IFERROR(VLOOKUP(Table4[[#This Row],[PLAYER]],RB!A:Q,14,FALSE())/17*(17-Table4[[#This Row],[Missed Games]]),0)</f>
        <v>0</v>
      </c>
      <c r="V92" s="57">
        <f>IFERROR(VLOOKUP(Table4[[#This Row],[PLAYER]],RB!A:Q,15,FALSE())/17*(17-Table4[[#This Row],[Missed Games]]),0)</f>
        <v>0</v>
      </c>
      <c r="W92" s="58">
        <f>AVERAGE(AVERAGE(Table4[[#This Row],[LOW]],Table4[[#This Row],[HIGH]]),Table4[[#This Row],[AVG]],VLOOKUP(Table4[[#This Row],[PLAYER]],ECR!L:N,3,FALSE))</f>
        <v>2.6127450980392157</v>
      </c>
      <c r="X92" s="58">
        <f>Table4[[#This Row],[Zscore Projection]]-$Q$1</f>
        <v>-111.54173284313725</v>
      </c>
      <c r="Y92" s="59">
        <f>MAX(Table4[[#This Row],[VBD]]*Scoring!$B$48+1,1)</f>
        <v>1</v>
      </c>
      <c r="Z92" s="45">
        <f>VLOOKUP(Table4[[#This Row],[VBD]],BM:BO,3,FALSE)</f>
        <v>11</v>
      </c>
      <c r="AA92" s="60">
        <f>VLOOKUP(INDEX(ECR!$E:$E,MATCH(P92,ECR!$C:$C,0)),RISK!A:B,2,FALSE())</f>
        <v>4</v>
      </c>
      <c r="AB92" s="61"/>
      <c r="AC92" s="46" t="s">
        <v>271</v>
      </c>
      <c r="AD92" s="46" t="str">
        <f>VLOOKUP(AC92,ECR!E:L,8,FALSE())</f>
        <v>Jack Bech</v>
      </c>
      <c r="AE92" s="46" t="str">
        <f>IFERROR(VLOOKUP(Table6[[#This Row],[PLAYER]],ECR!C:F,2,FALSE()),"-")</f>
        <v>LV</v>
      </c>
      <c r="AF92" s="46">
        <f>IFERROR(VLOOKUP(Table6[[#This Row],[PLAYER]],ECR!C:F,4,FALSE()),"-")</f>
        <v>13</v>
      </c>
      <c r="AG92" s="46" t="str">
        <f>Table6[[#This Row],[Team]] &amp; "/" &amp; Table6[[#This Row],[Bye]]</f>
        <v>LV/13</v>
      </c>
      <c r="AH92" s="57">
        <f>IFERROR(VLOOKUP(Table6[[#This Row],[PLAYER]],WR!A:Q,13,FALSE())/17*(17-Table6[[#This Row],[Missed Games]]),0)</f>
        <v>40.206128071481757</v>
      </c>
      <c r="AI92" s="57">
        <f>IFERROR(VLOOKUP(Table6[[#This Row],[PLAYER]],WR!A:Q,14,FALSE())/17*(17-Table6[[#This Row],[Missed Games]]),0)</f>
        <v>40.206128071481757</v>
      </c>
      <c r="AJ92" s="57">
        <f>IFERROR(VLOOKUP(Table6[[#This Row],[PLAYER]],WR!A:Q,15,FALSE())/17*(17-Table6[[#This Row],[Missed Games]]),0)</f>
        <v>40.206128071481757</v>
      </c>
      <c r="AK92" s="58">
        <f>AVERAGE(AVERAGE(Table6[[#This Row],[LOW]],Table6[[#This Row],[HIGH]]),Table6[[#This Row],[AVG]],VLOOKUP(Table6[[#This Row],[PLAYER]],ECR!L:N,3,FALSE))</f>
        <v>45.487517994539587</v>
      </c>
      <c r="AL92" s="58">
        <f>Table6[[#This Row],[Zscore Projection]]-$AE$1</f>
        <v>-69.216379995035993</v>
      </c>
      <c r="AM92" s="59">
        <f>MAX(Table6[[#This Row],[VBD]]*Scoring!$B$48+1,1)</f>
        <v>1</v>
      </c>
      <c r="AN92" s="45">
        <f>VLOOKUP(Table6[[#This Row],[VBD]],BR:BT,3,FALSE)</f>
        <v>9</v>
      </c>
      <c r="AO92" s="60">
        <f>VLOOKUP(INDEX(ECR!$E:$E,MATCH(AD92,ECR!$C:$C,0)),RISK!A:B,2,FALSE())</f>
        <v>3.848101265822784</v>
      </c>
      <c r="AP92" s="61"/>
      <c r="AQ92" s="47" t="s">
        <v>450</v>
      </c>
      <c r="AR92" s="48"/>
      <c r="AT92" s="48"/>
      <c r="AU92" s="48"/>
      <c r="AV92" s="48"/>
      <c r="AW92" s="48"/>
      <c r="AX92" s="48"/>
      <c r="AY92" s="48"/>
      <c r="AZ92" s="48"/>
      <c r="BA92" s="48"/>
      <c r="BC92" s="48"/>
      <c r="BD92" s="48"/>
      <c r="BF92" s="91">
        <v>90</v>
      </c>
      <c r="BG92" s="61" t="str">
        <f t="shared" si="20"/>
        <v/>
      </c>
      <c r="BH92" s="90"/>
      <c r="BI92" s="90"/>
      <c r="BJ92" s="105"/>
      <c r="BK92" s="91">
        <v>90</v>
      </c>
      <c r="BL92" s="61">
        <f t="shared" si="13"/>
        <v>7.8382352941176467</v>
      </c>
      <c r="BM92" s="90">
        <f>IFERROR(LARGE($X$3:$X$102,90),"")</f>
        <v>-103.3364387254902</v>
      </c>
      <c r="BN92" s="90">
        <f t="shared" si="16"/>
        <v>-95.770948529411754</v>
      </c>
      <c r="BO92" s="92">
        <f t="shared" si="17"/>
        <v>11</v>
      </c>
      <c r="BP92" s="103">
        <v>90</v>
      </c>
      <c r="BQ92" s="61">
        <f t="shared" si="14"/>
        <v>56.05029784065524</v>
      </c>
      <c r="BR92" s="90">
        <f>IFERROR(LARGE($AL$3:$AL$102,90),"")</f>
        <v>-56.728523206751056</v>
      </c>
      <c r="BS92" s="90">
        <f t="shared" si="18"/>
        <v>-46.991734177215207</v>
      </c>
      <c r="BT92" s="92">
        <f t="shared" si="19"/>
        <v>8</v>
      </c>
      <c r="BU92" s="91">
        <v>90</v>
      </c>
      <c r="BV92" s="61" t="str">
        <f t="shared" si="15"/>
        <v/>
      </c>
      <c r="BW92" s="90"/>
      <c r="BX92" s="90"/>
      <c r="BY92" s="105">
        <f>IFERROR(VALUE(RIGHT(INDEX(ECR!$E:$E,MATCH(P92,ECR!$C:$C,0)),LEN(INDEX(ECR!$E:$E,MATCH(P92,ECR!$C:$C,0)))-2)),"")</f>
        <v>90</v>
      </c>
      <c r="BZ92" s="90"/>
      <c r="CA92" s="90"/>
      <c r="CB92" s="90"/>
      <c r="CC92" s="90"/>
      <c r="CD92" s="90"/>
      <c r="CE92" s="90"/>
      <c r="CF92" s="90"/>
      <c r="CG92" s="90"/>
    </row>
    <row r="93" spans="1:85" s="62" customFormat="1" ht="14.25" customHeight="1" x14ac:dyDescent="0.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M93" s="48"/>
      <c r="O93" s="45" t="s">
        <v>341</v>
      </c>
      <c r="P93" s="56" t="str">
        <f>VLOOKUP(O93,ECR!E:L,8,FALSE())</f>
        <v>Tahj Brooks</v>
      </c>
      <c r="Q93" s="46" t="str">
        <f>IFERROR(VLOOKUP(Table4[[#This Row],[PLAYER]],ECR!C:F,2,FALSE()),"-")</f>
        <v>CIN</v>
      </c>
      <c r="R93" s="46">
        <f>IFERROR(VLOOKUP(Table4[[#This Row],[PLAYER]],ECR!C:F,4,FALSE()),"-")</f>
        <v>6</v>
      </c>
      <c r="S93" s="46" t="str">
        <f>Table4[[#This Row],[Team]] &amp; "/" &amp; Table4[[#This Row],[Bye]]</f>
        <v>CIN/6</v>
      </c>
      <c r="T93" s="57">
        <f>IFERROR(VLOOKUP(Table4[[#This Row],[PLAYER]],RB!A:Q,13,FALSE())/17*(17-Table4[[#This Row],[Missed Games]]),0)</f>
        <v>13.772352941176472</v>
      </c>
      <c r="U93" s="57">
        <f>IFERROR(VLOOKUP(Table4[[#This Row],[PLAYER]],RB!A:Q,14,FALSE())/17*(17-Table4[[#This Row],[Missed Games]]),0)</f>
        <v>13.772352941176472</v>
      </c>
      <c r="V93" s="57">
        <f>IFERROR(VLOOKUP(Table4[[#This Row],[PLAYER]],RB!A:Q,15,FALSE())/17*(17-Table4[[#This Row],[Missed Games]]),0)</f>
        <v>13.772352941176472</v>
      </c>
      <c r="W93" s="58">
        <f>AVERAGE(AVERAGE(Table4[[#This Row],[LOW]],Table4[[#This Row],[HIGH]]),Table4[[#This Row],[AVG]],VLOOKUP(Table4[[#This Row],[PLAYER]],ECR!L:N,3,FALSE))</f>
        <v>11.488431372549021</v>
      </c>
      <c r="X93" s="58">
        <f>Table4[[#This Row],[Zscore Projection]]-$Q$1</f>
        <v>-102.66604656862745</v>
      </c>
      <c r="Y93" s="59">
        <f>MAX(Table4[[#This Row],[VBD]]*Scoring!$B$48+1,1)</f>
        <v>1</v>
      </c>
      <c r="Z93" s="45">
        <f>VLOOKUP(Table4[[#This Row],[VBD]],BM:BO,3,FALSE)</f>
        <v>11</v>
      </c>
      <c r="AA93" s="60">
        <f>VLOOKUP(INDEX(ECR!$E:$E,MATCH(P93,ECR!$C:$C,0)),RISK!A:B,2,FALSE())</f>
        <v>4</v>
      </c>
      <c r="AB93" s="61"/>
      <c r="AC93" s="46" t="s">
        <v>315</v>
      </c>
      <c r="AD93" s="46" t="str">
        <f>VLOOKUP(AC93,ECR!E:L,8,FALSE())</f>
        <v>Antonio Williams</v>
      </c>
      <c r="AE93" s="46" t="str">
        <f>IFERROR(VLOOKUP(Table6[[#This Row],[PLAYER]],ECR!C:F,2,FALSE()),"-")</f>
        <v>WAS</v>
      </c>
      <c r="AF93" s="46">
        <f>IFERROR(VLOOKUP(Table6[[#This Row],[PLAYER]],ECR!C:F,4,FALSE()),"-")</f>
        <v>7</v>
      </c>
      <c r="AG93" s="46" t="str">
        <f>Table6[[#This Row],[Team]] &amp; "/" &amp; Table6[[#This Row],[Bye]]</f>
        <v>WAS/7</v>
      </c>
      <c r="AH93" s="57">
        <f>IFERROR(VLOOKUP(Table6[[#This Row],[PLAYER]],WR!A:Q,13,FALSE())/17*(17-Table6[[#This Row],[Missed Games]]),0)</f>
        <v>70.920608190618026</v>
      </c>
      <c r="AI93" s="57">
        <f>IFERROR(VLOOKUP(Table6[[#This Row],[PLAYER]],WR!A:Q,14,FALSE())/17*(17-Table6[[#This Row],[Missed Games]]),0)</f>
        <v>92.071955919583019</v>
      </c>
      <c r="AJ93" s="57">
        <f>IFERROR(VLOOKUP(Table6[[#This Row],[PLAYER]],WR!A:Q,15,FALSE())/17*(17-Table6[[#This Row],[Missed Games]]),0)</f>
        <v>113.86542576321669</v>
      </c>
      <c r="AK93" s="58">
        <f>AVERAGE(AVERAGE(Table6[[#This Row],[LOW]],Table6[[#This Row],[HIGH]]),Table6[[#This Row],[AVG]],VLOOKUP(Table6[[#This Row],[PLAYER]],ECR!L:N,3,FALSE))</f>
        <v>80.14339007197816</v>
      </c>
      <c r="AL93" s="58">
        <f>Table6[[#This Row],[Zscore Projection]]-$AE$1</f>
        <v>-34.56050791759742</v>
      </c>
      <c r="AM93" s="59">
        <f>MAX(Table6[[#This Row],[VBD]]*Scoring!$B$48+1,1)</f>
        <v>1</v>
      </c>
      <c r="AN93" s="45">
        <f>VLOOKUP(Table6[[#This Row],[VBD]],BR:BT,3,FALSE)</f>
        <v>7</v>
      </c>
      <c r="AO93" s="60">
        <f>VLOOKUP(INDEX(ECR!$E:$E,MATCH(AD93,ECR!$C:$C,0)),RISK!A:B,2,FALSE())</f>
        <v>3.848101265822784</v>
      </c>
      <c r="AP93" s="61"/>
      <c r="AQ93" s="47" t="s">
        <v>451</v>
      </c>
      <c r="AR93" s="48"/>
      <c r="AT93" s="48"/>
      <c r="AU93" s="48"/>
      <c r="AV93" s="48"/>
      <c r="AW93" s="48"/>
      <c r="AX93" s="48"/>
      <c r="AY93" s="48"/>
      <c r="AZ93" s="48"/>
      <c r="BA93" s="48"/>
      <c r="BC93" s="48"/>
      <c r="BD93" s="48"/>
      <c r="BF93" s="91">
        <v>91</v>
      </c>
      <c r="BG93" s="61" t="str">
        <f t="shared" si="20"/>
        <v/>
      </c>
      <c r="BH93" s="90"/>
      <c r="BI93" s="90"/>
      <c r="BJ93" s="105"/>
      <c r="BK93" s="91">
        <v>91</v>
      </c>
      <c r="BL93" s="61">
        <f t="shared" si="13"/>
        <v>6.9205882352941179</v>
      </c>
      <c r="BM93" s="90">
        <f>IFERROR(LARGE($X$3:$X$102,91),"")</f>
        <v>-106.49467401960784</v>
      </c>
      <c r="BN93" s="90">
        <f t="shared" si="16"/>
        <v>-95.770948529411754</v>
      </c>
      <c r="BO93" s="92">
        <f t="shared" si="17"/>
        <v>11</v>
      </c>
      <c r="BP93" s="103">
        <v>91</v>
      </c>
      <c r="BQ93" s="61">
        <f t="shared" si="14"/>
        <v>55.965197319434104</v>
      </c>
      <c r="BR93" s="90">
        <f>IFERROR(LARGE($AL$3:$AL$102,91),"")</f>
        <v>-60.243432613551754</v>
      </c>
      <c r="BS93" s="90">
        <f t="shared" si="18"/>
        <v>-46.991734177215207</v>
      </c>
      <c r="BT93" s="92">
        <f t="shared" si="19"/>
        <v>8</v>
      </c>
      <c r="BU93" s="91">
        <v>91</v>
      </c>
      <c r="BV93" s="61" t="str">
        <f t="shared" si="15"/>
        <v/>
      </c>
      <c r="BW93" s="90"/>
      <c r="BX93" s="90"/>
      <c r="BY93" s="105">
        <f>IFERROR(VALUE(RIGHT(INDEX(ECR!$E:$E,MATCH(P93,ECR!$C:$C,0)),LEN(INDEX(ECR!$E:$E,MATCH(P93,ECR!$C:$C,0)))-2)),"")</f>
        <v>91</v>
      </c>
      <c r="BZ93" s="90"/>
      <c r="CA93" s="90"/>
      <c r="CB93" s="90"/>
      <c r="CC93" s="90"/>
      <c r="CD93" s="90"/>
      <c r="CE93" s="90"/>
      <c r="CF93" s="90"/>
      <c r="CG93" s="90"/>
    </row>
    <row r="94" spans="1:85" s="62" customFormat="1" ht="14.25" customHeight="1" x14ac:dyDescent="0.3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M94" s="48"/>
      <c r="O94" s="45" t="s">
        <v>336</v>
      </c>
      <c r="P94" s="56" t="str">
        <f>VLOOKUP(O94,ECR!E:L,8,FALSE())</f>
        <v>Isaac Guerendo</v>
      </c>
      <c r="Q94" s="46" t="str">
        <f>IFERROR(VLOOKUP(Table4[[#This Row],[PLAYER]],ECR!C:F,2,FALSE()),"-")</f>
        <v>SF</v>
      </c>
      <c r="R94" s="46">
        <f>IFERROR(VLOOKUP(Table4[[#This Row],[PLAYER]],ECR!C:F,4,FALSE()),"-")</f>
        <v>8</v>
      </c>
      <c r="S94" s="46" t="str">
        <f>Table4[[#This Row],[Team]] &amp; "/" &amp; Table4[[#This Row],[Bye]]</f>
        <v>SF/8</v>
      </c>
      <c r="T94" s="57">
        <f>IFERROR(VLOOKUP(Table4[[#This Row],[PLAYER]],RB!A:Q,13,FALSE())/17*(17-Table4[[#This Row],[Missed Games]]),0)</f>
        <v>0</v>
      </c>
      <c r="U94" s="57">
        <f>IFERROR(VLOOKUP(Table4[[#This Row],[PLAYER]],RB!A:Q,14,FALSE())/17*(17-Table4[[#This Row],[Missed Games]]),0)</f>
        <v>8.6411764705882348</v>
      </c>
      <c r="V94" s="57">
        <f>IFERROR(VLOOKUP(Table4[[#This Row],[PLAYER]],RB!A:Q,15,FALSE())/17*(17-Table4[[#This Row],[Missed Games]]),0)</f>
        <v>17.28235294117647</v>
      </c>
      <c r="W94" s="58">
        <f>AVERAGE(AVERAGE(Table4[[#This Row],[LOW]],Table4[[#This Row],[HIGH]]),Table4[[#This Row],[AVG]],VLOOKUP(Table4[[#This Row],[PLAYER]],ECR!L:N,3,FALSE))</f>
        <v>7.6598039215686278</v>
      </c>
      <c r="X94" s="58">
        <f>Table4[[#This Row],[Zscore Projection]]-$Q$1</f>
        <v>-106.49467401960784</v>
      </c>
      <c r="Y94" s="59">
        <f>MAX(Table4[[#This Row],[VBD]]*Scoring!$B$48+1,1)</f>
        <v>1</v>
      </c>
      <c r="Z94" s="45">
        <f>VLOOKUP(Table4[[#This Row],[VBD]],BM:BO,3,FALSE)</f>
        <v>11</v>
      </c>
      <c r="AA94" s="60">
        <f>VLOOKUP(INDEX(ECR!$E:$E,MATCH(P94,ECR!$C:$C,0)),RISK!A:B,2,FALSE())</f>
        <v>4</v>
      </c>
      <c r="AB94" s="61"/>
      <c r="AC94" s="46" t="s">
        <v>268</v>
      </c>
      <c r="AD94" s="46" t="str">
        <f>VLOOKUP(AC94,ECR!E:L,8,FALSE())</f>
        <v>Caleb Douglas</v>
      </c>
      <c r="AE94" s="46" t="str">
        <f>IFERROR(VLOOKUP(Table6[[#This Row],[PLAYER]],ECR!C:F,2,FALSE()),"-")</f>
        <v>MIA</v>
      </c>
      <c r="AF94" s="46">
        <f>IFERROR(VLOOKUP(Table6[[#This Row],[PLAYER]],ECR!C:F,4,FALSE()),"-")</f>
        <v>6</v>
      </c>
      <c r="AG94" s="46" t="str">
        <f>Table6[[#This Row],[Team]] &amp; "/" &amp; Table6[[#This Row],[Bye]]</f>
        <v>MIA/6</v>
      </c>
      <c r="AH94" s="57">
        <f>IFERROR(VLOOKUP(Table6[[#This Row],[PLAYER]],WR!A:Q,13,FALSE())/17*(17-Table6[[#This Row],[Missed Games]]),0)</f>
        <v>81.203536262099789</v>
      </c>
      <c r="AI94" s="57">
        <f>IFERROR(VLOOKUP(Table6[[#This Row],[PLAYER]],WR!A:Q,14,FALSE())/17*(17-Table6[[#This Row],[Missed Games]]),0)</f>
        <v>91.253134177215188</v>
      </c>
      <c r="AJ94" s="57">
        <f>IFERROR(VLOOKUP(Table6[[#This Row],[PLAYER]],WR!A:Q,15,FALSE())/17*(17-Table6[[#This Row],[Missed Games]]),0)</f>
        <v>101.75918034251677</v>
      </c>
      <c r="AK94" s="58">
        <f>AVERAGE(AVERAGE(Table6[[#This Row],[LOW]],Table6[[#This Row],[HIGH]]),Table6[[#This Row],[AVG]],VLOOKUP(Table6[[#This Row],[PLAYER]],ECR!L:N,3,FALSE))</f>
        <v>79.561199354678578</v>
      </c>
      <c r="AL94" s="58">
        <f>Table6[[#This Row],[Zscore Projection]]-$AE$1</f>
        <v>-35.142698634897002</v>
      </c>
      <c r="AM94" s="59">
        <f>MAX(Table6[[#This Row],[VBD]]*Scoring!$B$48+1,1)</f>
        <v>1</v>
      </c>
      <c r="AN94" s="45">
        <f>VLOOKUP(Table6[[#This Row],[VBD]],BR:BT,3,FALSE)</f>
        <v>7</v>
      </c>
      <c r="AO94" s="60">
        <f>VLOOKUP(INDEX(ECR!$E:$E,MATCH(AD94,ECR!$C:$C,0)),RISK!A:B,2,FALSE())</f>
        <v>3.848101265822784</v>
      </c>
      <c r="AP94" s="61"/>
      <c r="AQ94" s="47" t="s">
        <v>452</v>
      </c>
      <c r="AR94" s="48"/>
      <c r="AT94" s="48"/>
      <c r="AU94" s="48"/>
      <c r="AV94" s="48"/>
      <c r="AW94" s="48"/>
      <c r="AX94" s="48"/>
      <c r="AY94" s="48"/>
      <c r="AZ94" s="48"/>
      <c r="BA94" s="48"/>
      <c r="BC94" s="48"/>
      <c r="BD94" s="48"/>
      <c r="BF94" s="91">
        <v>92</v>
      </c>
      <c r="BG94" s="61" t="str">
        <f t="shared" si="20"/>
        <v/>
      </c>
      <c r="BH94" s="90"/>
      <c r="BI94" s="90"/>
      <c r="BJ94" s="105"/>
      <c r="BK94" s="91">
        <v>92</v>
      </c>
      <c r="BL94" s="61">
        <f t="shared" si="13"/>
        <v>5.6970588235294128</v>
      </c>
      <c r="BM94" s="90">
        <f>IFERROR(LARGE($X$3:$X$102,92),"")</f>
        <v>-109.54075245098039</v>
      </c>
      <c r="BN94" s="90">
        <f t="shared" si="16"/>
        <v>-95.770948529411754</v>
      </c>
      <c r="BO94" s="92">
        <f t="shared" si="17"/>
        <v>11</v>
      </c>
      <c r="BP94" s="103">
        <v>92</v>
      </c>
      <c r="BQ94" s="61">
        <f t="shared" si="14"/>
        <v>55.949105584512289</v>
      </c>
      <c r="BR94" s="90">
        <f>IFERROR(LARGE($AL$3:$AL$102,92),"")</f>
        <v>-62.088566641846604</v>
      </c>
      <c r="BS94" s="90">
        <f t="shared" si="18"/>
        <v>-46.991734177215207</v>
      </c>
      <c r="BT94" s="92">
        <f t="shared" si="19"/>
        <v>8</v>
      </c>
      <c r="BU94" s="91">
        <v>92</v>
      </c>
      <c r="BV94" s="61" t="str">
        <f t="shared" si="15"/>
        <v/>
      </c>
      <c r="BW94" s="90"/>
      <c r="BX94" s="90"/>
      <c r="BY94" s="105">
        <f>IFERROR(VALUE(RIGHT(INDEX(ECR!$E:$E,MATCH(P94,ECR!$C:$C,0)),LEN(INDEX(ECR!$E:$E,MATCH(P94,ECR!$C:$C,0)))-2)),"")</f>
        <v>92</v>
      </c>
      <c r="BZ94" s="90"/>
      <c r="CA94" s="90"/>
      <c r="CB94" s="90"/>
      <c r="CC94" s="90"/>
      <c r="CD94" s="90"/>
      <c r="CE94" s="90"/>
      <c r="CF94" s="90"/>
      <c r="CG94" s="90"/>
    </row>
    <row r="95" spans="1:85" s="62" customFormat="1" ht="14.25" customHeight="1" x14ac:dyDescent="0.3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M95" s="48"/>
      <c r="O95" s="45" t="s">
        <v>340</v>
      </c>
      <c r="P95" s="56" t="str">
        <f>VLOOKUP(O95,ECR!E:L,8,FALSE())</f>
        <v>Jerome Ford</v>
      </c>
      <c r="Q95" s="46" t="str">
        <f>IFERROR(VLOOKUP(Table4[[#This Row],[PLAYER]],ECR!C:F,2,FALSE()),"-")</f>
        <v>WAS</v>
      </c>
      <c r="R95" s="46">
        <f>IFERROR(VLOOKUP(Table4[[#This Row],[PLAYER]],ECR!C:F,4,FALSE()),"-")</f>
        <v>7</v>
      </c>
      <c r="S95" s="46" t="str">
        <f>Table4[[#This Row],[Team]] &amp; "/" &amp; Table4[[#This Row],[Bye]]</f>
        <v>WAS/7</v>
      </c>
      <c r="T95" s="57">
        <f>IFERROR(VLOOKUP(Table4[[#This Row],[PLAYER]],RB!A:Q,13,FALSE())/17*(17-Table4[[#This Row],[Missed Games]]),0)</f>
        <v>0</v>
      </c>
      <c r="U95" s="57">
        <f>IFERROR(VLOOKUP(Table4[[#This Row],[PLAYER]],RB!A:Q,14,FALSE())/17*(17-Table4[[#This Row],[Missed Games]]),0)</f>
        <v>0</v>
      </c>
      <c r="V95" s="57">
        <f>IFERROR(VLOOKUP(Table4[[#This Row],[PLAYER]],RB!A:Q,15,FALSE())/17*(17-Table4[[#This Row],[Missed Games]]),0)</f>
        <v>0</v>
      </c>
      <c r="W95" s="58">
        <f>AVERAGE(AVERAGE(Table4[[#This Row],[LOW]],Table4[[#This Row],[HIGH]]),Table4[[#This Row],[AVG]],VLOOKUP(Table4[[#This Row],[PLAYER]],ECR!L:N,3,FALSE))</f>
        <v>0</v>
      </c>
      <c r="X95" s="58">
        <f>Table4[[#This Row],[Zscore Projection]]-$Q$1</f>
        <v>-114.15447794117647</v>
      </c>
      <c r="Y95" s="59">
        <f>MAX(Table4[[#This Row],[VBD]]*Scoring!$B$48+1,1)</f>
        <v>1</v>
      </c>
      <c r="Z95" s="45">
        <f>VLOOKUP(Table4[[#This Row],[VBD]],BM:BO,3,FALSE)</f>
        <v>11</v>
      </c>
      <c r="AA95" s="60">
        <f>VLOOKUP(INDEX(ECR!$E:$E,MATCH(P95,ECR!$C:$C,0)),RISK!A:B,2,FALSE())</f>
        <v>4</v>
      </c>
      <c r="AB95" s="61"/>
      <c r="AC95" s="46" t="s">
        <v>243</v>
      </c>
      <c r="AD95" s="46" t="str">
        <f>VLOOKUP(AC95,ECR!E:L,8,FALSE())</f>
        <v>Tory Horton</v>
      </c>
      <c r="AE95" s="46" t="str">
        <f>IFERROR(VLOOKUP(Table6[[#This Row],[PLAYER]],ECR!C:F,2,FALSE()),"-")</f>
        <v>SEA</v>
      </c>
      <c r="AF95" s="46">
        <f>IFERROR(VLOOKUP(Table6[[#This Row],[PLAYER]],ECR!C:F,4,FALSE()),"-")</f>
        <v>11</v>
      </c>
      <c r="AG95" s="46" t="str">
        <f>Table6[[#This Row],[Team]] &amp; "/" &amp; Table6[[#This Row],[Bye]]</f>
        <v>SEA/11</v>
      </c>
      <c r="AH95" s="57">
        <f>IFERROR(VLOOKUP(Table6[[#This Row],[PLAYER]],WR!A:Q,13,FALSE())/17*(17-Table6[[#This Row],[Missed Games]]),0)</f>
        <v>40.608421444527174</v>
      </c>
      <c r="AI95" s="57">
        <f>IFERROR(VLOOKUP(Table6[[#This Row],[PLAYER]],WR!A:Q,14,FALSE())/17*(17-Table6[[#This Row],[Missed Games]]),0)</f>
        <v>61.272375279225614</v>
      </c>
      <c r="AJ95" s="57">
        <f>IFERROR(VLOOKUP(Table6[[#This Row],[PLAYER]],WR!A:Q,15,FALSE())/17*(17-Table6[[#This Row],[Missed Games]]),0)</f>
        <v>81.464408041697681</v>
      </c>
      <c r="AK95" s="58">
        <f>AVERAGE(AVERAGE(Table6[[#This Row],[LOW]],Table6[[#This Row],[HIGH]]),Table6[[#This Row],[AVG]],VLOOKUP(Table6[[#This Row],[PLAYER]],ECR!L:N,3,FALSE))</f>
        <v>57.975374782824524</v>
      </c>
      <c r="AL95" s="58">
        <f>Table6[[#This Row],[Zscore Projection]]-$AE$1</f>
        <v>-56.728523206751056</v>
      </c>
      <c r="AM95" s="59">
        <f>MAX(Table6[[#This Row],[VBD]]*Scoring!$B$48+1,1)</f>
        <v>1</v>
      </c>
      <c r="AN95" s="45">
        <f>VLOOKUP(Table6[[#This Row],[VBD]],BR:BT,3,FALSE)</f>
        <v>8</v>
      </c>
      <c r="AO95" s="60">
        <f>VLOOKUP(INDEX(ECR!$E:$E,MATCH(AD95,ECR!$C:$C,0)),RISK!A:B,2,FALSE())</f>
        <v>3.848101265822784</v>
      </c>
      <c r="AP95" s="61"/>
      <c r="AQ95" s="47" t="s">
        <v>453</v>
      </c>
      <c r="AR95" s="48"/>
      <c r="AT95" s="48"/>
      <c r="AU95" s="48"/>
      <c r="AV95" s="48"/>
      <c r="AW95" s="48"/>
      <c r="AX95" s="48"/>
      <c r="AY95" s="48"/>
      <c r="AZ95" s="48"/>
      <c r="BA95" s="48"/>
      <c r="BC95" s="48"/>
      <c r="BD95" s="48"/>
      <c r="BF95" s="91">
        <v>93</v>
      </c>
      <c r="BG95" s="61" t="str">
        <f t="shared" si="20"/>
        <v/>
      </c>
      <c r="BH95" s="90"/>
      <c r="BI95" s="90"/>
      <c r="BJ95" s="105"/>
      <c r="BK95" s="91">
        <v>93</v>
      </c>
      <c r="BL95" s="61">
        <f t="shared" si="13"/>
        <v>0</v>
      </c>
      <c r="BM95" s="90">
        <f>IFERROR(LARGE($X$3:$X$102,93),"")</f>
        <v>-109.72173284313725</v>
      </c>
      <c r="BN95" s="90">
        <f t="shared" si="16"/>
        <v>-95.770948529411754</v>
      </c>
      <c r="BO95" s="92">
        <f t="shared" si="17"/>
        <v>11</v>
      </c>
      <c r="BP95" s="103">
        <v>93</v>
      </c>
      <c r="BQ95" s="61">
        <f t="shared" si="14"/>
        <v>51.61733432613552</v>
      </c>
      <c r="BR95" s="90">
        <f>IFERROR(LARGE($AL$3:$AL$102,93),"")</f>
        <v>-63.829259121370079</v>
      </c>
      <c r="BS95" s="90">
        <f t="shared" si="18"/>
        <v>-46.991734177215207</v>
      </c>
      <c r="BT95" s="92">
        <f t="shared" si="19"/>
        <v>8</v>
      </c>
      <c r="BU95" s="91">
        <v>93</v>
      </c>
      <c r="BV95" s="61" t="str">
        <f t="shared" si="15"/>
        <v/>
      </c>
      <c r="BW95" s="90"/>
      <c r="BX95" s="90"/>
      <c r="BY95" s="105">
        <f>IFERROR(VALUE(RIGHT(INDEX(ECR!$E:$E,MATCH(P95,ECR!$C:$C,0)),LEN(INDEX(ECR!$E:$E,MATCH(P95,ECR!$C:$C,0)))-2)),"")</f>
        <v>93</v>
      </c>
      <c r="BZ95" s="90"/>
      <c r="CA95" s="90"/>
      <c r="CB95" s="90"/>
      <c r="CC95" s="90"/>
      <c r="CD95" s="90"/>
      <c r="CE95" s="90"/>
      <c r="CF95" s="90"/>
      <c r="CG95" s="90"/>
    </row>
    <row r="96" spans="1:85" s="62" customFormat="1" ht="14.25" customHeight="1" x14ac:dyDescent="0.3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M96" s="48"/>
      <c r="O96" s="45" t="s">
        <v>344</v>
      </c>
      <c r="P96" s="56" t="str">
        <f>VLOOKUP(O96,ECR!E:L,8,FALSE())</f>
        <v>Trey Benson</v>
      </c>
      <c r="Q96" s="46" t="str">
        <f>IFERROR(VLOOKUP(Table4[[#This Row],[PLAYER]],ECR!C:F,2,FALSE()),"-")</f>
        <v>ARI</v>
      </c>
      <c r="R96" s="46">
        <f>IFERROR(VLOOKUP(Table4[[#This Row],[PLAYER]],ECR!C:F,4,FALSE()),"-")</f>
        <v>14</v>
      </c>
      <c r="S96" s="46" t="str">
        <f>Table4[[#This Row],[Team]] &amp; "/" &amp; Table4[[#This Row],[Bye]]</f>
        <v>ARI/14</v>
      </c>
      <c r="T96" s="57">
        <f>IFERROR(VLOOKUP(Table4[[#This Row],[PLAYER]],RB!A:Q,13,FALSE())/17*(17-Table4[[#This Row],[Missed Games]]),0)</f>
        <v>0</v>
      </c>
      <c r="U96" s="57">
        <f>IFERROR(VLOOKUP(Table4[[#This Row],[PLAYER]],RB!A:Q,14,FALSE())/17*(17-Table4[[#This Row],[Missed Games]]),0)</f>
        <v>0</v>
      </c>
      <c r="V96" s="57">
        <f>IFERROR(VLOOKUP(Table4[[#This Row],[PLAYER]],RB!A:Q,15,FALSE())/17*(17-Table4[[#This Row],[Missed Games]]),0)</f>
        <v>0</v>
      </c>
      <c r="W96" s="58">
        <f>AVERAGE(AVERAGE(Table4[[#This Row],[LOW]],Table4[[#This Row],[HIGH]]),Table4[[#This Row],[AVG]],VLOOKUP(Table4[[#This Row],[PLAYER]],ECR!L:N,3,FALSE))</f>
        <v>0</v>
      </c>
      <c r="X96" s="58">
        <f>Table4[[#This Row],[Zscore Projection]]-$Q$1</f>
        <v>-114.15447794117647</v>
      </c>
      <c r="Y96" s="59">
        <f>MAX(Table4[[#This Row],[VBD]]*Scoring!$B$48+1,1)</f>
        <v>1</v>
      </c>
      <c r="Z96" s="45">
        <f>VLOOKUP(Table4[[#This Row],[VBD]],BM:BO,3,FALSE)</f>
        <v>11</v>
      </c>
      <c r="AA96" s="60">
        <f>VLOOKUP(INDEX(ECR!$E:$E,MATCH(P96,ECR!$C:$C,0)),RISK!A:B,2,FALSE())</f>
        <v>4</v>
      </c>
      <c r="AB96" s="61"/>
      <c r="AC96" s="46" t="s">
        <v>314</v>
      </c>
      <c r="AD96" s="46" t="str">
        <f>VLOOKUP(AC96,ECR!E:L,8,FALSE())</f>
        <v>Tyquan Thornton</v>
      </c>
      <c r="AE96" s="46" t="str">
        <f>IFERROR(VLOOKUP(Table6[[#This Row],[PLAYER]],ECR!C:F,2,FALSE()),"-")</f>
        <v>KC</v>
      </c>
      <c r="AF96" s="46">
        <f>IFERROR(VLOOKUP(Table6[[#This Row],[PLAYER]],ECR!C:F,4,FALSE()),"-")</f>
        <v>5</v>
      </c>
      <c r="AG96" s="46" t="str">
        <f>Table6[[#This Row],[Team]] &amp; "/" &amp; Table6[[#This Row],[Bye]]</f>
        <v>KC/5</v>
      </c>
      <c r="AH96" s="57">
        <f>IFERROR(VLOOKUP(Table6[[#This Row],[PLAYER]],WR!A:Q,13,FALSE())/17*(17-Table6[[#This Row],[Missed Games]]),0)</f>
        <v>50.588391660461646</v>
      </c>
      <c r="AI96" s="57">
        <f>IFERROR(VLOOKUP(Table6[[#This Row],[PLAYER]],WR!A:Q,14,FALSE())/17*(17-Table6[[#This Row],[Missed Games]]),0)</f>
        <v>61.968652271034991</v>
      </c>
      <c r="AJ96" s="57">
        <f>IFERROR(VLOOKUP(Table6[[#This Row],[PLAYER]],WR!A:Q,15,FALSE())/17*(17-Table6[[#This Row],[Missed Games]]),0)</f>
        <v>73.341176470588238</v>
      </c>
      <c r="AK96" s="58">
        <f>AVERAGE(AVERAGE(Table6[[#This Row],[LOW]],Table6[[#This Row],[HIGH]]),Table6[[#This Row],[AVG]],VLOOKUP(Table6[[#This Row],[PLAYER]],ECR!L:N,3,FALSE))</f>
        <v>58.168785058327131</v>
      </c>
      <c r="AL96" s="58">
        <f>Table6[[#This Row],[Zscore Projection]]-$AE$1</f>
        <v>-56.535112931248449</v>
      </c>
      <c r="AM96" s="59">
        <f>MAX(Table6[[#This Row],[VBD]]*Scoring!$B$48+1,1)</f>
        <v>1</v>
      </c>
      <c r="AN96" s="45">
        <f>VLOOKUP(Table6[[#This Row],[VBD]],BR:BT,3,FALSE)</f>
        <v>8</v>
      </c>
      <c r="AO96" s="60">
        <f>VLOOKUP(INDEX(ECR!$E:$E,MATCH(AD96,ECR!$C:$C,0)),RISK!A:B,2,FALSE())</f>
        <v>3.848101265822784</v>
      </c>
      <c r="AP96" s="61"/>
      <c r="AQ96" s="47" t="s">
        <v>454</v>
      </c>
      <c r="AR96" s="48"/>
      <c r="AT96" s="48"/>
      <c r="AU96" s="48"/>
      <c r="AV96" s="48"/>
      <c r="AW96" s="48"/>
      <c r="AX96" s="48"/>
      <c r="AY96" s="48"/>
      <c r="AZ96" s="48"/>
      <c r="BA96" s="48"/>
      <c r="BC96" s="48"/>
      <c r="BD96" s="48"/>
      <c r="BF96" s="91">
        <v>94</v>
      </c>
      <c r="BG96" s="61" t="str">
        <f t="shared" si="20"/>
        <v/>
      </c>
      <c r="BH96" s="90"/>
      <c r="BI96" s="90"/>
      <c r="BJ96" s="105"/>
      <c r="BK96" s="91">
        <v>94</v>
      </c>
      <c r="BL96" s="61">
        <f t="shared" si="13"/>
        <v>0</v>
      </c>
      <c r="BM96" s="90">
        <f>IFERROR(LARGE($X$3:$X$102,94),"")</f>
        <v>-111.27408578431373</v>
      </c>
      <c r="BN96" s="90">
        <f t="shared" si="16"/>
        <v>-95.770948529411754</v>
      </c>
      <c r="BO96" s="92">
        <f t="shared" si="17"/>
        <v>11</v>
      </c>
      <c r="BP96" s="103">
        <v>94</v>
      </c>
      <c r="BQ96" s="61">
        <f t="shared" si="14"/>
        <v>50.572918838421451</v>
      </c>
      <c r="BR96" s="90">
        <f>IFERROR(LARGE($AL$3:$AL$102,94),"")</f>
        <v>-64.227684288905436</v>
      </c>
      <c r="BS96" s="90">
        <f t="shared" si="18"/>
        <v>-46.991734177215207</v>
      </c>
      <c r="BT96" s="92">
        <f t="shared" si="19"/>
        <v>8</v>
      </c>
      <c r="BU96" s="91">
        <v>94</v>
      </c>
      <c r="BV96" s="61" t="str">
        <f t="shared" si="15"/>
        <v/>
      </c>
      <c r="BW96" s="90"/>
      <c r="BX96" s="90"/>
      <c r="BY96" s="105">
        <f>IFERROR(VALUE(RIGHT(INDEX(ECR!$E:$E,MATCH(P96,ECR!$C:$C,0)),LEN(INDEX(ECR!$E:$E,MATCH(P96,ECR!$C:$C,0)))-2)),"")</f>
        <v>94</v>
      </c>
      <c r="BZ96" s="90"/>
      <c r="CA96" s="90"/>
      <c r="CB96" s="90"/>
      <c r="CC96" s="90"/>
      <c r="CD96" s="90"/>
      <c r="CE96" s="90"/>
      <c r="CF96" s="90"/>
      <c r="CG96" s="90"/>
    </row>
    <row r="97" spans="1:85" s="62" customFormat="1" ht="14.25" customHeight="1" x14ac:dyDescent="0.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M97" s="48"/>
      <c r="O97" s="45" t="s">
        <v>334</v>
      </c>
      <c r="P97" s="56" t="str">
        <f>VLOOKUP(O97,ECR!E:L,8,FALSE())</f>
        <v>Audric Estime</v>
      </c>
      <c r="Q97" s="46" t="str">
        <f>IFERROR(VLOOKUP(Table4[[#This Row],[PLAYER]],ECR!C:F,2,FALSE()),"-")</f>
        <v>NO</v>
      </c>
      <c r="R97" s="46">
        <f>IFERROR(VLOOKUP(Table4[[#This Row],[PLAYER]],ECR!C:F,4,FALSE()),"-")</f>
        <v>8</v>
      </c>
      <c r="S97" s="46" t="str">
        <f>Table4[[#This Row],[Team]] &amp; "/" &amp; Table4[[#This Row],[Bye]]</f>
        <v>NO/8</v>
      </c>
      <c r="T97" s="57">
        <f>IFERROR(VLOOKUP(Table4[[#This Row],[PLAYER]],RB!A:Q,13,FALSE())/17*(17-Table4[[#This Row],[Missed Games]]),0)</f>
        <v>16.899999999999999</v>
      </c>
      <c r="U97" s="57">
        <f>IFERROR(VLOOKUP(Table4[[#This Row],[PLAYER]],RB!A:Q,14,FALSE())/17*(17-Table4[[#This Row],[Missed Games]]),0)</f>
        <v>16.899999999999999</v>
      </c>
      <c r="V97" s="57">
        <f>IFERROR(VLOOKUP(Table4[[#This Row],[PLAYER]],RB!A:Q,15,FALSE())/17*(17-Table4[[#This Row],[Missed Games]]),0)</f>
        <v>16.899999999999999</v>
      </c>
      <c r="W97" s="58">
        <f>AVERAGE(AVERAGE(Table4[[#This Row],[LOW]],Table4[[#This Row],[HIGH]]),Table4[[#This Row],[AVG]],VLOOKUP(Table4[[#This Row],[PLAYER]],ECR!L:N,3,FALSE))</f>
        <v>11.266666666666666</v>
      </c>
      <c r="X97" s="58">
        <f>Table4[[#This Row],[Zscore Projection]]-$Q$1</f>
        <v>-102.8878112745098</v>
      </c>
      <c r="Y97" s="59">
        <f>MAX(Table4[[#This Row],[VBD]]*Scoring!$B$48+1,1)</f>
        <v>1</v>
      </c>
      <c r="Z97" s="45">
        <f>VLOOKUP(Table4[[#This Row],[VBD]],BM:BO,3,FALSE)</f>
        <v>11</v>
      </c>
      <c r="AA97" s="60">
        <f>VLOOKUP(INDEX(ECR!$E:$E,MATCH(P97,ECR!$C:$C,0)),RISK!A:B,2,FALSE())</f>
        <v>4</v>
      </c>
      <c r="AB97" s="61"/>
      <c r="AC97" s="46" t="s">
        <v>293</v>
      </c>
      <c r="AD97" s="46" t="str">
        <f>VLOOKUP(AC97,ECR!E:L,8,FALSE())</f>
        <v>Elic Ayomanor</v>
      </c>
      <c r="AE97" s="46" t="str">
        <f>IFERROR(VLOOKUP(Table6[[#This Row],[PLAYER]],ECR!C:F,2,FALSE()),"-")</f>
        <v>TEN</v>
      </c>
      <c r="AF97" s="46">
        <f>IFERROR(VLOOKUP(Table6[[#This Row],[PLAYER]],ECR!C:F,4,FALSE()),"-")</f>
        <v>9</v>
      </c>
      <c r="AG97" s="46" t="str">
        <f>Table6[[#This Row],[Team]] &amp; "/" &amp; Table6[[#This Row],[Bye]]</f>
        <v>TEN/9</v>
      </c>
      <c r="AH97" s="57">
        <f>IFERROR(VLOOKUP(Table6[[#This Row],[PLAYER]],WR!A:Q,13,FALSE())/17*(17-Table6[[#This Row],[Missed Games]]),0)</f>
        <v>14.969955323901717</v>
      </c>
      <c r="AI97" s="57">
        <f>IFERROR(VLOOKUP(Table6[[#This Row],[PLAYER]],WR!A:Q,14,FALSE())/17*(17-Table6[[#This Row],[Missed Games]]),0)</f>
        <v>51.61733432613552</v>
      </c>
      <c r="AJ97" s="57">
        <f>IFERROR(VLOOKUP(Table6[[#This Row],[PLAYER]],WR!A:Q,15,FALSE())/17*(17-Table6[[#This Row],[Missed Games]]),0)</f>
        <v>88.117721518987352</v>
      </c>
      <c r="AK97" s="58">
        <f>AVERAGE(AVERAGE(Table6[[#This Row],[LOW]],Table6[[#This Row],[HIGH]]),Table6[[#This Row],[AVG]],VLOOKUP(Table6[[#This Row],[PLAYER]],ECR!L:N,3,FALSE))</f>
        <v>50.476213700670144</v>
      </c>
      <c r="AL97" s="58">
        <f>Table6[[#This Row],[Zscore Projection]]-$AE$1</f>
        <v>-64.227684288905436</v>
      </c>
      <c r="AM97" s="59">
        <f>MAX(Table6[[#This Row],[VBD]]*Scoring!$B$48+1,1)</f>
        <v>1</v>
      </c>
      <c r="AN97" s="45">
        <f>VLOOKUP(Table6[[#This Row],[VBD]],BR:BT,3,FALSE)</f>
        <v>8</v>
      </c>
      <c r="AO97" s="60">
        <f>VLOOKUP(INDEX(ECR!$E:$E,MATCH(AD97,ECR!$C:$C,0)),RISK!A:B,2,FALSE())</f>
        <v>3.848101265822784</v>
      </c>
      <c r="AP97" s="61"/>
      <c r="AQ97" s="47" t="s">
        <v>455</v>
      </c>
      <c r="AR97" s="48"/>
      <c r="AT97" s="48"/>
      <c r="AU97" s="48"/>
      <c r="AV97" s="48"/>
      <c r="AW97" s="48"/>
      <c r="AX97" s="48"/>
      <c r="AY97" s="48"/>
      <c r="AZ97" s="48"/>
      <c r="BA97" s="48"/>
      <c r="BC97" s="48"/>
      <c r="BD97" s="48"/>
      <c r="BF97" s="91">
        <v>95</v>
      </c>
      <c r="BG97" s="61" t="str">
        <f t="shared" si="20"/>
        <v/>
      </c>
      <c r="BH97" s="90"/>
      <c r="BI97" s="90"/>
      <c r="BJ97" s="105"/>
      <c r="BK97" s="91">
        <v>95</v>
      </c>
      <c r="BL97" s="61">
        <f t="shared" si="13"/>
        <v>0</v>
      </c>
      <c r="BM97" s="90">
        <f>IFERROR(LARGE($X$3:$X$102,95),"")</f>
        <v>-111.54173284313725</v>
      </c>
      <c r="BN97" s="90">
        <f t="shared" si="16"/>
        <v>-95.770948529411754</v>
      </c>
      <c r="BO97" s="92">
        <f t="shared" si="17"/>
        <v>11</v>
      </c>
      <c r="BP97" s="103">
        <v>95</v>
      </c>
      <c r="BQ97" s="61">
        <f t="shared" si="14"/>
        <v>48.267468354430378</v>
      </c>
      <c r="BR97" s="90">
        <f>IFERROR(LARGE($AL$3:$AL$102,95),"")</f>
        <v>-65.791728716803192</v>
      </c>
      <c r="BS97" s="90">
        <f t="shared" si="18"/>
        <v>-46.991734177215207</v>
      </c>
      <c r="BT97" s="92">
        <f t="shared" si="19"/>
        <v>8</v>
      </c>
      <c r="BU97" s="91">
        <v>95</v>
      </c>
      <c r="BV97" s="61" t="str">
        <f t="shared" si="15"/>
        <v/>
      </c>
      <c r="BW97" s="90"/>
      <c r="BX97" s="90"/>
      <c r="BY97" s="105">
        <f>IFERROR(VALUE(RIGHT(INDEX(ECR!$E:$E,MATCH(P97,ECR!$C:$C,0)),LEN(INDEX(ECR!$E:$E,MATCH(P97,ECR!$C:$C,0)))-2)),"")</f>
        <v>95</v>
      </c>
      <c r="BZ97" s="90"/>
      <c r="CA97" s="90"/>
      <c r="CB97" s="90"/>
      <c r="CC97" s="90"/>
      <c r="CD97" s="90"/>
      <c r="CE97" s="90"/>
      <c r="CF97" s="90"/>
      <c r="CG97" s="90"/>
    </row>
    <row r="98" spans="1:85" s="62" customFormat="1" ht="14.25" customHeight="1" x14ac:dyDescent="0.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M98" s="48"/>
      <c r="O98" s="45" t="s">
        <v>345</v>
      </c>
      <c r="P98" s="56" t="str">
        <f>VLOOKUP(O98,ECR!E:L,8,FALSE())</f>
        <v>Will Shipley</v>
      </c>
      <c r="Q98" s="46" t="str">
        <f>IFERROR(VLOOKUP(Table4[[#This Row],[PLAYER]],ECR!C:F,2,FALSE()),"-")</f>
        <v>PHI</v>
      </c>
      <c r="R98" s="46">
        <f>IFERROR(VLOOKUP(Table4[[#This Row],[PLAYER]],ECR!C:F,4,FALSE()),"-")</f>
        <v>10</v>
      </c>
      <c r="S98" s="46" t="str">
        <f>Table4[[#This Row],[Team]] &amp; "/" &amp; Table4[[#This Row],[Bye]]</f>
        <v>PHI/10</v>
      </c>
      <c r="T98" s="57">
        <f>IFERROR(VLOOKUP(Table4[[#This Row],[PLAYER]],RB!A:Q,13,FALSE())/17*(17-Table4[[#This Row],[Missed Games]]),0)</f>
        <v>16.777647058823533</v>
      </c>
      <c r="U98" s="57">
        <f>IFERROR(VLOOKUP(Table4[[#This Row],[PLAYER]],RB!A:Q,14,FALSE())/17*(17-Table4[[#This Row],[Missed Games]]),0)</f>
        <v>16.777647058823533</v>
      </c>
      <c r="V98" s="57">
        <f>IFERROR(VLOOKUP(Table4[[#This Row],[PLAYER]],RB!A:Q,15,FALSE())/17*(17-Table4[[#This Row],[Missed Games]]),0)</f>
        <v>16.777647058823533</v>
      </c>
      <c r="W98" s="58">
        <f>AVERAGE(AVERAGE(Table4[[#This Row],[LOW]],Table4[[#This Row],[HIGH]]),Table4[[#This Row],[AVG]],VLOOKUP(Table4[[#This Row],[PLAYER]],ECR!L:N,3,FALSE))</f>
        <v>11.185098039215688</v>
      </c>
      <c r="X98" s="58">
        <f>Table4[[#This Row],[Zscore Projection]]-$Q$1</f>
        <v>-102.96937990196078</v>
      </c>
      <c r="Y98" s="59">
        <f>MAX(Table4[[#This Row],[VBD]]*Scoring!$B$48+1,1)</f>
        <v>1</v>
      </c>
      <c r="Z98" s="45">
        <f>VLOOKUP(Table4[[#This Row],[VBD]],BM:BO,3,FALSE)</f>
        <v>11</v>
      </c>
      <c r="AA98" s="60">
        <f>VLOOKUP(INDEX(ECR!$E:$E,MATCH(P98,ECR!$C:$C,0)),RISK!A:B,2,FALSE())</f>
        <v>4</v>
      </c>
      <c r="AB98" s="61"/>
      <c r="AC98" s="46" t="s">
        <v>298</v>
      </c>
      <c r="AD98" s="46" t="str">
        <f>VLOOKUP(AC98,ECR!E:L,8,FALSE())</f>
        <v>Chimere Dike</v>
      </c>
      <c r="AE98" s="46" t="str">
        <f>IFERROR(VLOOKUP(Table6[[#This Row],[PLAYER]],ECR!C:F,2,FALSE()),"-")</f>
        <v>TEN</v>
      </c>
      <c r="AF98" s="46">
        <f>IFERROR(VLOOKUP(Table6[[#This Row],[PLAYER]],ECR!C:F,4,FALSE()),"-")</f>
        <v>9</v>
      </c>
      <c r="AG98" s="46" t="str">
        <f>Table6[[#This Row],[Team]] &amp; "/" &amp; Table6[[#This Row],[Bye]]</f>
        <v>TEN/9</v>
      </c>
      <c r="AH98" s="57">
        <f>IFERROR(VLOOKUP(Table6[[#This Row],[PLAYER]],WR!A:Q,13,FALSE())/17*(17-Table6[[#This Row],[Missed Games]]),0)</f>
        <v>16.26193596425912</v>
      </c>
      <c r="AI98" s="57">
        <f>IFERROR(VLOOKUP(Table6[[#This Row],[PLAYER]],WR!A:Q,14,FALSE())/17*(17-Table6[[#This Row],[Missed Games]]),0)</f>
        <v>50.572918838421451</v>
      </c>
      <c r="AJ98" s="57">
        <f>IFERROR(VLOOKUP(Table6[[#This Row],[PLAYER]],WR!A:Q,15,FALSE())/17*(17-Table6[[#This Row],[Missed Games]]),0)</f>
        <v>84.891638123603869</v>
      </c>
      <c r="AK98" s="58">
        <f>AVERAGE(AVERAGE(Table6[[#This Row],[LOW]],Table6[[#This Row],[HIGH]]),Table6[[#This Row],[AVG]],VLOOKUP(Table6[[#This Row],[PLAYER]],ECR!L:N,3,FALSE))</f>
        <v>48.730363613799959</v>
      </c>
      <c r="AL98" s="58">
        <f>Table6[[#This Row],[Zscore Projection]]-$AE$1</f>
        <v>-65.973534375775614</v>
      </c>
      <c r="AM98" s="59">
        <f>MAX(Table6[[#This Row],[VBD]]*Scoring!$B$48+1,1)</f>
        <v>1</v>
      </c>
      <c r="AN98" s="45">
        <f>VLOOKUP(Table6[[#This Row],[VBD]],BR:BT,3,FALSE)</f>
        <v>8</v>
      </c>
      <c r="AO98" s="60">
        <f>VLOOKUP(INDEX(ECR!$E:$E,MATCH(AD98,ECR!$C:$C,0)),RISK!A:B,2,FALSE())</f>
        <v>3.848101265822784</v>
      </c>
      <c r="AP98" s="61"/>
      <c r="AQ98" s="47" t="s">
        <v>456</v>
      </c>
      <c r="AR98" s="48"/>
      <c r="AT98" s="48"/>
      <c r="AU98" s="48"/>
      <c r="AV98" s="48"/>
      <c r="AW98" s="48"/>
      <c r="AX98" s="48"/>
      <c r="AY98" s="48"/>
      <c r="AZ98" s="48"/>
      <c r="BA98" s="48"/>
      <c r="BC98" s="48"/>
      <c r="BD98" s="48"/>
      <c r="BF98" s="91">
        <v>96</v>
      </c>
      <c r="BG98" s="61" t="str">
        <f t="shared" si="20"/>
        <v/>
      </c>
      <c r="BH98" s="90"/>
      <c r="BI98" s="90"/>
      <c r="BJ98" s="105"/>
      <c r="BK98" s="91">
        <v>96</v>
      </c>
      <c r="BL98" s="61">
        <f t="shared" si="13"/>
        <v>0</v>
      </c>
      <c r="BM98" s="90">
        <f>IFERROR(LARGE($X$3:$X$102,96),"")</f>
        <v>-114.15447794117647</v>
      </c>
      <c r="BN98" s="90">
        <f t="shared" si="16"/>
        <v>-95.770948529411754</v>
      </c>
      <c r="BO98" s="92">
        <f t="shared" si="17"/>
        <v>11</v>
      </c>
      <c r="BP98" s="103">
        <v>96</v>
      </c>
      <c r="BQ98" s="61">
        <f t="shared" si="14"/>
        <v>45.041384959046916</v>
      </c>
      <c r="BR98" s="90">
        <f>IFERROR(LARGE($AL$3:$AL$102,96),"")</f>
        <v>-65.890135864978902</v>
      </c>
      <c r="BS98" s="90">
        <f t="shared" si="18"/>
        <v>-46.991734177215207</v>
      </c>
      <c r="BT98" s="92">
        <f t="shared" si="19"/>
        <v>8</v>
      </c>
      <c r="BU98" s="91">
        <v>96</v>
      </c>
      <c r="BV98" s="61" t="str">
        <f t="shared" si="15"/>
        <v/>
      </c>
      <c r="BW98" s="90"/>
      <c r="BX98" s="90"/>
      <c r="BY98" s="105">
        <f>IFERROR(VALUE(RIGHT(INDEX(ECR!$E:$E,MATCH(P98,ECR!$C:$C,0)),LEN(INDEX(ECR!$E:$E,MATCH(P98,ECR!$C:$C,0)))-2)),"")</f>
        <v>96</v>
      </c>
      <c r="BZ98" s="90"/>
      <c r="CA98" s="90"/>
      <c r="CB98" s="90"/>
      <c r="CC98" s="90"/>
      <c r="CD98" s="90"/>
      <c r="CE98" s="90"/>
      <c r="CF98" s="90"/>
      <c r="CG98" s="90"/>
    </row>
    <row r="99" spans="1:85" s="62" customFormat="1" ht="14.25" customHeight="1" x14ac:dyDescent="0.3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M99" s="48"/>
      <c r="O99" s="45" t="s">
        <v>337</v>
      </c>
      <c r="P99" s="56" t="str">
        <f>VLOOKUP(O99,ECR!E:L,8,FALSE())</f>
        <v>Jarquez Hunter</v>
      </c>
      <c r="Q99" s="46" t="str">
        <f>IFERROR(VLOOKUP(Table4[[#This Row],[PLAYER]],ECR!C:F,2,FALSE()),"-")</f>
        <v>FA</v>
      </c>
      <c r="R99" s="46" t="str">
        <f>IFERROR(VLOOKUP(Table4[[#This Row],[PLAYER]],ECR!C:F,4,FALSE()),"-")</f>
        <v>-</v>
      </c>
      <c r="S99" s="46" t="str">
        <f>Table4[[#This Row],[Team]] &amp; "/" &amp; Table4[[#This Row],[Bye]]</f>
        <v>FA/-</v>
      </c>
      <c r="T99" s="57">
        <f>IFERROR(VLOOKUP(Table4[[#This Row],[PLAYER]],RB!A:Q,13,FALSE())/17*(17-Table4[[#This Row],[Missed Games]]),0)</f>
        <v>0</v>
      </c>
      <c r="U99" s="57">
        <f>IFERROR(VLOOKUP(Table4[[#This Row],[PLAYER]],RB!A:Q,14,FALSE())/17*(17-Table4[[#This Row],[Missed Games]]),0)</f>
        <v>0</v>
      </c>
      <c r="V99" s="57">
        <f>IFERROR(VLOOKUP(Table4[[#This Row],[PLAYER]],RB!A:Q,15,FALSE())/17*(17-Table4[[#This Row],[Missed Games]]),0)</f>
        <v>0</v>
      </c>
      <c r="W99" s="58">
        <f>AVERAGE(AVERAGE(Table4[[#This Row],[LOW]],Table4[[#This Row],[HIGH]]),Table4[[#This Row],[AVG]],VLOOKUP(Table4[[#This Row],[PLAYER]],ECR!L:N,3,FALSE))</f>
        <v>0</v>
      </c>
      <c r="X99" s="58">
        <f>Table4[[#This Row],[Zscore Projection]]-$Q$1</f>
        <v>-114.15447794117647</v>
      </c>
      <c r="Y99" s="59">
        <f>MAX(Table4[[#This Row],[VBD]]*Scoring!$B$48+1,1)</f>
        <v>1</v>
      </c>
      <c r="Z99" s="45">
        <f>VLOOKUP(Table4[[#This Row],[VBD]],BM:BO,3,FALSE)</f>
        <v>11</v>
      </c>
      <c r="AA99" s="60">
        <f>VLOOKUP(INDEX(ECR!$E:$E,MATCH(P99,ECR!$C:$C,0)),RISK!A:B,2,FALSE())</f>
        <v>4</v>
      </c>
      <c r="AB99" s="61"/>
      <c r="AC99" s="46" t="s">
        <v>309</v>
      </c>
      <c r="AD99" s="46" t="str">
        <f>VLOOKUP(AC99,ECR!E:L,8,FALSE())</f>
        <v>Darius Slayton</v>
      </c>
      <c r="AE99" s="46" t="str">
        <f>IFERROR(VLOOKUP(Table6[[#This Row],[PLAYER]],ECR!C:F,2,FALSE()),"-")</f>
        <v>NYG</v>
      </c>
      <c r="AF99" s="46">
        <f>IFERROR(VLOOKUP(Table6[[#This Row],[PLAYER]],ECR!C:F,4,FALSE()),"-")</f>
        <v>8</v>
      </c>
      <c r="AG99" s="46" t="str">
        <f>Table6[[#This Row],[Team]] &amp; "/" &amp; Table6[[#This Row],[Bye]]</f>
        <v>NYG/8</v>
      </c>
      <c r="AH99" s="57">
        <f>IFERROR(VLOOKUP(Table6[[#This Row],[PLAYER]],WR!A:Q,13,FALSE())/17*(17-Table6[[#This Row],[Missed Games]]),0)</f>
        <v>48.801280714817572</v>
      </c>
      <c r="AI99" s="57">
        <f>IFERROR(VLOOKUP(Table6[[#This Row],[PLAYER]],WR!A:Q,14,FALSE())/17*(17-Table6[[#This Row],[Missed Games]]),0)</f>
        <v>60.962918838421444</v>
      </c>
      <c r="AJ99" s="57">
        <f>IFERROR(VLOOKUP(Table6[[#This Row],[PLAYER]],WR!A:Q,15,FALSE())/17*(17-Table6[[#This Row],[Missed Games]]),0)</f>
        <v>73.751206254653766</v>
      </c>
      <c r="AK99" s="58">
        <f>AVERAGE(AVERAGE(Table6[[#This Row],[LOW]],Table6[[#This Row],[HIGH]]),Table6[[#This Row],[AVG]],VLOOKUP(Table6[[#This Row],[PLAYER]],ECR!L:N,3,FALSE))</f>
        <v>54.460465376023826</v>
      </c>
      <c r="AL99" s="58">
        <f>Table6[[#This Row],[Zscore Projection]]-$AE$1</f>
        <v>-60.243432613551754</v>
      </c>
      <c r="AM99" s="59">
        <f>MAX(Table6[[#This Row],[VBD]]*Scoring!$B$48+1,1)</f>
        <v>1</v>
      </c>
      <c r="AN99" s="45">
        <f>VLOOKUP(Table6[[#This Row],[VBD]],BR:BT,3,FALSE)</f>
        <v>8</v>
      </c>
      <c r="AO99" s="60">
        <f>VLOOKUP(INDEX(ECR!$E:$E,MATCH(AD99,ECR!$C:$C,0)),RISK!A:B,2,FALSE())</f>
        <v>3.848101265822784</v>
      </c>
      <c r="AP99" s="61"/>
      <c r="AQ99" s="47" t="s">
        <v>457</v>
      </c>
      <c r="AR99" s="48"/>
      <c r="AT99" s="48"/>
      <c r="AU99" s="48"/>
      <c r="AV99" s="48"/>
      <c r="AW99" s="48"/>
      <c r="AX99" s="48"/>
      <c r="AY99" s="48"/>
      <c r="AZ99" s="48"/>
      <c r="BA99" s="48"/>
      <c r="BC99" s="48"/>
      <c r="BD99" s="48"/>
      <c r="BF99" s="91">
        <v>97</v>
      </c>
      <c r="BG99" s="61" t="str">
        <f t="shared" si="20"/>
        <v/>
      </c>
      <c r="BH99" s="90"/>
      <c r="BI99" s="90"/>
      <c r="BJ99" s="105"/>
      <c r="BK99" s="91">
        <v>97</v>
      </c>
      <c r="BL99" s="61">
        <f t="shared" si="13"/>
        <v>0</v>
      </c>
      <c r="BM99" s="90">
        <f>IFERROR(LARGE($X$3:$X$102,97),"")</f>
        <v>-114.15447794117647</v>
      </c>
      <c r="BN99" s="90">
        <f t="shared" si="16"/>
        <v>-95.770948529411754</v>
      </c>
      <c r="BO99" s="92">
        <f t="shared" si="17"/>
        <v>11</v>
      </c>
      <c r="BP99" s="103">
        <v>97</v>
      </c>
      <c r="BQ99" s="61">
        <f t="shared" si="14"/>
        <v>41.142233804914369</v>
      </c>
      <c r="BR99" s="90">
        <f>IFERROR(LARGE($AL$3:$AL$102,97),"")</f>
        <v>-65.973534375775614</v>
      </c>
      <c r="BS99" s="90">
        <f t="shared" si="18"/>
        <v>-46.991734177215207</v>
      </c>
      <c r="BT99" s="92">
        <f t="shared" si="19"/>
        <v>8</v>
      </c>
      <c r="BU99" s="91">
        <v>97</v>
      </c>
      <c r="BV99" s="61" t="str">
        <f t="shared" si="15"/>
        <v/>
      </c>
      <c r="BW99" s="90"/>
      <c r="BX99" s="90"/>
      <c r="BY99" s="105">
        <f>IFERROR(VALUE(RIGHT(INDEX(ECR!$E:$E,MATCH(P99,ECR!$C:$C,0)),LEN(INDEX(ECR!$E:$E,MATCH(P99,ECR!$C:$C,0)))-2)),"")</f>
        <v>97</v>
      </c>
      <c r="BZ99" s="90"/>
      <c r="CA99" s="90"/>
      <c r="CB99" s="90"/>
      <c r="CC99" s="90"/>
      <c r="CD99" s="90"/>
      <c r="CE99" s="90"/>
      <c r="CF99" s="90"/>
      <c r="CG99" s="90"/>
    </row>
    <row r="100" spans="1:85" s="62" customFormat="1" ht="14.25" customHeight="1" x14ac:dyDescent="0.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M100" s="48"/>
      <c r="O100" s="45" t="s">
        <v>338</v>
      </c>
      <c r="P100" s="56" t="str">
        <f>VLOOKUP(O100,ECR!E:L,8,FALSE())</f>
        <v>Jaleel McLaughlin</v>
      </c>
      <c r="Q100" s="46" t="str">
        <f>IFERROR(VLOOKUP(Table4[[#This Row],[PLAYER]],ECR!C:F,2,FALSE()),"-")</f>
        <v>CLE</v>
      </c>
      <c r="R100" s="46">
        <f>IFERROR(VLOOKUP(Table4[[#This Row],[PLAYER]],ECR!C:F,4,FALSE()),"-")</f>
        <v>11</v>
      </c>
      <c r="S100" s="46" t="str">
        <f>Table4[[#This Row],[Team]] &amp; "/" &amp; Table4[[#This Row],[Bye]]</f>
        <v>CLE/11</v>
      </c>
      <c r="T100" s="57">
        <f>IFERROR(VLOOKUP(Table4[[#This Row],[PLAYER]],RB!A:Q,13,FALSE())/17*(17-Table4[[#This Row],[Missed Games]]),0)</f>
        <v>0</v>
      </c>
      <c r="U100" s="57">
        <f>IFERROR(VLOOKUP(Table4[[#This Row],[PLAYER]],RB!A:Q,14,FALSE())/17*(17-Table4[[#This Row],[Missed Games]]),0)</f>
        <v>0</v>
      </c>
      <c r="V100" s="57">
        <f>IFERROR(VLOOKUP(Table4[[#This Row],[PLAYER]],RB!A:Q,15,FALSE())/17*(17-Table4[[#This Row],[Missed Games]]),0)</f>
        <v>0</v>
      </c>
      <c r="W100" s="58">
        <f>AVERAGE(AVERAGE(Table4[[#This Row],[LOW]],Table4[[#This Row],[HIGH]]),Table4[[#This Row],[AVG]],VLOOKUP(Table4[[#This Row],[PLAYER]],ECR!L:N,3,FALSE))</f>
        <v>0</v>
      </c>
      <c r="X100" s="58">
        <f>Table4[[#This Row],[Zscore Projection]]-$Q$1</f>
        <v>-114.15447794117647</v>
      </c>
      <c r="Y100" s="59">
        <f>MAX(Table4[[#This Row],[VBD]]*Scoring!$B$48+1,1)</f>
        <v>1</v>
      </c>
      <c r="Z100" s="45">
        <f>VLOOKUP(Table4[[#This Row],[VBD]],BM:BO,3,FALSE)</f>
        <v>11</v>
      </c>
      <c r="AA100" s="60">
        <f>VLOOKUP(INDEX(ECR!$E:$E,MATCH(P100,ECR!$C:$C,0)),RISK!A:B,2,FALSE())</f>
        <v>4</v>
      </c>
      <c r="AB100" s="61"/>
      <c r="AC100" s="46" t="s">
        <v>301</v>
      </c>
      <c r="AD100" s="46" t="str">
        <f>VLOOKUP(AC100,ECR!E:L,8,FALSE())</f>
        <v>Xavier Legette</v>
      </c>
      <c r="AE100" s="46" t="str">
        <f>IFERROR(VLOOKUP(Table6[[#This Row],[PLAYER]],ECR!C:F,2,FALSE()),"-")</f>
        <v>CAR</v>
      </c>
      <c r="AF100" s="46">
        <f>IFERROR(VLOOKUP(Table6[[#This Row],[PLAYER]],ECR!C:F,4,FALSE()),"-")</f>
        <v>5</v>
      </c>
      <c r="AG100" s="46" t="str">
        <f>Table6[[#This Row],[Team]] &amp; "/" &amp; Table6[[#This Row],[Bye]]</f>
        <v>CAR/5</v>
      </c>
      <c r="AH100" s="57">
        <f>IFERROR(VLOOKUP(Table6[[#This Row],[PLAYER]],WR!A:Q,13,FALSE())/17*(17-Table6[[#This Row],[Missed Games]]),0)</f>
        <v>58.819932985852574</v>
      </c>
      <c r="AI100" s="57">
        <f>IFERROR(VLOOKUP(Table6[[#This Row],[PLAYER]],WR!A:Q,14,FALSE())/17*(17-Table6[[#This Row],[Missed Games]]),0)</f>
        <v>58.819932985852574</v>
      </c>
      <c r="AJ100" s="57">
        <f>IFERROR(VLOOKUP(Table6[[#This Row],[PLAYER]],WR!A:Q,15,FALSE())/17*(17-Table6[[#This Row],[Missed Games]]),0)</f>
        <v>58.819932985852574</v>
      </c>
      <c r="AK100" s="58">
        <f>AVERAGE(AVERAGE(Table6[[#This Row],[LOW]],Table6[[#This Row],[HIGH]]),Table6[[#This Row],[AVG]],VLOOKUP(Table6[[#This Row],[PLAYER]],ECR!L:N,3,FALSE))</f>
        <v>52.615331347728976</v>
      </c>
      <c r="AL100" s="58">
        <f>Table6[[#This Row],[Zscore Projection]]-$AE$1</f>
        <v>-62.088566641846604</v>
      </c>
      <c r="AM100" s="59">
        <f>MAX(Table6[[#This Row],[VBD]]*Scoring!$B$48+1,1)</f>
        <v>1</v>
      </c>
      <c r="AN100" s="45">
        <f>VLOOKUP(Table6[[#This Row],[VBD]],BR:BT,3,FALSE)</f>
        <v>8</v>
      </c>
      <c r="AO100" s="60">
        <f>VLOOKUP(INDEX(ECR!$E:$E,MATCH(AD100,ECR!$C:$C,0)),RISK!A:B,2,FALSE())</f>
        <v>3.848101265822784</v>
      </c>
      <c r="AP100" s="61"/>
      <c r="AQ100" s="47" t="s">
        <v>458</v>
      </c>
      <c r="AR100" s="48"/>
      <c r="AT100" s="48"/>
      <c r="AU100" s="48"/>
      <c r="AV100" s="48"/>
      <c r="AW100" s="48"/>
      <c r="AX100" s="48"/>
      <c r="AY100" s="48"/>
      <c r="AZ100" s="48"/>
      <c r="BA100" s="48"/>
      <c r="BC100" s="48"/>
      <c r="BD100" s="48"/>
      <c r="BF100" s="91">
        <v>98</v>
      </c>
      <c r="BG100" s="61" t="str">
        <f t="shared" si="20"/>
        <v/>
      </c>
      <c r="BH100" s="90"/>
      <c r="BI100" s="90"/>
      <c r="BJ100" s="105"/>
      <c r="BK100" s="91">
        <v>98</v>
      </c>
      <c r="BL100" s="61">
        <f t="shared" si="13"/>
        <v>0</v>
      </c>
      <c r="BM100" s="90">
        <f>IFERROR(LARGE($X$3:$X$102,98),"")</f>
        <v>-114.15447794117647</v>
      </c>
      <c r="BN100" s="90">
        <f t="shared" si="16"/>
        <v>-95.770948529411754</v>
      </c>
      <c r="BO100" s="92">
        <f t="shared" si="17"/>
        <v>11</v>
      </c>
      <c r="BP100" s="103">
        <v>98</v>
      </c>
      <c r="BQ100" s="61">
        <f t="shared" si="14"/>
        <v>40.206128071481757</v>
      </c>
      <c r="BR100" s="90">
        <f>IFERROR(LARGE($AL$3:$AL$102,98),"")</f>
        <v>-69.216379995035993</v>
      </c>
      <c r="BS100" s="90">
        <f t="shared" si="18"/>
        <v>-69.216379995035993</v>
      </c>
      <c r="BT100" s="92">
        <f t="shared" si="19"/>
        <v>9</v>
      </c>
      <c r="BU100" s="91">
        <v>98</v>
      </c>
      <c r="BV100" s="61" t="str">
        <f t="shared" si="15"/>
        <v/>
      </c>
      <c r="BW100" s="90"/>
      <c r="BX100" s="90"/>
      <c r="BY100" s="105">
        <f>IFERROR(VALUE(RIGHT(INDEX(ECR!$E:$E,MATCH(P100,ECR!$C:$C,0)),LEN(INDEX(ECR!$E:$E,MATCH(P100,ECR!$C:$C,0)))-2)),"")</f>
        <v>98</v>
      </c>
      <c r="BZ100" s="90"/>
      <c r="CA100" s="90"/>
      <c r="CB100" s="90"/>
      <c r="CC100" s="90"/>
      <c r="CD100" s="90"/>
      <c r="CE100" s="90"/>
      <c r="CF100" s="90"/>
      <c r="CG100" s="90"/>
    </row>
    <row r="101" spans="1:85" s="62" customFormat="1" ht="14.25" customHeight="1" x14ac:dyDescent="0.3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M101" s="48"/>
      <c r="O101" s="45" t="s">
        <v>346</v>
      </c>
      <c r="P101" s="56" t="str">
        <f>VLOOKUP(O101,ECR!E:L,8,FALSE())</f>
        <v>Kareem Hunt</v>
      </c>
      <c r="Q101" s="46" t="str">
        <f>IFERROR(VLOOKUP(Table4[[#This Row],[PLAYER]],ECR!C:F,2,FALSE()),"-")</f>
        <v>FA</v>
      </c>
      <c r="R101" s="46" t="str">
        <f>IFERROR(VLOOKUP(Table4[[#This Row],[PLAYER]],ECR!C:F,4,FALSE()),"-")</f>
        <v>-</v>
      </c>
      <c r="S101" s="46" t="str">
        <f>Table4[[#This Row],[Team]] &amp; "/" &amp; Table4[[#This Row],[Bye]]</f>
        <v>FA/-</v>
      </c>
      <c r="T101" s="57">
        <f>IFERROR(VLOOKUP(Table4[[#This Row],[PLAYER]],RB!A:Q,13,FALSE())/17*(17-Table4[[#This Row],[Missed Games]]),0)</f>
        <v>0</v>
      </c>
      <c r="U101" s="57">
        <f>IFERROR(VLOOKUP(Table4[[#This Row],[PLAYER]],RB!A:Q,14,FALSE())/17*(17-Table4[[#This Row],[Missed Games]]),0)</f>
        <v>0</v>
      </c>
      <c r="V101" s="57">
        <f>IFERROR(VLOOKUP(Table4[[#This Row],[PLAYER]],RB!A:Q,15,FALSE())/17*(17-Table4[[#This Row],[Missed Games]]),0)</f>
        <v>0</v>
      </c>
      <c r="W101" s="58">
        <f>AVERAGE(AVERAGE(Table4[[#This Row],[LOW]],Table4[[#This Row],[HIGH]]),Table4[[#This Row],[AVG]],VLOOKUP(Table4[[#This Row],[PLAYER]],ECR!L:N,3,FALSE))</f>
        <v>0</v>
      </c>
      <c r="X101" s="58">
        <f>Table4[[#This Row],[Zscore Projection]]-$Q$1</f>
        <v>-114.15447794117647</v>
      </c>
      <c r="Y101" s="59">
        <f>MAX(Table4[[#This Row],[VBD]]*Scoring!$B$48+1,1)</f>
        <v>1</v>
      </c>
      <c r="Z101" s="45">
        <f>VLOOKUP(Table4[[#This Row],[VBD]],BM:BO,3,FALSE)</f>
        <v>11</v>
      </c>
      <c r="AA101" s="60">
        <f>VLOOKUP(INDEX(ECR!$E:$E,MATCH(P101,ECR!$C:$C,0)),RISK!A:B,2,FALSE())</f>
        <v>4</v>
      </c>
      <c r="AB101" s="61"/>
      <c r="AC101" s="46" t="s">
        <v>262</v>
      </c>
      <c r="AD101" s="46" t="str">
        <f>VLOOKUP(AC101,ECR!E:L,8,FALSE())</f>
        <v>Elijah Sarratt</v>
      </c>
      <c r="AE101" s="46" t="str">
        <f>IFERROR(VLOOKUP(Table6[[#This Row],[PLAYER]],ECR!C:F,2,FALSE()),"-")</f>
        <v>BAL</v>
      </c>
      <c r="AF101" s="46">
        <f>IFERROR(VLOOKUP(Table6[[#This Row],[PLAYER]],ECR!C:F,4,FALSE()),"-")</f>
        <v>13</v>
      </c>
      <c r="AG101" s="46" t="str">
        <f>Table6[[#This Row],[Team]] &amp; "/" &amp; Table6[[#This Row],[Bye]]</f>
        <v>BAL/13</v>
      </c>
      <c r="AH101" s="57">
        <f>IFERROR(VLOOKUP(Table6[[#This Row],[PLAYER]],WR!A:Q,13,FALSE())/17*(17-Table6[[#This Row],[Missed Games]]),0)</f>
        <v>55.949105584512289</v>
      </c>
      <c r="AI101" s="57">
        <f>IFERROR(VLOOKUP(Table6[[#This Row],[PLAYER]],WR!A:Q,14,FALSE())/17*(17-Table6[[#This Row],[Missed Games]]),0)</f>
        <v>55.949105584512289</v>
      </c>
      <c r="AJ101" s="57">
        <f>IFERROR(VLOOKUP(Table6[[#This Row],[PLAYER]],WR!A:Q,15,FALSE())/17*(17-Table6[[#This Row],[Missed Games]]),0)</f>
        <v>55.949105584512289</v>
      </c>
      <c r="AK101" s="58">
        <f>AVERAGE(AVERAGE(Table6[[#This Row],[LOW]],Table6[[#This Row],[HIGH]]),Table6[[#This Row],[AVG]],VLOOKUP(Table6[[#This Row],[PLAYER]],ECR!L:N,3,FALSE))</f>
        <v>48.813762124596678</v>
      </c>
      <c r="AL101" s="58">
        <f>Table6[[#This Row],[Zscore Projection]]-$AE$1</f>
        <v>-65.890135864978902</v>
      </c>
      <c r="AM101" s="59">
        <f>MAX(Table6[[#This Row],[VBD]]*Scoring!$B$48+1,1)</f>
        <v>1</v>
      </c>
      <c r="AN101" s="45">
        <f>VLOOKUP(Table6[[#This Row],[VBD]],BR:BT,3,FALSE)</f>
        <v>8</v>
      </c>
      <c r="AO101" s="60">
        <f>VLOOKUP(INDEX(ECR!$E:$E,MATCH(AD101,ECR!$C:$C,0)),RISK!A:B,2,FALSE())</f>
        <v>3.848101265822784</v>
      </c>
      <c r="AP101" s="61"/>
      <c r="AQ101" s="47" t="s">
        <v>459</v>
      </c>
      <c r="AR101" s="48"/>
      <c r="AT101" s="48"/>
      <c r="AU101" s="48"/>
      <c r="AV101" s="48"/>
      <c r="AW101" s="48"/>
      <c r="AX101" s="48"/>
      <c r="AY101" s="48"/>
      <c r="AZ101" s="48"/>
      <c r="BA101" s="48"/>
      <c r="BC101" s="48"/>
      <c r="BD101" s="48"/>
      <c r="BF101" s="91">
        <v>99</v>
      </c>
      <c r="BG101" s="61" t="str">
        <f t="shared" si="20"/>
        <v/>
      </c>
      <c r="BH101" s="90"/>
      <c r="BI101" s="90"/>
      <c r="BJ101" s="105"/>
      <c r="BK101" s="91">
        <v>99</v>
      </c>
      <c r="BL101" s="61">
        <f t="shared" si="13"/>
        <v>0</v>
      </c>
      <c r="BM101" s="90">
        <f>IFERROR(LARGE($X$3:$X$102,99),"")</f>
        <v>-114.15447794117647</v>
      </c>
      <c r="BN101" s="90">
        <f t="shared" si="16"/>
        <v>-95.770948529411754</v>
      </c>
      <c r="BO101" s="92">
        <f t="shared" si="17"/>
        <v>11</v>
      </c>
      <c r="BP101" s="103">
        <v>99</v>
      </c>
      <c r="BQ101" s="61">
        <f t="shared" si="14"/>
        <v>34.543075204765451</v>
      </c>
      <c r="BR101" s="90">
        <f>IFERROR(LARGE($AL$3:$AL$102,99),"")</f>
        <v>-72.068536857781083</v>
      </c>
      <c r="BS101" s="90">
        <f t="shared" si="18"/>
        <v>-69.216379995035993</v>
      </c>
      <c r="BT101" s="92">
        <f t="shared" si="19"/>
        <v>9</v>
      </c>
      <c r="BU101" s="91">
        <v>99</v>
      </c>
      <c r="BV101" s="61" t="str">
        <f t="shared" si="15"/>
        <v/>
      </c>
      <c r="BW101" s="90"/>
      <c r="BX101" s="90"/>
      <c r="BY101" s="105">
        <f>IFERROR(VALUE(RIGHT(INDEX(ECR!$E:$E,MATCH(P101,ECR!$C:$C,0)),LEN(INDEX(ECR!$E:$E,MATCH(P101,ECR!$C:$C,0)))-2)),"")</f>
        <v>99</v>
      </c>
      <c r="BZ101" s="90"/>
      <c r="CA101" s="90"/>
      <c r="CB101" s="90"/>
      <c r="CC101" s="90"/>
      <c r="CD101" s="90"/>
      <c r="CE101" s="90"/>
      <c r="CF101" s="90"/>
      <c r="CG101" s="90"/>
    </row>
    <row r="102" spans="1:85" s="62" customFormat="1" ht="14.25" customHeight="1" thickBot="1" x14ac:dyDescent="0.3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M102" s="48"/>
      <c r="O102" s="45" t="s">
        <v>347</v>
      </c>
      <c r="P102" s="56" t="str">
        <f>VLOOKUP(O102,ECR!E:L,8,FALSE())</f>
        <v>Bam Knight</v>
      </c>
      <c r="Q102" s="46" t="str">
        <f>IFERROR(VLOOKUP(Table4[[#This Row],[PLAYER]],ECR!C:F,2,FALSE()),"-")</f>
        <v>ARI</v>
      </c>
      <c r="R102" s="46">
        <f>IFERROR(VLOOKUP(Table4[[#This Row],[PLAYER]],ECR!C:F,4,FALSE()),"-")</f>
        <v>14</v>
      </c>
      <c r="S102" s="46" t="str">
        <f>Table4[[#This Row],[Team]] &amp; "/" &amp; Table4[[#This Row],[Bye]]</f>
        <v>ARI/14</v>
      </c>
      <c r="T102" s="57">
        <f>IFERROR(VLOOKUP(Table4[[#This Row],[PLAYER]],RB!A:Q,13,FALSE())/17*(17-Table4[[#This Row],[Missed Games]]),0)</f>
        <v>0</v>
      </c>
      <c r="U102" s="57">
        <f>IFERROR(VLOOKUP(Table4[[#This Row],[PLAYER]],RB!A:Q,14,FALSE())/17*(17-Table4[[#This Row],[Missed Games]]),0)</f>
        <v>6.9205882352941179</v>
      </c>
      <c r="V102" s="57">
        <f>IFERROR(VLOOKUP(Table4[[#This Row],[PLAYER]],RB!A:Q,15,FALSE())/17*(17-Table4[[#This Row],[Missed Games]]),0)</f>
        <v>13.841176470588236</v>
      </c>
      <c r="W102" s="58">
        <f>AVERAGE(AVERAGE(Table4[[#This Row],[LOW]],Table4[[#This Row],[HIGH]]),Table4[[#This Row],[AVG]],VLOOKUP(Table4[[#This Row],[PLAYER]],ECR!L:N,3,FALSE))</f>
        <v>4.6137254901960789</v>
      </c>
      <c r="X102" s="58">
        <f>Table4[[#This Row],[Zscore Projection]]-$Q$1</f>
        <v>-109.54075245098039</v>
      </c>
      <c r="Y102" s="59">
        <f>MAX(Table4[[#This Row],[VBD]]*Scoring!$B$48+1,1)</f>
        <v>1</v>
      </c>
      <c r="Z102" s="45">
        <f>VLOOKUP(Table4[[#This Row],[VBD]],BM:BO,3,FALSE)</f>
        <v>11</v>
      </c>
      <c r="AA102" s="60">
        <f>VLOOKUP(INDEX(ECR!$E:$E,MATCH(P102,ECR!$C:$C,0)),RISK!A:B,2,FALSE())</f>
        <v>4</v>
      </c>
      <c r="AB102" s="61"/>
      <c r="AC102" s="46" t="s">
        <v>308</v>
      </c>
      <c r="AD102" s="46" t="str">
        <f>VLOOKUP(AC102,ECR!E:L,8,FALSE())</f>
        <v>Christian Kirk</v>
      </c>
      <c r="AE102" s="46" t="str">
        <f>IFERROR(VLOOKUP(Table6[[#This Row],[PLAYER]],ECR!C:F,2,FALSE()),"-")</f>
        <v>SF</v>
      </c>
      <c r="AF102" s="46">
        <f>IFERROR(VLOOKUP(Table6[[#This Row],[PLAYER]],ECR!C:F,4,FALSE()),"-")</f>
        <v>8</v>
      </c>
      <c r="AG102" s="46" t="str">
        <f>Table6[[#This Row],[Team]] &amp; "/" &amp; Table6[[#This Row],[Bye]]</f>
        <v>SF/8</v>
      </c>
      <c r="AH102" s="57">
        <f>IFERROR(VLOOKUP(Table6[[#This Row],[PLAYER]],WR!A:Q,13,FALSE())/17*(17-Table6[[#This Row],[Missed Games]]),0)</f>
        <v>0</v>
      </c>
      <c r="AI102" s="57">
        <f>IFERROR(VLOOKUP(Table6[[#This Row],[PLAYER]],WR!A:Q,14,FALSE())/17*(17-Table6[[#This Row],[Missed Games]]),0)</f>
        <v>33.846798212956074</v>
      </c>
      <c r="AJ102" s="57">
        <f>IFERROR(VLOOKUP(Table6[[#This Row],[PLAYER]],WR!A:Q,15,FALSE())/17*(17-Table6[[#This Row],[Missed Games]]),0)</f>
        <v>67.693596425912148</v>
      </c>
      <c r="AK102" s="58">
        <f>AVERAGE(AVERAGE(Table6[[#This Row],[LOW]],Table6[[#This Row],[HIGH]]),Table6[[#This Row],[AVG]],VLOOKUP(Table6[[#This Row],[PLAYER]],ECR!L:N,3,FALSE))</f>
        <v>33.846798212956074</v>
      </c>
      <c r="AL102" s="58">
        <f>Table6[[#This Row],[Zscore Projection]]-$AE$1</f>
        <v>-80.857099776619506</v>
      </c>
      <c r="AM102" s="59">
        <f>MAX(Table6[[#This Row],[VBD]]*Scoring!$B$48+1,1)</f>
        <v>1</v>
      </c>
      <c r="AN102" s="45">
        <f>VLOOKUP(Table6[[#This Row],[VBD]],BR:BT,3,FALSE)</f>
        <v>9</v>
      </c>
      <c r="AO102" s="60">
        <f>VLOOKUP(INDEX(ECR!$E:$E,MATCH(AD102,ECR!$C:$C,0)),RISK!A:B,2,FALSE())</f>
        <v>3.848101265822784</v>
      </c>
      <c r="AP102" s="61"/>
      <c r="AQ102" s="47" t="s">
        <v>460</v>
      </c>
      <c r="AR102" s="48"/>
      <c r="AT102" s="48"/>
      <c r="AU102" s="48"/>
      <c r="AV102" s="48"/>
      <c r="AW102" s="48"/>
      <c r="AX102" s="48"/>
      <c r="AY102" s="48"/>
      <c r="AZ102" s="48"/>
      <c r="BA102" s="48"/>
      <c r="BC102" s="48"/>
      <c r="BD102" s="48"/>
      <c r="BF102" s="93">
        <v>100</v>
      </c>
      <c r="BG102" s="94" t="str">
        <f t="shared" si="20"/>
        <v/>
      </c>
      <c r="BH102" s="95"/>
      <c r="BI102" s="95"/>
      <c r="BJ102" s="106"/>
      <c r="BK102" s="93">
        <v>100</v>
      </c>
      <c r="BL102" s="94">
        <f t="shared" si="13"/>
        <v>0</v>
      </c>
      <c r="BM102" s="95">
        <f>IFERROR(LARGE($X$3:$X$102,100),"")</f>
        <v>-114.15447794117647</v>
      </c>
      <c r="BN102" s="90">
        <f t="shared" si="16"/>
        <v>-95.770948529411754</v>
      </c>
      <c r="BO102" s="92">
        <f t="shared" si="17"/>
        <v>11</v>
      </c>
      <c r="BP102" s="104">
        <v>100</v>
      </c>
      <c r="BQ102" s="94">
        <f t="shared" si="14"/>
        <v>33.846798212956074</v>
      </c>
      <c r="BR102" s="95">
        <f>IFERROR(LARGE($AL$3:$AL$102,100),"")</f>
        <v>-80.857099776619506</v>
      </c>
      <c r="BS102" s="90">
        <f t="shared" si="18"/>
        <v>-69.216379995035993</v>
      </c>
      <c r="BT102" s="92">
        <f t="shared" si="19"/>
        <v>9</v>
      </c>
      <c r="BU102" s="93">
        <v>100</v>
      </c>
      <c r="BV102" s="94" t="str">
        <f t="shared" si="15"/>
        <v/>
      </c>
      <c r="BW102" s="95"/>
      <c r="BX102" s="95"/>
      <c r="BY102" s="106">
        <f>IFERROR(VALUE(RIGHT(INDEX(ECR!$E:$E,MATCH(P102,ECR!$C:$C,0)),LEN(INDEX(ECR!$E:$E,MATCH(P102,ECR!$C:$C,0)))-2)),"")</f>
        <v>100</v>
      </c>
      <c r="BZ102" s="90"/>
      <c r="CA102" s="90"/>
      <c r="CB102" s="90"/>
      <c r="CC102" s="90"/>
      <c r="CD102" s="90"/>
      <c r="CE102" s="90"/>
      <c r="CF102" s="90"/>
      <c r="CG102" s="90"/>
    </row>
    <row r="103" spans="1:85" s="62" customFormat="1" ht="14.25" customHeight="1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M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AA103" s="48"/>
      <c r="AC103" s="48"/>
      <c r="AD103" s="48"/>
      <c r="AF103" s="48"/>
      <c r="AG103" s="48"/>
      <c r="AH103" s="48"/>
      <c r="AI103" s="48"/>
      <c r="AJ103" s="48"/>
      <c r="AK103" s="48"/>
      <c r="AL103" s="48"/>
      <c r="AM103" s="48"/>
      <c r="AO103" s="48"/>
      <c r="AQ103" s="48"/>
      <c r="AR103" s="48"/>
      <c r="AT103" s="48"/>
      <c r="AU103" s="48"/>
      <c r="AV103" s="48"/>
      <c r="AW103" s="48"/>
      <c r="AX103" s="48"/>
      <c r="AY103" s="48"/>
      <c r="AZ103" s="48"/>
      <c r="BA103" s="48"/>
      <c r="BC103" s="48"/>
      <c r="BD103" s="48"/>
      <c r="BH103" s="90"/>
      <c r="BI103" s="90"/>
      <c r="BJ103" s="90"/>
      <c r="BK103" s="90"/>
      <c r="BL103" s="90"/>
      <c r="BM103" s="90"/>
      <c r="BN103" s="90"/>
      <c r="BO103" s="61"/>
      <c r="BP103" s="90"/>
      <c r="BQ103" s="61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</row>
    <row r="104" spans="1:85" s="62" customFormat="1" ht="14.25" customHeight="1" x14ac:dyDescent="0.3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M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AA104" s="48"/>
      <c r="AC104" s="48"/>
      <c r="AD104" s="48"/>
      <c r="AF104" s="48"/>
      <c r="AG104" s="48"/>
      <c r="AH104" s="48"/>
      <c r="AI104" s="48"/>
      <c r="AJ104" s="48"/>
      <c r="AK104" s="48"/>
      <c r="AL104" s="48"/>
      <c r="AM104" s="48"/>
      <c r="AO104" s="48"/>
      <c r="AQ104" s="48"/>
      <c r="AR104" s="48"/>
      <c r="AT104" s="48"/>
      <c r="AU104" s="48"/>
      <c r="AV104" s="48"/>
      <c r="AW104" s="48"/>
      <c r="AX104" s="48"/>
      <c r="AY104" s="48"/>
      <c r="AZ104" s="48"/>
      <c r="BA104" s="48"/>
      <c r="BC104" s="48"/>
      <c r="BD104" s="48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</row>
    <row r="105" spans="1:85" s="62" customFormat="1" ht="14.25" customHeight="1" x14ac:dyDescent="0.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M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AA105" s="48"/>
      <c r="AC105" s="48"/>
      <c r="AD105" s="48"/>
      <c r="AF105" s="48"/>
      <c r="AG105" s="48"/>
      <c r="AH105" s="48"/>
      <c r="AI105" s="48"/>
      <c r="AJ105" s="48"/>
      <c r="AK105" s="48"/>
      <c r="AL105" s="48"/>
      <c r="AM105" s="48"/>
      <c r="AO105" s="48"/>
      <c r="AQ105" s="48"/>
      <c r="AR105" s="48"/>
      <c r="AT105" s="48"/>
      <c r="AU105" s="48"/>
      <c r="AV105" s="48"/>
      <c r="AW105" s="48"/>
      <c r="AX105" s="48"/>
      <c r="AY105" s="48"/>
      <c r="AZ105" s="48"/>
      <c r="BA105" s="48"/>
      <c r="BC105" s="48"/>
      <c r="BD105" s="48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</row>
    <row r="106" spans="1:85" s="62" customFormat="1" ht="14.25" customHeight="1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M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AA106" s="48"/>
      <c r="AC106" s="48"/>
      <c r="AD106" s="48"/>
      <c r="AF106" s="48"/>
      <c r="AG106" s="48"/>
      <c r="AH106" s="48"/>
      <c r="AI106" s="48"/>
      <c r="AJ106" s="48"/>
      <c r="AK106" s="48"/>
      <c r="AL106" s="48"/>
      <c r="AM106" s="48"/>
      <c r="AO106" s="48"/>
      <c r="AQ106" s="48"/>
      <c r="AR106" s="48"/>
      <c r="AT106" s="48"/>
      <c r="AU106" s="48"/>
      <c r="AV106" s="48"/>
      <c r="AW106" s="48"/>
      <c r="AX106" s="48"/>
      <c r="AY106" s="48"/>
      <c r="AZ106" s="48"/>
      <c r="BA106" s="48"/>
      <c r="BC106" s="48"/>
      <c r="BD106" s="48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  <c r="CB106" s="90"/>
      <c r="CC106" s="90"/>
      <c r="CD106" s="90"/>
      <c r="CE106" s="90"/>
      <c r="CF106" s="90"/>
      <c r="CG106" s="90"/>
    </row>
    <row r="107" spans="1:85" s="62" customFormat="1" ht="14.25" customHeight="1" x14ac:dyDescent="0.3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M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AA107" s="48"/>
      <c r="AC107" s="48"/>
      <c r="AD107" s="48"/>
      <c r="AF107" s="48"/>
      <c r="AG107" s="48"/>
      <c r="AH107" s="48"/>
      <c r="AI107" s="48"/>
      <c r="AJ107" s="48"/>
      <c r="AK107" s="48"/>
      <c r="AL107" s="48"/>
      <c r="AM107" s="48"/>
      <c r="AO107" s="48"/>
      <c r="AQ107" s="48"/>
      <c r="AR107" s="48"/>
      <c r="AT107" s="48"/>
      <c r="AU107" s="48"/>
      <c r="AV107" s="48"/>
      <c r="AW107" s="48"/>
      <c r="AX107" s="48"/>
      <c r="AY107" s="48"/>
      <c r="AZ107" s="48"/>
      <c r="BA107" s="48"/>
      <c r="BC107" s="48"/>
      <c r="BD107" s="48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</row>
    <row r="108" spans="1:85" s="62" customFormat="1" ht="14.25" customHeight="1" x14ac:dyDescent="0.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M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AA108" s="48"/>
      <c r="AC108" s="48"/>
      <c r="AD108" s="48"/>
      <c r="AF108" s="48"/>
      <c r="AG108" s="48"/>
      <c r="AH108" s="48"/>
      <c r="AI108" s="48"/>
      <c r="AJ108" s="48"/>
      <c r="AK108" s="48"/>
      <c r="AL108" s="48"/>
      <c r="AM108" s="48"/>
      <c r="AO108" s="48"/>
      <c r="AQ108" s="48"/>
      <c r="AR108" s="48"/>
      <c r="AT108" s="48"/>
      <c r="AU108" s="48"/>
      <c r="AV108" s="48"/>
      <c r="AW108" s="48"/>
      <c r="AX108" s="48"/>
      <c r="AY108" s="48"/>
      <c r="AZ108" s="48"/>
      <c r="BA108" s="48"/>
      <c r="BC108" s="48"/>
      <c r="BD108" s="48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</row>
    <row r="109" spans="1:85" s="62" customFormat="1" ht="14.25" customHeight="1" x14ac:dyDescent="0.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M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AA109" s="48"/>
      <c r="AC109" s="48"/>
      <c r="AD109" s="48"/>
      <c r="AF109" s="48"/>
      <c r="AG109" s="48"/>
      <c r="AH109" s="48"/>
      <c r="AI109" s="48"/>
      <c r="AJ109" s="48"/>
      <c r="AK109" s="48"/>
      <c r="AL109" s="48"/>
      <c r="AM109" s="48"/>
      <c r="AO109" s="48"/>
      <c r="AQ109" s="48"/>
      <c r="AR109" s="48"/>
      <c r="AT109" s="48"/>
      <c r="AU109" s="48"/>
      <c r="AV109" s="48"/>
      <c r="AW109" s="48"/>
      <c r="AX109" s="48"/>
      <c r="AY109" s="48"/>
      <c r="AZ109" s="48"/>
      <c r="BA109" s="48"/>
      <c r="BC109" s="48"/>
      <c r="BD109" s="48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</row>
    <row r="110" spans="1:85" s="62" customFormat="1" ht="14.25" customHeight="1" x14ac:dyDescent="0.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M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AA110" s="48"/>
      <c r="AC110" s="48"/>
      <c r="AD110" s="48"/>
      <c r="AF110" s="48"/>
      <c r="AG110" s="48"/>
      <c r="AH110" s="48"/>
      <c r="AI110" s="48"/>
      <c r="AJ110" s="48"/>
      <c r="AK110" s="48"/>
      <c r="AL110" s="48"/>
      <c r="AM110" s="48"/>
      <c r="AO110" s="48"/>
      <c r="AQ110" s="48"/>
      <c r="AR110" s="48"/>
      <c r="AT110" s="48"/>
      <c r="AU110" s="48"/>
      <c r="AV110" s="48"/>
      <c r="AW110" s="48"/>
      <c r="AX110" s="48"/>
      <c r="AY110" s="48"/>
      <c r="AZ110" s="48"/>
      <c r="BA110" s="48"/>
      <c r="BC110" s="48"/>
      <c r="BD110" s="48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  <c r="CF110" s="90"/>
      <c r="CG110" s="90"/>
    </row>
    <row r="111" spans="1:85" s="62" customFormat="1" ht="14.25" customHeight="1" x14ac:dyDescent="0.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M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AA111" s="48"/>
      <c r="AC111" s="48"/>
      <c r="AD111" s="48"/>
      <c r="AF111" s="48"/>
      <c r="AG111" s="48"/>
      <c r="AH111" s="48"/>
      <c r="AI111" s="48"/>
      <c r="AJ111" s="48"/>
      <c r="AK111" s="48"/>
      <c r="AL111" s="48"/>
      <c r="AM111" s="48"/>
      <c r="AO111" s="48"/>
      <c r="AQ111" s="48"/>
      <c r="AR111" s="48"/>
      <c r="AT111" s="48"/>
      <c r="AU111" s="48"/>
      <c r="AV111" s="48"/>
      <c r="AW111" s="48"/>
      <c r="AX111" s="48"/>
      <c r="AY111" s="48"/>
      <c r="AZ111" s="48"/>
      <c r="BA111" s="48"/>
      <c r="BC111" s="48"/>
      <c r="BD111" s="48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</row>
    <row r="112" spans="1:85" s="62" customFormat="1" ht="14.25" customHeight="1" x14ac:dyDescent="0.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M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AA112" s="48"/>
      <c r="AC112" s="48"/>
      <c r="AD112" s="48"/>
      <c r="AF112" s="48"/>
      <c r="AG112" s="48"/>
      <c r="AH112" s="48"/>
      <c r="AI112" s="48"/>
      <c r="AJ112" s="48"/>
      <c r="AK112" s="48"/>
      <c r="AL112" s="48"/>
      <c r="AM112" s="48"/>
      <c r="AO112" s="48"/>
      <c r="AQ112" s="48"/>
      <c r="AR112" s="48"/>
      <c r="AT112" s="48"/>
      <c r="AU112" s="48"/>
      <c r="AV112" s="48"/>
      <c r="AW112" s="48"/>
      <c r="AX112" s="48"/>
      <c r="AY112" s="48"/>
      <c r="AZ112" s="48"/>
      <c r="BA112" s="48"/>
      <c r="BC112" s="48"/>
      <c r="BD112" s="48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</row>
    <row r="113" spans="1:85" s="62" customFormat="1" ht="14.25" customHeight="1" x14ac:dyDescent="0.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M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AA113" s="48"/>
      <c r="AC113" s="48"/>
      <c r="AD113" s="48"/>
      <c r="AF113" s="48"/>
      <c r="AG113" s="48"/>
      <c r="AH113" s="48"/>
      <c r="AI113" s="48"/>
      <c r="AJ113" s="48"/>
      <c r="AK113" s="48"/>
      <c r="AL113" s="48"/>
      <c r="AM113" s="48"/>
      <c r="AO113" s="48"/>
      <c r="AQ113" s="48"/>
      <c r="AR113" s="48"/>
      <c r="AT113" s="48"/>
      <c r="AU113" s="48"/>
      <c r="AV113" s="48"/>
      <c r="AW113" s="48"/>
      <c r="AX113" s="48"/>
      <c r="AY113" s="48"/>
      <c r="AZ113" s="48"/>
      <c r="BA113" s="48"/>
      <c r="BC113" s="48"/>
      <c r="BD113" s="48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</row>
    <row r="114" spans="1:85" s="62" customFormat="1" ht="14.25" customHeight="1" x14ac:dyDescent="0.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M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AA114" s="48"/>
      <c r="AC114" s="48"/>
      <c r="AD114" s="48"/>
      <c r="AF114" s="48"/>
      <c r="AG114" s="48"/>
      <c r="AH114" s="48"/>
      <c r="AI114" s="48"/>
      <c r="AJ114" s="48"/>
      <c r="AK114" s="48"/>
      <c r="AL114" s="48"/>
      <c r="AM114" s="48"/>
      <c r="AO114" s="48"/>
      <c r="AQ114" s="48"/>
      <c r="AR114" s="48"/>
      <c r="AT114" s="48"/>
      <c r="AU114" s="48"/>
      <c r="AV114" s="48"/>
      <c r="AW114" s="48"/>
      <c r="AX114" s="48"/>
      <c r="AY114" s="48"/>
      <c r="AZ114" s="48"/>
      <c r="BA114" s="48"/>
      <c r="BC114" s="48"/>
      <c r="BD114" s="48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</row>
    <row r="115" spans="1:85" s="62" customFormat="1" ht="14.25" customHeight="1" x14ac:dyDescent="0.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M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AA115" s="48"/>
      <c r="AC115" s="48"/>
      <c r="AD115" s="48"/>
      <c r="AF115" s="48"/>
      <c r="AG115" s="48"/>
      <c r="AH115" s="48"/>
      <c r="AI115" s="48"/>
      <c r="AJ115" s="48"/>
      <c r="AK115" s="48"/>
      <c r="AL115" s="48"/>
      <c r="AM115" s="48"/>
      <c r="AO115" s="48"/>
      <c r="AQ115" s="48"/>
      <c r="AR115" s="48"/>
      <c r="AT115" s="48"/>
      <c r="AU115" s="48"/>
      <c r="AV115" s="48"/>
      <c r="AW115" s="48"/>
      <c r="AX115" s="48"/>
      <c r="AY115" s="48"/>
      <c r="AZ115" s="48"/>
      <c r="BA115" s="48"/>
      <c r="BC115" s="48"/>
      <c r="BD115" s="48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</row>
    <row r="116" spans="1:85" s="62" customFormat="1" ht="14.25" customHeight="1" x14ac:dyDescent="0.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M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AA116" s="48"/>
      <c r="AC116" s="48"/>
      <c r="AD116" s="48"/>
      <c r="AF116" s="48"/>
      <c r="AG116" s="48"/>
      <c r="AH116" s="48"/>
      <c r="AI116" s="48"/>
      <c r="AJ116" s="48"/>
      <c r="AK116" s="48"/>
      <c r="AL116" s="48"/>
      <c r="AM116" s="48"/>
      <c r="AO116" s="48"/>
      <c r="AQ116" s="48"/>
      <c r="AR116" s="48"/>
      <c r="AT116" s="48"/>
      <c r="AU116" s="48"/>
      <c r="AV116" s="48"/>
      <c r="AW116" s="48"/>
      <c r="AX116" s="48"/>
      <c r="AY116" s="48"/>
      <c r="AZ116" s="48"/>
      <c r="BA116" s="48"/>
      <c r="BC116" s="48"/>
      <c r="BD116" s="48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/>
      <c r="CD116" s="90"/>
      <c r="CE116" s="90"/>
      <c r="CF116" s="90"/>
      <c r="CG116" s="90"/>
    </row>
    <row r="117" spans="1:85" s="62" customFormat="1" ht="14.25" customHeight="1" x14ac:dyDescent="0.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M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AA117" s="48"/>
      <c r="AC117" s="48"/>
      <c r="AD117" s="48"/>
      <c r="AF117" s="48"/>
      <c r="AG117" s="48"/>
      <c r="AH117" s="48"/>
      <c r="AI117" s="48"/>
      <c r="AJ117" s="48"/>
      <c r="AK117" s="48"/>
      <c r="AL117" s="48"/>
      <c r="AM117" s="48"/>
      <c r="AO117" s="48"/>
      <c r="AQ117" s="48"/>
      <c r="AR117" s="48"/>
      <c r="AT117" s="48"/>
      <c r="AU117" s="48"/>
      <c r="AV117" s="48"/>
      <c r="AW117" s="48"/>
      <c r="AX117" s="48"/>
      <c r="AY117" s="48"/>
      <c r="AZ117" s="48"/>
      <c r="BA117" s="48"/>
      <c r="BC117" s="48"/>
      <c r="BD117" s="48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</row>
    <row r="118" spans="1:85" s="62" customFormat="1" ht="14.25" customHeight="1" x14ac:dyDescent="0.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M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AA118" s="48"/>
      <c r="AC118" s="48"/>
      <c r="AD118" s="48"/>
      <c r="AF118" s="48"/>
      <c r="AG118" s="48"/>
      <c r="AH118" s="48"/>
      <c r="AI118" s="48"/>
      <c r="AJ118" s="48"/>
      <c r="AK118" s="48"/>
      <c r="AL118" s="48"/>
      <c r="AM118" s="48"/>
      <c r="AO118" s="48"/>
      <c r="AQ118" s="48"/>
      <c r="AR118" s="48"/>
      <c r="AT118" s="48"/>
      <c r="AU118" s="48"/>
      <c r="AV118" s="48"/>
      <c r="AW118" s="48"/>
      <c r="AX118" s="48"/>
      <c r="AY118" s="48"/>
      <c r="AZ118" s="48"/>
      <c r="BA118" s="48"/>
      <c r="BC118" s="48"/>
      <c r="BD118" s="48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0"/>
      <c r="CF118" s="90"/>
      <c r="CG118" s="90"/>
    </row>
    <row r="119" spans="1:85" s="62" customFormat="1" ht="14.25" customHeight="1" x14ac:dyDescent="0.3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M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AA119" s="48"/>
      <c r="AC119" s="48"/>
      <c r="AD119" s="48"/>
      <c r="AF119" s="48"/>
      <c r="AG119" s="48"/>
      <c r="AH119" s="48"/>
      <c r="AI119" s="48"/>
      <c r="AJ119" s="48"/>
      <c r="AK119" s="48"/>
      <c r="AL119" s="48"/>
      <c r="AM119" s="48"/>
      <c r="AO119" s="48"/>
      <c r="AQ119" s="48"/>
      <c r="AR119" s="48"/>
      <c r="AT119" s="48"/>
      <c r="AU119" s="48"/>
      <c r="AV119" s="48"/>
      <c r="AW119" s="48"/>
      <c r="AX119" s="48"/>
      <c r="AY119" s="48"/>
      <c r="AZ119" s="48"/>
      <c r="BA119" s="48"/>
      <c r="BC119" s="48"/>
      <c r="BD119" s="48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</row>
    <row r="120" spans="1:85" s="62" customFormat="1" ht="14.25" customHeight="1" x14ac:dyDescent="0.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M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AA120" s="48"/>
      <c r="AC120" s="48"/>
      <c r="AD120" s="48"/>
      <c r="AF120" s="48"/>
      <c r="AG120" s="48"/>
      <c r="AH120" s="48"/>
      <c r="AI120" s="48"/>
      <c r="AJ120" s="48"/>
      <c r="AK120" s="48"/>
      <c r="AL120" s="48"/>
      <c r="AM120" s="48"/>
      <c r="AO120" s="48"/>
      <c r="AQ120" s="48"/>
      <c r="AR120" s="48"/>
      <c r="AT120" s="48"/>
      <c r="AU120" s="48"/>
      <c r="AV120" s="48"/>
      <c r="AW120" s="48"/>
      <c r="AX120" s="48"/>
      <c r="AY120" s="48"/>
      <c r="AZ120" s="48"/>
      <c r="BA120" s="48"/>
      <c r="BC120" s="48"/>
      <c r="BD120" s="48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  <c r="CA120" s="90"/>
      <c r="CB120" s="90"/>
      <c r="CC120" s="90"/>
      <c r="CD120" s="90"/>
      <c r="CE120" s="90"/>
      <c r="CF120" s="90"/>
      <c r="CG120" s="90"/>
    </row>
    <row r="121" spans="1:85" s="62" customFormat="1" ht="14.25" customHeight="1" x14ac:dyDescent="0.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M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AA121" s="48"/>
      <c r="AC121" s="48"/>
      <c r="AD121" s="48"/>
      <c r="AF121" s="48"/>
      <c r="AG121" s="48"/>
      <c r="AH121" s="48"/>
      <c r="AI121" s="48"/>
      <c r="AJ121" s="48"/>
      <c r="AK121" s="48"/>
      <c r="AL121" s="48"/>
      <c r="AM121" s="48"/>
      <c r="AO121" s="48"/>
      <c r="AQ121" s="48"/>
      <c r="AR121" s="48"/>
      <c r="AT121" s="48"/>
      <c r="AU121" s="48"/>
      <c r="AV121" s="48"/>
      <c r="AW121" s="48"/>
      <c r="AX121" s="48"/>
      <c r="AY121" s="48"/>
      <c r="AZ121" s="48"/>
      <c r="BA121" s="48"/>
      <c r="BC121" s="48"/>
      <c r="BD121" s="48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</row>
    <row r="122" spans="1:85" s="62" customFormat="1" ht="14.25" customHeight="1" x14ac:dyDescent="0.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AA122" s="48"/>
      <c r="AC122" s="48"/>
      <c r="AD122" s="48"/>
      <c r="AF122" s="48"/>
      <c r="AG122" s="48"/>
      <c r="AH122" s="48"/>
      <c r="AI122" s="48"/>
      <c r="AJ122" s="48"/>
      <c r="AK122" s="48"/>
      <c r="AL122" s="48"/>
      <c r="AM122" s="48"/>
      <c r="AO122" s="48"/>
      <c r="AQ122" s="48"/>
      <c r="AR122" s="48"/>
      <c r="AT122" s="48"/>
      <c r="AU122" s="48"/>
      <c r="AV122" s="48"/>
      <c r="AW122" s="48"/>
      <c r="AX122" s="48"/>
      <c r="AY122" s="48"/>
      <c r="AZ122" s="48"/>
      <c r="BA122" s="48"/>
      <c r="BC122" s="48"/>
      <c r="BD122" s="48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</row>
    <row r="123" spans="1:85" s="62" customFormat="1" ht="14.25" customHeight="1" x14ac:dyDescent="0.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M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AA123" s="48"/>
      <c r="AC123" s="48"/>
      <c r="AD123" s="48"/>
      <c r="AF123" s="48"/>
      <c r="AG123" s="48"/>
      <c r="AH123" s="48"/>
      <c r="AI123" s="48"/>
      <c r="AJ123" s="48"/>
      <c r="AK123" s="48"/>
      <c r="AL123" s="48"/>
      <c r="AM123" s="48"/>
      <c r="AO123" s="48"/>
      <c r="AQ123" s="48"/>
      <c r="AR123" s="48"/>
      <c r="AT123" s="48"/>
      <c r="AU123" s="48"/>
      <c r="AV123" s="48"/>
      <c r="AW123" s="48"/>
      <c r="AX123" s="48"/>
      <c r="AY123" s="48"/>
      <c r="AZ123" s="48"/>
      <c r="BA123" s="48"/>
      <c r="BC123" s="48"/>
      <c r="BD123" s="48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</row>
    <row r="124" spans="1:85" s="62" customFormat="1" ht="14.25" customHeight="1" x14ac:dyDescent="0.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M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AA124" s="48"/>
      <c r="AC124" s="48"/>
      <c r="AD124" s="48"/>
      <c r="AF124" s="48"/>
      <c r="AG124" s="48"/>
      <c r="AH124" s="48"/>
      <c r="AI124" s="48"/>
      <c r="AJ124" s="48"/>
      <c r="AK124" s="48"/>
      <c r="AL124" s="48"/>
      <c r="AM124" s="48"/>
      <c r="AO124" s="48"/>
      <c r="AQ124" s="48"/>
      <c r="AR124" s="48"/>
      <c r="AT124" s="48"/>
      <c r="AU124" s="48"/>
      <c r="AV124" s="48"/>
      <c r="AW124" s="48"/>
      <c r="AX124" s="48"/>
      <c r="AY124" s="48"/>
      <c r="AZ124" s="48"/>
      <c r="BA124" s="48"/>
      <c r="BC124" s="48"/>
      <c r="BD124" s="48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0"/>
      <c r="CF124" s="90"/>
      <c r="CG124" s="90"/>
    </row>
    <row r="125" spans="1:85" s="62" customFormat="1" ht="14.25" customHeight="1" x14ac:dyDescent="0.3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M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AA125" s="48"/>
      <c r="AC125" s="48"/>
      <c r="AD125" s="48"/>
      <c r="AF125" s="48"/>
      <c r="AG125" s="48"/>
      <c r="AH125" s="48"/>
      <c r="AI125" s="48"/>
      <c r="AJ125" s="48"/>
      <c r="AK125" s="48"/>
      <c r="AL125" s="48"/>
      <c r="AM125" s="48"/>
      <c r="AO125" s="48"/>
      <c r="AQ125" s="48"/>
      <c r="AR125" s="48"/>
      <c r="AT125" s="48"/>
      <c r="AU125" s="48"/>
      <c r="AV125" s="48"/>
      <c r="AW125" s="48"/>
      <c r="AX125" s="48"/>
      <c r="AY125" s="48"/>
      <c r="AZ125" s="48"/>
      <c r="BA125" s="48"/>
      <c r="BC125" s="48"/>
      <c r="BD125" s="48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</row>
    <row r="126" spans="1:85" s="62" customFormat="1" ht="14.25" customHeight="1" x14ac:dyDescent="0.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M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AA126" s="48"/>
      <c r="AC126" s="48"/>
      <c r="AD126" s="48"/>
      <c r="AF126" s="48"/>
      <c r="AG126" s="48"/>
      <c r="AH126" s="48"/>
      <c r="AI126" s="48"/>
      <c r="AJ126" s="48"/>
      <c r="AK126" s="48"/>
      <c r="AL126" s="48"/>
      <c r="AM126" s="48"/>
      <c r="AO126" s="48"/>
      <c r="AQ126" s="48"/>
      <c r="AR126" s="48"/>
      <c r="AT126" s="48"/>
      <c r="AU126" s="48"/>
      <c r="AV126" s="48"/>
      <c r="AW126" s="48"/>
      <c r="AX126" s="48"/>
      <c r="AY126" s="48"/>
      <c r="AZ126" s="48"/>
      <c r="BA126" s="48"/>
      <c r="BC126" s="48"/>
      <c r="BD126" s="48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  <c r="CB126" s="90"/>
      <c r="CC126" s="90"/>
      <c r="CD126" s="90"/>
      <c r="CE126" s="90"/>
      <c r="CF126" s="90"/>
      <c r="CG126" s="90"/>
    </row>
    <row r="127" spans="1:85" s="62" customFormat="1" ht="14.25" customHeight="1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M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AA127" s="48"/>
      <c r="AC127" s="48"/>
      <c r="AD127" s="48"/>
      <c r="AF127" s="48"/>
      <c r="AG127" s="48"/>
      <c r="AH127" s="48"/>
      <c r="AI127" s="48"/>
      <c r="AJ127" s="48"/>
      <c r="AK127" s="48"/>
      <c r="AL127" s="48"/>
      <c r="AM127" s="48"/>
      <c r="AO127" s="48"/>
      <c r="AQ127" s="48"/>
      <c r="AR127" s="48"/>
      <c r="AT127" s="48"/>
      <c r="AU127" s="48"/>
      <c r="AV127" s="48"/>
      <c r="AW127" s="48"/>
      <c r="AX127" s="48"/>
      <c r="AY127" s="48"/>
      <c r="AZ127" s="48"/>
      <c r="BA127" s="48"/>
      <c r="BC127" s="48"/>
      <c r="BD127" s="48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</row>
    <row r="128" spans="1:85" s="62" customFormat="1" ht="14.25" customHeight="1" x14ac:dyDescent="0.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M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AA128" s="48"/>
      <c r="AC128" s="48"/>
      <c r="AD128" s="48"/>
      <c r="AF128" s="48"/>
      <c r="AG128" s="48"/>
      <c r="AH128" s="48"/>
      <c r="AI128" s="48"/>
      <c r="AJ128" s="48"/>
      <c r="AK128" s="48"/>
      <c r="AL128" s="48"/>
      <c r="AM128" s="48"/>
      <c r="AO128" s="48"/>
      <c r="AQ128" s="48"/>
      <c r="AR128" s="48"/>
      <c r="AT128" s="48"/>
      <c r="AU128" s="48"/>
      <c r="AV128" s="48"/>
      <c r="AW128" s="48"/>
      <c r="AX128" s="48"/>
      <c r="AY128" s="48"/>
      <c r="AZ128" s="48"/>
      <c r="BA128" s="48"/>
      <c r="BC128" s="48"/>
      <c r="BD128" s="48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0"/>
      <c r="CF128" s="90"/>
      <c r="CG128" s="90"/>
    </row>
    <row r="129" spans="1:85" s="62" customFormat="1" ht="14.25" customHeight="1" x14ac:dyDescent="0.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M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AA129" s="48"/>
      <c r="AC129" s="48"/>
      <c r="AD129" s="48"/>
      <c r="AF129" s="48"/>
      <c r="AG129" s="48"/>
      <c r="AH129" s="48"/>
      <c r="AI129" s="48"/>
      <c r="AJ129" s="48"/>
      <c r="AK129" s="48"/>
      <c r="AL129" s="48"/>
      <c r="AM129" s="48"/>
      <c r="AO129" s="48"/>
      <c r="AQ129" s="48"/>
      <c r="AR129" s="48"/>
      <c r="AT129" s="48"/>
      <c r="AU129" s="48"/>
      <c r="AV129" s="48"/>
      <c r="AW129" s="48"/>
      <c r="AX129" s="48"/>
      <c r="AY129" s="48"/>
      <c r="AZ129" s="48"/>
      <c r="BA129" s="48"/>
      <c r="BC129" s="48"/>
      <c r="BD129" s="48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</row>
    <row r="130" spans="1:85" s="62" customFormat="1" ht="14.25" customHeight="1" x14ac:dyDescent="0.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M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AA130" s="48"/>
      <c r="AC130" s="48"/>
      <c r="AD130" s="48"/>
      <c r="AF130" s="48"/>
      <c r="AG130" s="48"/>
      <c r="AH130" s="48"/>
      <c r="AI130" s="48"/>
      <c r="AJ130" s="48"/>
      <c r="AK130" s="48"/>
      <c r="AL130" s="48"/>
      <c r="AM130" s="48"/>
      <c r="AO130" s="48"/>
      <c r="AQ130" s="48"/>
      <c r="AR130" s="48"/>
      <c r="AT130" s="48"/>
      <c r="AU130" s="48"/>
      <c r="AV130" s="48"/>
      <c r="AW130" s="48"/>
      <c r="AX130" s="48"/>
      <c r="AY130" s="48"/>
      <c r="AZ130" s="48"/>
      <c r="BA130" s="48"/>
      <c r="BC130" s="48"/>
      <c r="BD130" s="48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</row>
    <row r="131" spans="1:85" s="62" customFormat="1" ht="14.25" customHeight="1" x14ac:dyDescent="0.3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M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AA131" s="48"/>
      <c r="AC131" s="48"/>
      <c r="AD131" s="48"/>
      <c r="AF131" s="48"/>
      <c r="AG131" s="48"/>
      <c r="AH131" s="48"/>
      <c r="AI131" s="48"/>
      <c r="AJ131" s="48"/>
      <c r="AK131" s="48"/>
      <c r="AL131" s="48"/>
      <c r="AM131" s="48"/>
      <c r="AO131" s="48"/>
      <c r="AQ131" s="48"/>
      <c r="AR131" s="48"/>
      <c r="AT131" s="48"/>
      <c r="AU131" s="48"/>
      <c r="AV131" s="48"/>
      <c r="AW131" s="48"/>
      <c r="AX131" s="48"/>
      <c r="AY131" s="48"/>
      <c r="AZ131" s="48"/>
      <c r="BA131" s="48"/>
      <c r="BC131" s="48"/>
      <c r="BD131" s="48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</row>
    <row r="132" spans="1:85" s="62" customFormat="1" ht="14.25" customHeight="1" x14ac:dyDescent="0.3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M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AA132" s="48"/>
      <c r="AC132" s="48"/>
      <c r="AD132" s="48"/>
      <c r="AF132" s="48"/>
      <c r="AG132" s="48"/>
      <c r="AH132" s="48"/>
      <c r="AI132" s="48"/>
      <c r="AJ132" s="48"/>
      <c r="AK132" s="48"/>
      <c r="AL132" s="48"/>
      <c r="AM132" s="48"/>
      <c r="AO132" s="48"/>
      <c r="AQ132" s="48"/>
      <c r="AR132" s="48"/>
      <c r="AT132" s="48"/>
      <c r="AU132" s="48"/>
      <c r="AV132" s="48"/>
      <c r="AW132" s="48"/>
      <c r="AX132" s="48"/>
      <c r="AY132" s="48"/>
      <c r="AZ132" s="48"/>
      <c r="BA132" s="48"/>
      <c r="BC132" s="48"/>
      <c r="BD132" s="48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0"/>
      <c r="CF132" s="90"/>
      <c r="CG132" s="90"/>
    </row>
    <row r="133" spans="1:85" s="62" customFormat="1" ht="14.25" customHeight="1" x14ac:dyDescent="0.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M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AA133" s="48"/>
      <c r="AC133" s="48"/>
      <c r="AD133" s="48"/>
      <c r="AF133" s="48"/>
      <c r="AG133" s="48"/>
      <c r="AH133" s="48"/>
      <c r="AI133" s="48"/>
      <c r="AJ133" s="48"/>
      <c r="AK133" s="48"/>
      <c r="AL133" s="48"/>
      <c r="AM133" s="48"/>
      <c r="AO133" s="48"/>
      <c r="AQ133" s="48"/>
      <c r="AR133" s="48"/>
      <c r="AT133" s="48"/>
      <c r="AU133" s="48"/>
      <c r="AV133" s="48"/>
      <c r="AW133" s="48"/>
      <c r="AX133" s="48"/>
      <c r="AY133" s="48"/>
      <c r="AZ133" s="48"/>
      <c r="BA133" s="48"/>
      <c r="BC133" s="48"/>
      <c r="BD133" s="48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</row>
    <row r="134" spans="1:85" s="62" customFormat="1" ht="14.25" customHeight="1" x14ac:dyDescent="0.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M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AA134" s="48"/>
      <c r="AC134" s="48"/>
      <c r="AD134" s="48"/>
      <c r="AF134" s="48"/>
      <c r="AG134" s="48"/>
      <c r="AH134" s="48"/>
      <c r="AI134" s="48"/>
      <c r="AJ134" s="48"/>
      <c r="AK134" s="48"/>
      <c r="AL134" s="48"/>
      <c r="AM134" s="48"/>
      <c r="AO134" s="48"/>
      <c r="AQ134" s="48"/>
      <c r="AR134" s="48"/>
      <c r="AT134" s="48"/>
      <c r="AU134" s="48"/>
      <c r="AV134" s="48"/>
      <c r="AW134" s="48"/>
      <c r="AX134" s="48"/>
      <c r="AY134" s="48"/>
      <c r="AZ134" s="48"/>
      <c r="BA134" s="48"/>
      <c r="BC134" s="48"/>
      <c r="BD134" s="48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</row>
    <row r="135" spans="1:85" s="62" customFormat="1" ht="14.25" customHeight="1" x14ac:dyDescent="0.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M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AA135" s="48"/>
      <c r="AC135" s="48"/>
      <c r="AD135" s="48"/>
      <c r="AF135" s="48"/>
      <c r="AG135" s="48"/>
      <c r="AH135" s="48"/>
      <c r="AI135" s="48"/>
      <c r="AJ135" s="48"/>
      <c r="AK135" s="48"/>
      <c r="AL135" s="48"/>
      <c r="AM135" s="48"/>
      <c r="AO135" s="48"/>
      <c r="AQ135" s="48"/>
      <c r="AR135" s="48"/>
      <c r="AT135" s="48"/>
      <c r="AU135" s="48"/>
      <c r="AV135" s="48"/>
      <c r="AW135" s="48"/>
      <c r="AX135" s="48"/>
      <c r="AY135" s="48"/>
      <c r="AZ135" s="48"/>
      <c r="BA135" s="48"/>
      <c r="BC135" s="48"/>
      <c r="BD135" s="48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</row>
    <row r="136" spans="1:85" s="62" customFormat="1" ht="14.25" customHeight="1" x14ac:dyDescent="0.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M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AA136" s="48"/>
      <c r="AC136" s="48"/>
      <c r="AD136" s="48"/>
      <c r="AF136" s="48"/>
      <c r="AG136" s="48"/>
      <c r="AH136" s="48"/>
      <c r="AI136" s="48"/>
      <c r="AJ136" s="48"/>
      <c r="AK136" s="48"/>
      <c r="AL136" s="48"/>
      <c r="AM136" s="48"/>
      <c r="AO136" s="48"/>
      <c r="AQ136" s="48"/>
      <c r="AR136" s="48"/>
      <c r="AT136" s="48"/>
      <c r="AU136" s="48"/>
      <c r="AV136" s="48"/>
      <c r="AW136" s="48"/>
      <c r="AX136" s="48"/>
      <c r="AY136" s="48"/>
      <c r="AZ136" s="48"/>
      <c r="BA136" s="48"/>
      <c r="BC136" s="48"/>
      <c r="BD136" s="48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</row>
    <row r="137" spans="1:85" s="62" customFormat="1" ht="14.25" customHeight="1" x14ac:dyDescent="0.3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M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AA137" s="48"/>
      <c r="AC137" s="48"/>
      <c r="AD137" s="48"/>
      <c r="AF137" s="48"/>
      <c r="AG137" s="48"/>
      <c r="AH137" s="48"/>
      <c r="AI137" s="48"/>
      <c r="AJ137" s="48"/>
      <c r="AK137" s="48"/>
      <c r="AL137" s="48"/>
      <c r="AM137" s="48"/>
      <c r="AO137" s="48"/>
      <c r="AQ137" s="48"/>
      <c r="AR137" s="48"/>
      <c r="AT137" s="48"/>
      <c r="AU137" s="48"/>
      <c r="AV137" s="48"/>
      <c r="AW137" s="48"/>
      <c r="AX137" s="48"/>
      <c r="AY137" s="48"/>
      <c r="AZ137" s="48"/>
      <c r="BA137" s="48"/>
      <c r="BC137" s="48"/>
      <c r="BD137" s="48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</row>
    <row r="138" spans="1:85" s="62" customFormat="1" ht="14.25" customHeight="1" x14ac:dyDescent="0.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M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AA138" s="48"/>
      <c r="AC138" s="48"/>
      <c r="AD138" s="48"/>
      <c r="AF138" s="48"/>
      <c r="AG138" s="48"/>
      <c r="AH138" s="48"/>
      <c r="AI138" s="48"/>
      <c r="AJ138" s="48"/>
      <c r="AK138" s="48"/>
      <c r="AL138" s="48"/>
      <c r="AM138" s="48"/>
      <c r="AO138" s="48"/>
      <c r="AQ138" s="48"/>
      <c r="AR138" s="48"/>
      <c r="AT138" s="48"/>
      <c r="AU138" s="48"/>
      <c r="AV138" s="48"/>
      <c r="AW138" s="48"/>
      <c r="AX138" s="48"/>
      <c r="AY138" s="48"/>
      <c r="AZ138" s="48"/>
      <c r="BA138" s="48"/>
      <c r="BC138" s="48"/>
      <c r="BD138" s="48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</row>
    <row r="139" spans="1:85" s="62" customFormat="1" ht="14.25" customHeight="1" x14ac:dyDescent="0.3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M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AA139" s="48"/>
      <c r="AC139" s="48"/>
      <c r="AD139" s="48"/>
      <c r="AF139" s="48"/>
      <c r="AG139" s="48"/>
      <c r="AH139" s="48"/>
      <c r="AI139" s="48"/>
      <c r="AJ139" s="48"/>
      <c r="AK139" s="48"/>
      <c r="AL139" s="48"/>
      <c r="AM139" s="48"/>
      <c r="AO139" s="48"/>
      <c r="AQ139" s="48"/>
      <c r="AR139" s="48"/>
      <c r="AT139" s="48"/>
      <c r="AU139" s="48"/>
      <c r="AV139" s="48"/>
      <c r="AW139" s="48"/>
      <c r="AX139" s="48"/>
      <c r="AY139" s="48"/>
      <c r="AZ139" s="48"/>
      <c r="BA139" s="48"/>
      <c r="BC139" s="48"/>
      <c r="BD139" s="48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</row>
    <row r="140" spans="1:85" s="62" customFormat="1" ht="14.25" customHeight="1" x14ac:dyDescent="0.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M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AA140" s="48"/>
      <c r="AC140" s="48"/>
      <c r="AD140" s="48"/>
      <c r="AF140" s="48"/>
      <c r="AG140" s="48"/>
      <c r="AH140" s="48"/>
      <c r="AI140" s="48"/>
      <c r="AJ140" s="48"/>
      <c r="AK140" s="48"/>
      <c r="AL140" s="48"/>
      <c r="AM140" s="48"/>
      <c r="AO140" s="48"/>
      <c r="AQ140" s="48"/>
      <c r="AR140" s="48"/>
      <c r="AT140" s="48"/>
      <c r="AU140" s="48"/>
      <c r="AV140" s="48"/>
      <c r="AW140" s="48"/>
      <c r="AX140" s="48"/>
      <c r="AY140" s="48"/>
      <c r="AZ140" s="48"/>
      <c r="BA140" s="48"/>
      <c r="BC140" s="48"/>
      <c r="BD140" s="48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</row>
    <row r="141" spans="1:85" s="62" customFormat="1" ht="14.25" customHeight="1" x14ac:dyDescent="0.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M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AA141" s="48"/>
      <c r="AC141" s="48"/>
      <c r="AD141" s="48"/>
      <c r="AF141" s="48"/>
      <c r="AG141" s="48"/>
      <c r="AH141" s="48"/>
      <c r="AI141" s="48"/>
      <c r="AJ141" s="48"/>
      <c r="AK141" s="48"/>
      <c r="AL141" s="48"/>
      <c r="AM141" s="48"/>
      <c r="AO141" s="48"/>
      <c r="AQ141" s="48"/>
      <c r="AR141" s="48"/>
      <c r="AT141" s="48"/>
      <c r="AU141" s="48"/>
      <c r="AV141" s="48"/>
      <c r="AW141" s="48"/>
      <c r="AX141" s="48"/>
      <c r="AY141" s="48"/>
      <c r="AZ141" s="48"/>
      <c r="BA141" s="48"/>
      <c r="BC141" s="48"/>
      <c r="BD141" s="48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</row>
    <row r="142" spans="1:85" s="62" customFormat="1" ht="14.25" customHeight="1" x14ac:dyDescent="0.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M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AA142" s="48"/>
      <c r="AC142" s="48"/>
      <c r="AD142" s="48"/>
      <c r="AF142" s="48"/>
      <c r="AG142" s="48"/>
      <c r="AH142" s="48"/>
      <c r="AI142" s="48"/>
      <c r="AJ142" s="48"/>
      <c r="AK142" s="48"/>
      <c r="AL142" s="48"/>
      <c r="AM142" s="48"/>
      <c r="AO142" s="48"/>
      <c r="AQ142" s="48"/>
      <c r="AR142" s="48"/>
      <c r="AT142" s="48"/>
      <c r="AU142" s="48"/>
      <c r="AV142" s="48"/>
      <c r="AW142" s="48"/>
      <c r="AX142" s="48"/>
      <c r="AY142" s="48"/>
      <c r="AZ142" s="48"/>
      <c r="BA142" s="48"/>
      <c r="BC142" s="48"/>
      <c r="BD142" s="48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</row>
    <row r="143" spans="1:85" s="62" customFormat="1" ht="14.25" customHeight="1" x14ac:dyDescent="0.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M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AA143" s="48"/>
      <c r="AC143" s="48"/>
      <c r="AD143" s="48"/>
      <c r="AF143" s="48"/>
      <c r="AG143" s="48"/>
      <c r="AH143" s="48"/>
      <c r="AI143" s="48"/>
      <c r="AJ143" s="48"/>
      <c r="AK143" s="48"/>
      <c r="AL143" s="48"/>
      <c r="AM143" s="48"/>
      <c r="AO143" s="48"/>
      <c r="AQ143" s="48"/>
      <c r="AR143" s="48"/>
      <c r="AT143" s="48"/>
      <c r="AU143" s="48"/>
      <c r="AV143" s="48"/>
      <c r="AW143" s="48"/>
      <c r="AX143" s="48"/>
      <c r="AY143" s="48"/>
      <c r="AZ143" s="48"/>
      <c r="BA143" s="48"/>
      <c r="BC143" s="48"/>
      <c r="BD143" s="48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</row>
    <row r="144" spans="1:85" s="62" customFormat="1" ht="14.25" customHeight="1" x14ac:dyDescent="0.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M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AA144" s="48"/>
      <c r="AC144" s="48"/>
      <c r="AD144" s="48"/>
      <c r="AF144" s="48"/>
      <c r="AG144" s="48"/>
      <c r="AH144" s="48"/>
      <c r="AI144" s="48"/>
      <c r="AJ144" s="48"/>
      <c r="AK144" s="48"/>
      <c r="AL144" s="48"/>
      <c r="AM144" s="48"/>
      <c r="AO144" s="48"/>
      <c r="AQ144" s="48"/>
      <c r="AR144" s="48"/>
      <c r="AT144" s="48"/>
      <c r="AU144" s="48"/>
      <c r="AV144" s="48"/>
      <c r="AW144" s="48"/>
      <c r="AX144" s="48"/>
      <c r="AY144" s="48"/>
      <c r="AZ144" s="48"/>
      <c r="BA144" s="48"/>
      <c r="BC144" s="48"/>
      <c r="BD144" s="48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</row>
    <row r="145" spans="1:85" s="62" customFormat="1" ht="14.25" customHeight="1" x14ac:dyDescent="0.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M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AA145" s="48"/>
      <c r="AC145" s="48"/>
      <c r="AD145" s="48"/>
      <c r="AF145" s="48"/>
      <c r="AG145" s="48"/>
      <c r="AH145" s="48"/>
      <c r="AI145" s="48"/>
      <c r="AJ145" s="48"/>
      <c r="AK145" s="48"/>
      <c r="AL145" s="48"/>
      <c r="AM145" s="48"/>
      <c r="AO145" s="48"/>
      <c r="AQ145" s="48"/>
      <c r="AR145" s="48"/>
      <c r="AT145" s="48"/>
      <c r="AU145" s="48"/>
      <c r="AV145" s="48"/>
      <c r="AW145" s="48"/>
      <c r="AX145" s="48"/>
      <c r="AY145" s="48"/>
      <c r="AZ145" s="48"/>
      <c r="BA145" s="48"/>
      <c r="BC145" s="48"/>
      <c r="BD145" s="48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</row>
    <row r="146" spans="1:85" s="62" customFormat="1" ht="14.25" customHeight="1" x14ac:dyDescent="0.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M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AA146" s="48"/>
      <c r="AC146" s="48"/>
      <c r="AD146" s="48"/>
      <c r="AF146" s="48"/>
      <c r="AG146" s="48"/>
      <c r="AH146" s="48"/>
      <c r="AI146" s="48"/>
      <c r="AJ146" s="48"/>
      <c r="AK146" s="48"/>
      <c r="AL146" s="48"/>
      <c r="AM146" s="48"/>
      <c r="AO146" s="48"/>
      <c r="AQ146" s="48"/>
      <c r="AR146" s="48"/>
      <c r="AT146" s="48"/>
      <c r="AU146" s="48"/>
      <c r="AV146" s="48"/>
      <c r="AW146" s="48"/>
      <c r="AX146" s="48"/>
      <c r="AY146" s="48"/>
      <c r="AZ146" s="48"/>
      <c r="BA146" s="48"/>
      <c r="BC146" s="48"/>
      <c r="BD146" s="48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</row>
    <row r="147" spans="1:85" s="62" customFormat="1" ht="14.25" customHeight="1" x14ac:dyDescent="0.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M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AA147" s="48"/>
      <c r="AC147" s="48"/>
      <c r="AD147" s="48"/>
      <c r="AF147" s="48"/>
      <c r="AG147" s="48"/>
      <c r="AH147" s="48"/>
      <c r="AI147" s="48"/>
      <c r="AJ147" s="48"/>
      <c r="AK147" s="48"/>
      <c r="AL147" s="48"/>
      <c r="AM147" s="48"/>
      <c r="AO147" s="48"/>
      <c r="AQ147" s="48"/>
      <c r="AR147" s="48"/>
      <c r="AT147" s="48"/>
      <c r="AU147" s="48"/>
      <c r="AV147" s="48"/>
      <c r="AW147" s="48"/>
      <c r="AX147" s="48"/>
      <c r="AY147" s="48"/>
      <c r="AZ147" s="48"/>
      <c r="BA147" s="48"/>
      <c r="BC147" s="48"/>
      <c r="BD147" s="48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</row>
    <row r="148" spans="1:85" ht="14.25" customHeight="1" x14ac:dyDescent="0.3">
      <c r="AB148" s="48"/>
    </row>
    <row r="149" spans="1:85" ht="14.25" customHeight="1" x14ac:dyDescent="0.3">
      <c r="AB149" s="48"/>
    </row>
    <row r="150" spans="1:85" ht="14.25" customHeight="1" x14ac:dyDescent="0.3">
      <c r="AB150" s="48"/>
    </row>
    <row r="151" spans="1:85" ht="14.25" customHeight="1" x14ac:dyDescent="0.3">
      <c r="AB151" s="48"/>
    </row>
    <row r="152" spans="1:85" ht="14.25" customHeight="1" x14ac:dyDescent="0.3">
      <c r="AB152" s="48"/>
    </row>
    <row r="153" spans="1:85" ht="14.25" customHeight="1" x14ac:dyDescent="0.3">
      <c r="AB153" s="48"/>
    </row>
    <row r="154" spans="1:85" ht="14.25" customHeight="1" x14ac:dyDescent="0.3">
      <c r="AB154" s="48"/>
    </row>
    <row r="155" spans="1:85" ht="14.25" customHeight="1" x14ac:dyDescent="0.3">
      <c r="AB155" s="48"/>
    </row>
    <row r="156" spans="1:85" ht="14.25" customHeight="1" x14ac:dyDescent="0.3">
      <c r="AB156" s="48"/>
    </row>
    <row r="157" spans="1:85" ht="14.25" customHeight="1" x14ac:dyDescent="0.3">
      <c r="AB157" s="48"/>
    </row>
    <row r="158" spans="1:85" ht="14.25" customHeight="1" x14ac:dyDescent="0.3">
      <c r="AB158" s="48"/>
    </row>
    <row r="159" spans="1:85" ht="14.25" customHeight="1" x14ac:dyDescent="0.3">
      <c r="AB159" s="48"/>
    </row>
    <row r="160" spans="1:85" ht="14.25" customHeight="1" x14ac:dyDescent="0.3">
      <c r="AB160" s="48"/>
    </row>
    <row r="161" spans="28:28" ht="14.25" customHeight="1" x14ac:dyDescent="0.3">
      <c r="AB161" s="48"/>
    </row>
    <row r="162" spans="28:28" ht="14.25" customHeight="1" x14ac:dyDescent="0.3">
      <c r="AB162" s="48"/>
    </row>
    <row r="163" spans="28:28" ht="14.25" customHeight="1" x14ac:dyDescent="0.3">
      <c r="AB163" s="48"/>
    </row>
    <row r="164" spans="28:28" ht="14.25" customHeight="1" x14ac:dyDescent="0.3">
      <c r="AB164" s="48"/>
    </row>
    <row r="165" spans="28:28" ht="14.25" customHeight="1" x14ac:dyDescent="0.3">
      <c r="AB165" s="48"/>
    </row>
    <row r="166" spans="28:28" ht="14.25" customHeight="1" x14ac:dyDescent="0.3">
      <c r="AB166" s="48"/>
    </row>
    <row r="167" spans="28:28" ht="14.25" customHeight="1" x14ac:dyDescent="0.3">
      <c r="AB167" s="48"/>
    </row>
    <row r="168" spans="28:28" ht="14.25" customHeight="1" x14ac:dyDescent="0.3">
      <c r="AB168" s="48"/>
    </row>
    <row r="169" spans="28:28" ht="14.25" customHeight="1" x14ac:dyDescent="0.3">
      <c r="AB169" s="48"/>
    </row>
    <row r="170" spans="28:28" ht="14.25" customHeight="1" x14ac:dyDescent="0.3">
      <c r="AB170" s="48"/>
    </row>
    <row r="171" spans="28:28" ht="14.25" customHeight="1" x14ac:dyDescent="0.3">
      <c r="AB171" s="48"/>
    </row>
    <row r="172" spans="28:28" ht="14.25" customHeight="1" x14ac:dyDescent="0.3">
      <c r="AB172" s="48"/>
    </row>
    <row r="173" spans="28:28" ht="14.25" customHeight="1" x14ac:dyDescent="0.3">
      <c r="AB173" s="48"/>
    </row>
    <row r="174" spans="28:28" ht="14.25" customHeight="1" x14ac:dyDescent="0.3">
      <c r="AB174" s="48"/>
    </row>
    <row r="175" spans="28:28" ht="14.25" customHeight="1" x14ac:dyDescent="0.3">
      <c r="AB175" s="48"/>
    </row>
    <row r="176" spans="28:28" ht="14.25" customHeight="1" x14ac:dyDescent="0.3">
      <c r="AB176" s="48"/>
    </row>
    <row r="177" spans="28:28" ht="14.25" customHeight="1" x14ac:dyDescent="0.3">
      <c r="AB177" s="48"/>
    </row>
    <row r="178" spans="28:28" ht="14.25" customHeight="1" x14ac:dyDescent="0.3">
      <c r="AB178" s="48"/>
    </row>
    <row r="179" spans="28:28" ht="14.25" customHeight="1" x14ac:dyDescent="0.3">
      <c r="AB179" s="48"/>
    </row>
    <row r="180" spans="28:28" ht="14.25" customHeight="1" x14ac:dyDescent="0.3">
      <c r="AB180" s="48"/>
    </row>
    <row r="181" spans="28:28" ht="14.25" customHeight="1" x14ac:dyDescent="0.3">
      <c r="AB181" s="48"/>
    </row>
    <row r="182" spans="28:28" ht="14.25" customHeight="1" x14ac:dyDescent="0.3">
      <c r="AB182" s="48"/>
    </row>
    <row r="183" spans="28:28" ht="14.25" customHeight="1" x14ac:dyDescent="0.3">
      <c r="AB183" s="48"/>
    </row>
    <row r="184" spans="28:28" ht="14.25" customHeight="1" x14ac:dyDescent="0.3">
      <c r="AB184" s="48"/>
    </row>
    <row r="185" spans="28:28" ht="14.25" customHeight="1" x14ac:dyDescent="0.3">
      <c r="AB185" s="48"/>
    </row>
    <row r="186" spans="28:28" ht="14.25" customHeight="1" x14ac:dyDescent="0.3">
      <c r="AB186" s="48"/>
    </row>
    <row r="187" spans="28:28" ht="14.25" customHeight="1" x14ac:dyDescent="0.3">
      <c r="AB187" s="48"/>
    </row>
    <row r="188" spans="28:28" ht="14.25" customHeight="1" x14ac:dyDescent="0.3">
      <c r="AB188" s="48"/>
    </row>
    <row r="189" spans="28:28" ht="14.25" customHeight="1" x14ac:dyDescent="0.3">
      <c r="AB189" s="48"/>
    </row>
    <row r="190" spans="28:28" ht="14.25" customHeight="1" x14ac:dyDescent="0.3">
      <c r="AB190" s="48"/>
    </row>
    <row r="191" spans="28:28" ht="14.25" customHeight="1" x14ac:dyDescent="0.3">
      <c r="AB191" s="48"/>
    </row>
    <row r="192" spans="28:28" ht="14.25" customHeight="1" x14ac:dyDescent="0.3">
      <c r="AB192" s="48"/>
    </row>
    <row r="193" spans="28:28" ht="14.25" customHeight="1" x14ac:dyDescent="0.3">
      <c r="AB193" s="48"/>
    </row>
    <row r="194" spans="28:28" ht="14.25" customHeight="1" x14ac:dyDescent="0.3">
      <c r="AB194" s="48"/>
    </row>
    <row r="195" spans="28:28" ht="14.25" customHeight="1" x14ac:dyDescent="0.3">
      <c r="AB195" s="48"/>
    </row>
    <row r="196" spans="28:28" ht="14.25" customHeight="1" x14ac:dyDescent="0.3">
      <c r="AB196" s="48"/>
    </row>
    <row r="197" spans="28:28" ht="14.25" customHeight="1" x14ac:dyDescent="0.3">
      <c r="AB197" s="48"/>
    </row>
    <row r="198" spans="28:28" ht="14.25" customHeight="1" x14ac:dyDescent="0.3">
      <c r="AB198" s="48"/>
    </row>
    <row r="199" spans="28:28" ht="14.25" customHeight="1" x14ac:dyDescent="0.3">
      <c r="AB199" s="48"/>
    </row>
    <row r="200" spans="28:28" ht="14.25" customHeight="1" x14ac:dyDescent="0.3">
      <c r="AB200" s="48"/>
    </row>
    <row r="201" spans="28:28" ht="14.25" customHeight="1" x14ac:dyDescent="0.3">
      <c r="AB201" s="48"/>
    </row>
    <row r="202" spans="28:28" ht="14.25" customHeight="1" x14ac:dyDescent="0.3">
      <c r="AB202" s="48"/>
    </row>
    <row r="203" spans="28:28" ht="14.25" customHeight="1" x14ac:dyDescent="0.3">
      <c r="AB203" s="48"/>
    </row>
    <row r="204" spans="28:28" ht="14.25" customHeight="1" x14ac:dyDescent="0.3">
      <c r="AB204" s="48"/>
    </row>
    <row r="205" spans="28:28" ht="14.25" customHeight="1" x14ac:dyDescent="0.3">
      <c r="AB205" s="48"/>
    </row>
    <row r="206" spans="28:28" ht="14.25" customHeight="1" x14ac:dyDescent="0.3">
      <c r="AB206" s="48"/>
    </row>
    <row r="207" spans="28:28" ht="14.25" customHeight="1" x14ac:dyDescent="0.3">
      <c r="AB207" s="48"/>
    </row>
    <row r="208" spans="28:28" ht="14.25" customHeight="1" x14ac:dyDescent="0.3">
      <c r="AB208" s="48"/>
    </row>
    <row r="209" spans="28:28" ht="14.25" customHeight="1" x14ac:dyDescent="0.3">
      <c r="AB209" s="48"/>
    </row>
    <row r="210" spans="28:28" ht="14.25" customHeight="1" x14ac:dyDescent="0.3">
      <c r="AB210" s="48"/>
    </row>
    <row r="211" spans="28:28" ht="14.25" customHeight="1" x14ac:dyDescent="0.3">
      <c r="AB211" s="48"/>
    </row>
    <row r="212" spans="28:28" ht="14.25" customHeight="1" x14ac:dyDescent="0.3">
      <c r="AB212" s="48"/>
    </row>
    <row r="213" spans="28:28" ht="14.25" customHeight="1" x14ac:dyDescent="0.3">
      <c r="AB213" s="48"/>
    </row>
    <row r="214" spans="28:28" ht="14.25" customHeight="1" x14ac:dyDescent="0.3">
      <c r="AB214" s="48"/>
    </row>
    <row r="215" spans="28:28" ht="14.25" customHeight="1" x14ac:dyDescent="0.3">
      <c r="AB215" s="48"/>
    </row>
    <row r="216" spans="28:28" ht="14.25" customHeight="1" x14ac:dyDescent="0.3">
      <c r="AB216" s="48"/>
    </row>
    <row r="217" spans="28:28" ht="14.25" customHeight="1" x14ac:dyDescent="0.3">
      <c r="AB217" s="48"/>
    </row>
    <row r="218" spans="28:28" ht="14.25" customHeight="1" x14ac:dyDescent="0.3">
      <c r="AB218" s="48"/>
    </row>
    <row r="219" spans="28:28" ht="14.25" customHeight="1" x14ac:dyDescent="0.3">
      <c r="AB219" s="48"/>
    </row>
    <row r="220" spans="28:28" ht="14.25" customHeight="1" x14ac:dyDescent="0.3">
      <c r="AB220" s="48"/>
    </row>
    <row r="221" spans="28:28" ht="14.25" customHeight="1" x14ac:dyDescent="0.3">
      <c r="AB221" s="48"/>
    </row>
    <row r="222" spans="28:28" ht="14.25" customHeight="1" x14ac:dyDescent="0.3">
      <c r="AB222" s="48"/>
    </row>
    <row r="223" spans="28:28" ht="14.25" customHeight="1" x14ac:dyDescent="0.3">
      <c r="AB223" s="48"/>
    </row>
    <row r="224" spans="28:28" ht="14.25" customHeight="1" x14ac:dyDescent="0.3">
      <c r="AB224" s="48"/>
    </row>
    <row r="225" spans="28:28" ht="14.25" customHeight="1" x14ac:dyDescent="0.3">
      <c r="AB225" s="48"/>
    </row>
    <row r="226" spans="28:28" ht="14.25" customHeight="1" x14ac:dyDescent="0.3">
      <c r="AB226" s="48"/>
    </row>
    <row r="227" spans="28:28" ht="14.25" customHeight="1" x14ac:dyDescent="0.3">
      <c r="AB227" s="48"/>
    </row>
    <row r="228" spans="28:28" ht="14.25" customHeight="1" x14ac:dyDescent="0.3">
      <c r="AB228" s="48"/>
    </row>
    <row r="229" spans="28:28" ht="14.25" customHeight="1" x14ac:dyDescent="0.3">
      <c r="AB229" s="48"/>
    </row>
    <row r="230" spans="28:28" ht="14.25" customHeight="1" x14ac:dyDescent="0.3">
      <c r="AB230" s="48"/>
    </row>
    <row r="231" spans="28:28" ht="14.25" customHeight="1" x14ac:dyDescent="0.3">
      <c r="AB231" s="48"/>
    </row>
    <row r="232" spans="28:28" ht="14.25" customHeight="1" x14ac:dyDescent="0.3">
      <c r="AB232" s="48"/>
    </row>
    <row r="233" spans="28:28" ht="14.25" customHeight="1" x14ac:dyDescent="0.3">
      <c r="AB233" s="48"/>
    </row>
    <row r="234" spans="28:28" ht="14.25" customHeight="1" x14ac:dyDescent="0.3">
      <c r="AB234" s="48"/>
    </row>
    <row r="235" spans="28:28" ht="14.25" customHeight="1" x14ac:dyDescent="0.3">
      <c r="AB235" s="48"/>
    </row>
    <row r="236" spans="28:28" ht="14.25" customHeight="1" x14ac:dyDescent="0.3">
      <c r="AB236" s="48"/>
    </row>
    <row r="237" spans="28:28" ht="14.25" customHeight="1" x14ac:dyDescent="0.3">
      <c r="AB237" s="48"/>
    </row>
    <row r="238" spans="28:28" ht="14.25" customHeight="1" x14ac:dyDescent="0.3">
      <c r="AB238" s="48"/>
    </row>
    <row r="239" spans="28:28" ht="14.25" customHeight="1" x14ac:dyDescent="0.3">
      <c r="AB239" s="48"/>
    </row>
    <row r="240" spans="28:28" ht="14.25" customHeight="1" x14ac:dyDescent="0.3">
      <c r="AB240" s="48"/>
    </row>
    <row r="241" spans="28:28" ht="14.25" customHeight="1" x14ac:dyDescent="0.3">
      <c r="AB241" s="48"/>
    </row>
    <row r="242" spans="28:28" ht="14.25" customHeight="1" x14ac:dyDescent="0.3">
      <c r="AB242" s="48"/>
    </row>
    <row r="243" spans="28:28" ht="14.25" customHeight="1" x14ac:dyDescent="0.3">
      <c r="AB243" s="48"/>
    </row>
    <row r="244" spans="28:28" ht="14.25" customHeight="1" x14ac:dyDescent="0.3">
      <c r="AB244" s="48"/>
    </row>
    <row r="245" spans="28:28" ht="14.25" customHeight="1" x14ac:dyDescent="0.3">
      <c r="AB245" s="48"/>
    </row>
    <row r="246" spans="28:28" ht="14.25" customHeight="1" x14ac:dyDescent="0.3">
      <c r="AB246" s="48"/>
    </row>
    <row r="247" spans="28:28" ht="14.25" customHeight="1" x14ac:dyDescent="0.3">
      <c r="AB247" s="48"/>
    </row>
    <row r="248" spans="28:28" ht="14.25" customHeight="1" x14ac:dyDescent="0.3">
      <c r="AB248" s="48"/>
    </row>
    <row r="249" spans="28:28" ht="14.25" customHeight="1" x14ac:dyDescent="0.3">
      <c r="AB249" s="48"/>
    </row>
    <row r="250" spans="28:28" ht="14.25" customHeight="1" x14ac:dyDescent="0.3">
      <c r="AB250" s="48"/>
    </row>
    <row r="251" spans="28:28" ht="14.25" customHeight="1" x14ac:dyDescent="0.3">
      <c r="AB251" s="48"/>
    </row>
    <row r="252" spans="28:28" ht="14.25" customHeight="1" x14ac:dyDescent="0.3">
      <c r="AB252" s="48"/>
    </row>
    <row r="253" spans="28:28" ht="14.25" customHeight="1" x14ac:dyDescent="0.3">
      <c r="AB253" s="48"/>
    </row>
    <row r="254" spans="28:28" ht="14.25" customHeight="1" x14ac:dyDescent="0.3">
      <c r="AB254" s="48"/>
    </row>
    <row r="255" spans="28:28" ht="14.25" customHeight="1" x14ac:dyDescent="0.3">
      <c r="AB255" s="48"/>
    </row>
    <row r="256" spans="28:28" ht="14.25" customHeight="1" x14ac:dyDescent="0.3">
      <c r="AB256" s="48"/>
    </row>
    <row r="257" spans="28:28" ht="14.25" customHeight="1" x14ac:dyDescent="0.3">
      <c r="AB257" s="48"/>
    </row>
    <row r="258" spans="28:28" ht="14.25" customHeight="1" x14ac:dyDescent="0.3">
      <c r="AB258" s="48"/>
    </row>
    <row r="259" spans="28:28" ht="14.25" customHeight="1" x14ac:dyDescent="0.3">
      <c r="AB259" s="48"/>
    </row>
    <row r="260" spans="28:28" ht="14.25" customHeight="1" x14ac:dyDescent="0.3">
      <c r="AB260" s="48"/>
    </row>
    <row r="261" spans="28:28" ht="14.25" customHeight="1" x14ac:dyDescent="0.3">
      <c r="AB261" s="48"/>
    </row>
    <row r="262" spans="28:28" ht="14.25" customHeight="1" x14ac:dyDescent="0.3">
      <c r="AB262" s="48"/>
    </row>
    <row r="263" spans="28:28" ht="14.25" customHeight="1" x14ac:dyDescent="0.3">
      <c r="AB263" s="48"/>
    </row>
    <row r="264" spans="28:28" ht="14.25" customHeight="1" x14ac:dyDescent="0.3">
      <c r="AB264" s="48"/>
    </row>
    <row r="265" spans="28:28" ht="14.25" customHeight="1" x14ac:dyDescent="0.3">
      <c r="AB265" s="48"/>
    </row>
    <row r="266" spans="28:28" ht="14.25" customHeight="1" x14ac:dyDescent="0.3">
      <c r="AB266" s="48"/>
    </row>
    <row r="267" spans="28:28" ht="14.25" customHeight="1" x14ac:dyDescent="0.3">
      <c r="AB267" s="48"/>
    </row>
    <row r="268" spans="28:28" ht="14.25" customHeight="1" x14ac:dyDescent="0.3">
      <c r="AB268" s="48"/>
    </row>
    <row r="269" spans="28:28" ht="14.25" customHeight="1" x14ac:dyDescent="0.3">
      <c r="AB269" s="48"/>
    </row>
    <row r="270" spans="28:28" ht="14.25" customHeight="1" x14ac:dyDescent="0.3">
      <c r="AB270" s="48"/>
    </row>
    <row r="271" spans="28:28" ht="14.25" customHeight="1" x14ac:dyDescent="0.3">
      <c r="AB271" s="48"/>
    </row>
    <row r="272" spans="28:28" ht="14.25" customHeight="1" x14ac:dyDescent="0.3">
      <c r="AB272" s="48"/>
    </row>
    <row r="273" spans="28:28" ht="14.25" customHeight="1" x14ac:dyDescent="0.3">
      <c r="AB273" s="48"/>
    </row>
    <row r="274" spans="28:28" ht="14.25" customHeight="1" x14ac:dyDescent="0.3">
      <c r="AB274" s="48"/>
    </row>
    <row r="275" spans="28:28" ht="14.25" customHeight="1" x14ac:dyDescent="0.3">
      <c r="AB275" s="48"/>
    </row>
    <row r="276" spans="28:28" ht="14.25" customHeight="1" x14ac:dyDescent="0.3">
      <c r="AB276" s="48"/>
    </row>
    <row r="277" spans="28:28" ht="14.25" customHeight="1" x14ac:dyDescent="0.3">
      <c r="AB277" s="48"/>
    </row>
    <row r="278" spans="28:28" ht="14.25" customHeight="1" x14ac:dyDescent="0.3">
      <c r="AB278" s="48"/>
    </row>
    <row r="279" spans="28:28" ht="14.25" customHeight="1" x14ac:dyDescent="0.3">
      <c r="AB279" s="48"/>
    </row>
    <row r="280" spans="28:28" ht="14.25" customHeight="1" x14ac:dyDescent="0.3">
      <c r="AB280" s="48"/>
    </row>
    <row r="281" spans="28:28" ht="14.25" customHeight="1" x14ac:dyDescent="0.3">
      <c r="AB281" s="48"/>
    </row>
    <row r="282" spans="28:28" ht="14.25" customHeight="1" x14ac:dyDescent="0.3">
      <c r="AB282" s="48"/>
    </row>
    <row r="283" spans="28:28" ht="14.25" customHeight="1" x14ac:dyDescent="0.3">
      <c r="AB283" s="48"/>
    </row>
    <row r="284" spans="28:28" ht="14.25" customHeight="1" x14ac:dyDescent="0.3">
      <c r="AB284" s="48"/>
    </row>
    <row r="285" spans="28:28" ht="14.25" customHeight="1" x14ac:dyDescent="0.3">
      <c r="AB285" s="48"/>
    </row>
    <row r="286" spans="28:28" ht="14.25" customHeight="1" x14ac:dyDescent="0.3">
      <c r="AB286" s="48"/>
    </row>
    <row r="287" spans="28:28" ht="14.25" customHeight="1" x14ac:dyDescent="0.3">
      <c r="AB287" s="48"/>
    </row>
    <row r="288" spans="28:28" ht="14.25" customHeight="1" x14ac:dyDescent="0.3">
      <c r="AB288" s="48"/>
    </row>
    <row r="289" spans="28:28" ht="14.25" customHeight="1" x14ac:dyDescent="0.3">
      <c r="AB289" s="48"/>
    </row>
    <row r="290" spans="28:28" ht="14.25" customHeight="1" x14ac:dyDescent="0.3">
      <c r="AB290" s="48"/>
    </row>
    <row r="291" spans="28:28" ht="14.25" customHeight="1" x14ac:dyDescent="0.3">
      <c r="AB291" s="48"/>
    </row>
    <row r="292" spans="28:28" ht="14.25" customHeight="1" x14ac:dyDescent="0.3">
      <c r="AB292" s="48"/>
    </row>
    <row r="293" spans="28:28" ht="14.25" customHeight="1" x14ac:dyDescent="0.3">
      <c r="AB293" s="48"/>
    </row>
    <row r="294" spans="28:28" ht="14.25" customHeight="1" x14ac:dyDescent="0.3">
      <c r="AB294" s="48"/>
    </row>
    <row r="295" spans="28:28" ht="14.25" customHeight="1" x14ac:dyDescent="0.3">
      <c r="AB295" s="48"/>
    </row>
    <row r="296" spans="28:28" ht="14.25" customHeight="1" x14ac:dyDescent="0.3">
      <c r="AB296" s="48"/>
    </row>
    <row r="297" spans="28:28" ht="14.25" customHeight="1" x14ac:dyDescent="0.3">
      <c r="AB297" s="48"/>
    </row>
    <row r="298" spans="28:28" ht="14.25" customHeight="1" x14ac:dyDescent="0.3">
      <c r="AB298" s="48"/>
    </row>
    <row r="299" spans="28:28" ht="14.25" customHeight="1" x14ac:dyDescent="0.3">
      <c r="AB299" s="48"/>
    </row>
    <row r="300" spans="28:28" ht="14.25" customHeight="1" x14ac:dyDescent="0.3">
      <c r="AB300" s="48"/>
    </row>
    <row r="301" spans="28:28" ht="14.25" customHeight="1" x14ac:dyDescent="0.3">
      <c r="AB301" s="48"/>
    </row>
    <row r="302" spans="28:28" ht="14.25" customHeight="1" x14ac:dyDescent="0.3">
      <c r="AB302" s="48"/>
    </row>
    <row r="303" spans="28:28" ht="14.25" customHeight="1" x14ac:dyDescent="0.3">
      <c r="AB303" s="48"/>
    </row>
    <row r="304" spans="28:28" ht="14.25" customHeight="1" x14ac:dyDescent="0.3">
      <c r="AB304" s="48"/>
    </row>
    <row r="305" spans="28:28" ht="14.25" customHeight="1" x14ac:dyDescent="0.3">
      <c r="AB305" s="48"/>
    </row>
    <row r="306" spans="28:28" ht="14.25" customHeight="1" x14ac:dyDescent="0.3">
      <c r="AB306" s="48"/>
    </row>
    <row r="307" spans="28:28" ht="14.25" customHeight="1" x14ac:dyDescent="0.3">
      <c r="AB307" s="48"/>
    </row>
    <row r="308" spans="28:28" ht="14.25" customHeight="1" x14ac:dyDescent="0.3">
      <c r="AB308" s="48"/>
    </row>
    <row r="309" spans="28:28" ht="14.25" customHeight="1" x14ac:dyDescent="0.3">
      <c r="AB309" s="48"/>
    </row>
    <row r="310" spans="28:28" ht="14.25" customHeight="1" x14ac:dyDescent="0.3">
      <c r="AB310" s="48"/>
    </row>
    <row r="311" spans="28:28" ht="14.25" customHeight="1" x14ac:dyDescent="0.3">
      <c r="AB311" s="48"/>
    </row>
    <row r="312" spans="28:28" ht="14.25" customHeight="1" x14ac:dyDescent="0.3">
      <c r="AB312" s="48"/>
    </row>
    <row r="313" spans="28:28" ht="14.25" customHeight="1" x14ac:dyDescent="0.3">
      <c r="AB313" s="48"/>
    </row>
    <row r="314" spans="28:28" ht="14.25" customHeight="1" x14ac:dyDescent="0.3">
      <c r="AB314" s="48"/>
    </row>
    <row r="315" spans="28:28" ht="14.25" customHeight="1" x14ac:dyDescent="0.3">
      <c r="AB315" s="48"/>
    </row>
    <row r="316" spans="28:28" ht="14.25" customHeight="1" x14ac:dyDescent="0.3">
      <c r="AB316" s="48"/>
    </row>
    <row r="317" spans="28:28" ht="14.25" customHeight="1" x14ac:dyDescent="0.3">
      <c r="AB317" s="48"/>
    </row>
    <row r="318" spans="28:28" ht="14.25" customHeight="1" x14ac:dyDescent="0.3">
      <c r="AB318" s="48"/>
    </row>
    <row r="319" spans="28:28" ht="14.25" customHeight="1" x14ac:dyDescent="0.3">
      <c r="AB319" s="48"/>
    </row>
    <row r="320" spans="28:28" ht="14.25" customHeight="1" x14ac:dyDescent="0.3">
      <c r="AB320" s="48"/>
    </row>
    <row r="321" spans="28:28" ht="14.25" customHeight="1" x14ac:dyDescent="0.3">
      <c r="AB321" s="48"/>
    </row>
    <row r="322" spans="28:28" ht="14.25" customHeight="1" x14ac:dyDescent="0.3">
      <c r="AB322" s="48"/>
    </row>
    <row r="323" spans="28:28" ht="14.25" customHeight="1" x14ac:dyDescent="0.3">
      <c r="AB323" s="48"/>
    </row>
    <row r="324" spans="28:28" ht="14.25" customHeight="1" x14ac:dyDescent="0.3">
      <c r="AB324" s="48"/>
    </row>
    <row r="325" spans="28:28" ht="14.25" customHeight="1" x14ac:dyDescent="0.3">
      <c r="AB325" s="48"/>
    </row>
    <row r="326" spans="28:28" ht="14.25" customHeight="1" x14ac:dyDescent="0.3">
      <c r="AB326" s="48"/>
    </row>
    <row r="327" spans="28:28" ht="14.25" customHeight="1" x14ac:dyDescent="0.3">
      <c r="AB327" s="48"/>
    </row>
    <row r="328" spans="28:28" ht="14.25" customHeight="1" x14ac:dyDescent="0.3">
      <c r="AB328" s="48"/>
    </row>
    <row r="329" spans="28:28" ht="14.25" customHeight="1" x14ac:dyDescent="0.3">
      <c r="AB329" s="48"/>
    </row>
    <row r="330" spans="28:28" ht="14.25" customHeight="1" x14ac:dyDescent="0.3">
      <c r="AB330" s="48"/>
    </row>
    <row r="331" spans="28:28" ht="14.25" customHeight="1" x14ac:dyDescent="0.3">
      <c r="AB331" s="48"/>
    </row>
    <row r="332" spans="28:28" ht="14.25" customHeight="1" x14ac:dyDescent="0.3">
      <c r="AB332" s="48"/>
    </row>
    <row r="333" spans="28:28" ht="14.25" customHeight="1" x14ac:dyDescent="0.3">
      <c r="AB333" s="48"/>
    </row>
    <row r="334" spans="28:28" ht="14.25" customHeight="1" x14ac:dyDescent="0.3">
      <c r="AB334" s="48"/>
    </row>
    <row r="335" spans="28:28" ht="14.25" customHeight="1" x14ac:dyDescent="0.3">
      <c r="AB335" s="48"/>
    </row>
    <row r="336" spans="28:28" ht="14.25" customHeight="1" x14ac:dyDescent="0.3">
      <c r="AB336" s="48"/>
    </row>
    <row r="337" spans="28:28" ht="14.25" customHeight="1" x14ac:dyDescent="0.3">
      <c r="AB337" s="48"/>
    </row>
    <row r="338" spans="28:28" ht="14.25" customHeight="1" x14ac:dyDescent="0.3">
      <c r="AB338" s="48"/>
    </row>
    <row r="339" spans="28:28" ht="14.25" customHeight="1" x14ac:dyDescent="0.3">
      <c r="AB339" s="48"/>
    </row>
    <row r="340" spans="28:28" ht="14.25" customHeight="1" x14ac:dyDescent="0.3">
      <c r="AB340" s="48"/>
    </row>
    <row r="341" spans="28:28" ht="14.25" customHeight="1" x14ac:dyDescent="0.3">
      <c r="AB341" s="48"/>
    </row>
    <row r="342" spans="28:28" ht="14.25" customHeight="1" x14ac:dyDescent="0.3">
      <c r="AB342" s="48"/>
    </row>
    <row r="343" spans="28:28" ht="14.25" customHeight="1" x14ac:dyDescent="0.3">
      <c r="AB343" s="48"/>
    </row>
    <row r="344" spans="28:28" ht="14.25" customHeight="1" x14ac:dyDescent="0.3">
      <c r="AB344" s="48"/>
    </row>
    <row r="345" spans="28:28" ht="14.25" customHeight="1" x14ac:dyDescent="0.3">
      <c r="AB345" s="48"/>
    </row>
    <row r="346" spans="28:28" ht="14.25" customHeight="1" x14ac:dyDescent="0.3">
      <c r="AB346" s="48"/>
    </row>
    <row r="347" spans="28:28" ht="14.25" customHeight="1" x14ac:dyDescent="0.3">
      <c r="AB347" s="48"/>
    </row>
    <row r="348" spans="28:28" ht="14.25" customHeight="1" x14ac:dyDescent="0.3">
      <c r="AB348" s="48"/>
    </row>
    <row r="349" spans="28:28" ht="14.25" customHeight="1" x14ac:dyDescent="0.3">
      <c r="AB349" s="48"/>
    </row>
    <row r="350" spans="28:28" ht="14.25" customHeight="1" x14ac:dyDescent="0.3">
      <c r="AB350" s="48"/>
    </row>
    <row r="351" spans="28:28" ht="14.25" customHeight="1" x14ac:dyDescent="0.3">
      <c r="AB351" s="48"/>
    </row>
    <row r="352" spans="28:28" ht="14.25" customHeight="1" x14ac:dyDescent="0.3">
      <c r="AB352" s="48"/>
    </row>
    <row r="353" spans="28:28" ht="14.25" customHeight="1" x14ac:dyDescent="0.3">
      <c r="AB353" s="48"/>
    </row>
    <row r="354" spans="28:28" ht="14.25" customHeight="1" x14ac:dyDescent="0.3">
      <c r="AB354" s="48"/>
    </row>
    <row r="355" spans="28:28" ht="14.25" customHeight="1" x14ac:dyDescent="0.3">
      <c r="AB355" s="48"/>
    </row>
    <row r="356" spans="28:28" ht="14.25" customHeight="1" x14ac:dyDescent="0.3">
      <c r="AB356" s="48"/>
    </row>
    <row r="357" spans="28:28" ht="14.25" customHeight="1" x14ac:dyDescent="0.3">
      <c r="AB357" s="48"/>
    </row>
    <row r="358" spans="28:28" ht="14.25" customHeight="1" x14ac:dyDescent="0.3">
      <c r="AB358" s="48"/>
    </row>
    <row r="359" spans="28:28" ht="14.25" customHeight="1" x14ac:dyDescent="0.3">
      <c r="AB359" s="48"/>
    </row>
    <row r="360" spans="28:28" ht="14.25" customHeight="1" x14ac:dyDescent="0.3">
      <c r="AB360" s="48"/>
    </row>
    <row r="361" spans="28:28" ht="14.25" customHeight="1" x14ac:dyDescent="0.3">
      <c r="AB361" s="48"/>
    </row>
    <row r="362" spans="28:28" ht="14.25" customHeight="1" x14ac:dyDescent="0.3">
      <c r="AB362" s="48"/>
    </row>
    <row r="363" spans="28:28" ht="14.25" customHeight="1" x14ac:dyDescent="0.3">
      <c r="AB363" s="48"/>
    </row>
    <row r="364" spans="28:28" ht="14.25" customHeight="1" x14ac:dyDescent="0.3">
      <c r="AB364" s="48"/>
    </row>
    <row r="365" spans="28:28" ht="14.25" customHeight="1" x14ac:dyDescent="0.3">
      <c r="AB365" s="48"/>
    </row>
    <row r="366" spans="28:28" ht="14.25" customHeight="1" x14ac:dyDescent="0.3">
      <c r="AB366" s="48"/>
    </row>
    <row r="367" spans="28:28" ht="14.25" customHeight="1" x14ac:dyDescent="0.3">
      <c r="AB367" s="48"/>
    </row>
    <row r="368" spans="28:28" ht="14.25" customHeight="1" x14ac:dyDescent="0.3">
      <c r="AB368" s="48"/>
    </row>
    <row r="369" spans="28:28" ht="14.25" customHeight="1" x14ac:dyDescent="0.3">
      <c r="AB369" s="48"/>
    </row>
    <row r="370" spans="28:28" ht="14.25" customHeight="1" x14ac:dyDescent="0.3">
      <c r="AB370" s="48"/>
    </row>
    <row r="371" spans="28:28" ht="14.25" customHeight="1" x14ac:dyDescent="0.3">
      <c r="AB371" s="48"/>
    </row>
    <row r="372" spans="28:28" ht="14.25" customHeight="1" x14ac:dyDescent="0.3">
      <c r="AB372" s="48"/>
    </row>
    <row r="373" spans="28:28" ht="14.25" customHeight="1" x14ac:dyDescent="0.3">
      <c r="AB373" s="48"/>
    </row>
    <row r="374" spans="28:28" ht="14.25" customHeight="1" x14ac:dyDescent="0.3">
      <c r="AB374" s="48"/>
    </row>
    <row r="375" spans="28:28" ht="14.25" customHeight="1" x14ac:dyDescent="0.3">
      <c r="AB375" s="48"/>
    </row>
    <row r="376" spans="28:28" ht="14.25" customHeight="1" x14ac:dyDescent="0.3">
      <c r="AB376" s="48"/>
    </row>
    <row r="377" spans="28:28" ht="14.25" customHeight="1" x14ac:dyDescent="0.3">
      <c r="AB377" s="48"/>
    </row>
    <row r="378" spans="28:28" ht="14.25" customHeight="1" x14ac:dyDescent="0.3">
      <c r="AB378" s="48"/>
    </row>
    <row r="379" spans="28:28" ht="14.25" customHeight="1" x14ac:dyDescent="0.3">
      <c r="AB379" s="48"/>
    </row>
    <row r="380" spans="28:28" ht="14.25" customHeight="1" x14ac:dyDescent="0.3">
      <c r="AB380" s="48"/>
    </row>
    <row r="381" spans="28:28" ht="14.25" customHeight="1" x14ac:dyDescent="0.3">
      <c r="AB381" s="48"/>
    </row>
    <row r="382" spans="28:28" ht="14.25" customHeight="1" x14ac:dyDescent="0.3">
      <c r="AB382" s="48"/>
    </row>
    <row r="383" spans="28:28" ht="14.25" customHeight="1" x14ac:dyDescent="0.3">
      <c r="AB383" s="48"/>
    </row>
    <row r="384" spans="28:28" ht="14.25" customHeight="1" x14ac:dyDescent="0.3">
      <c r="AB384" s="48"/>
    </row>
    <row r="385" spans="28:28" ht="14.25" customHeight="1" x14ac:dyDescent="0.3">
      <c r="AB385" s="48"/>
    </row>
    <row r="386" spans="28:28" ht="14.25" customHeight="1" x14ac:dyDescent="0.3">
      <c r="AB386" s="48"/>
    </row>
    <row r="387" spans="28:28" ht="14.25" customHeight="1" x14ac:dyDescent="0.3">
      <c r="AB387" s="48"/>
    </row>
    <row r="388" spans="28:28" ht="14.25" customHeight="1" x14ac:dyDescent="0.3">
      <c r="AB388" s="48"/>
    </row>
    <row r="389" spans="28:28" ht="14.25" customHeight="1" x14ac:dyDescent="0.3">
      <c r="AB389" s="48"/>
    </row>
    <row r="390" spans="28:28" ht="14.25" customHeight="1" x14ac:dyDescent="0.3">
      <c r="AB390" s="48"/>
    </row>
    <row r="391" spans="28:28" ht="14.25" customHeight="1" x14ac:dyDescent="0.3">
      <c r="AB391" s="48"/>
    </row>
    <row r="392" spans="28:28" ht="14.25" customHeight="1" x14ac:dyDescent="0.3">
      <c r="AB392" s="48"/>
    </row>
    <row r="393" spans="28:28" ht="14.25" customHeight="1" x14ac:dyDescent="0.3">
      <c r="AB393" s="48"/>
    </row>
    <row r="394" spans="28:28" ht="14.25" customHeight="1" x14ac:dyDescent="0.3">
      <c r="AB394" s="48"/>
    </row>
    <row r="395" spans="28:28" ht="14.25" customHeight="1" x14ac:dyDescent="0.3">
      <c r="AB395" s="48"/>
    </row>
    <row r="396" spans="28:28" ht="14.25" customHeight="1" x14ac:dyDescent="0.3">
      <c r="AB396" s="48"/>
    </row>
    <row r="397" spans="28:28" ht="14.25" customHeight="1" x14ac:dyDescent="0.3">
      <c r="AB397" s="48"/>
    </row>
    <row r="398" spans="28:28" ht="14.25" customHeight="1" x14ac:dyDescent="0.3">
      <c r="AB398" s="48"/>
    </row>
    <row r="399" spans="28:28" ht="14.25" customHeight="1" x14ac:dyDescent="0.3">
      <c r="AB399" s="48"/>
    </row>
    <row r="400" spans="28:28" ht="14.25" customHeight="1" x14ac:dyDescent="0.3">
      <c r="AB400" s="48"/>
    </row>
    <row r="401" spans="28:28" ht="14.25" customHeight="1" x14ac:dyDescent="0.3">
      <c r="AB401" s="48"/>
    </row>
    <row r="402" spans="28:28" ht="14.25" customHeight="1" x14ac:dyDescent="0.3">
      <c r="AB402" s="48"/>
    </row>
    <row r="403" spans="28:28" ht="14.25" customHeight="1" x14ac:dyDescent="0.3">
      <c r="AB403" s="48"/>
    </row>
    <row r="404" spans="28:28" ht="14.25" customHeight="1" x14ac:dyDescent="0.3">
      <c r="AB404" s="48"/>
    </row>
    <row r="405" spans="28:28" ht="14.25" customHeight="1" x14ac:dyDescent="0.3">
      <c r="AB405" s="48"/>
    </row>
    <row r="406" spans="28:28" ht="14.25" customHeight="1" x14ac:dyDescent="0.3">
      <c r="AB406" s="48"/>
    </row>
    <row r="407" spans="28:28" ht="14.25" customHeight="1" x14ac:dyDescent="0.3">
      <c r="AB407" s="48"/>
    </row>
    <row r="408" spans="28:28" ht="14.25" customHeight="1" x14ac:dyDescent="0.3">
      <c r="AB408" s="48"/>
    </row>
    <row r="409" spans="28:28" ht="14.25" customHeight="1" x14ac:dyDescent="0.3">
      <c r="AB409" s="48"/>
    </row>
    <row r="410" spans="28:28" ht="14.25" customHeight="1" x14ac:dyDescent="0.3">
      <c r="AB410" s="48"/>
    </row>
    <row r="411" spans="28:28" ht="14.25" customHeight="1" x14ac:dyDescent="0.3">
      <c r="AB411" s="48"/>
    </row>
    <row r="412" spans="28:28" ht="14.25" customHeight="1" x14ac:dyDescent="0.3">
      <c r="AB412" s="48"/>
    </row>
    <row r="413" spans="28:28" ht="14.25" customHeight="1" x14ac:dyDescent="0.3">
      <c r="AB413" s="48"/>
    </row>
    <row r="414" spans="28:28" ht="14.25" customHeight="1" x14ac:dyDescent="0.3">
      <c r="AB414" s="48"/>
    </row>
    <row r="415" spans="28:28" ht="14.25" customHeight="1" x14ac:dyDescent="0.3">
      <c r="AB415" s="48"/>
    </row>
    <row r="416" spans="28:28" ht="14.25" customHeight="1" x14ac:dyDescent="0.3">
      <c r="AB416" s="48"/>
    </row>
    <row r="417" spans="28:28" ht="14.25" customHeight="1" x14ac:dyDescent="0.3">
      <c r="AB417" s="48"/>
    </row>
    <row r="418" spans="28:28" ht="14.25" customHeight="1" x14ac:dyDescent="0.3">
      <c r="AB418" s="48"/>
    </row>
    <row r="419" spans="28:28" ht="14.25" customHeight="1" x14ac:dyDescent="0.3">
      <c r="AB419" s="48"/>
    </row>
    <row r="420" spans="28:28" ht="14.25" customHeight="1" x14ac:dyDescent="0.3">
      <c r="AB420" s="48"/>
    </row>
    <row r="421" spans="28:28" ht="14.25" customHeight="1" x14ac:dyDescent="0.3">
      <c r="AB421" s="48"/>
    </row>
    <row r="422" spans="28:28" ht="14.25" customHeight="1" x14ac:dyDescent="0.3">
      <c r="AB422" s="48"/>
    </row>
    <row r="423" spans="28:28" ht="14.25" customHeight="1" x14ac:dyDescent="0.3">
      <c r="AB423" s="48"/>
    </row>
    <row r="424" spans="28:28" ht="14.25" customHeight="1" x14ac:dyDescent="0.3">
      <c r="AB424" s="48"/>
    </row>
    <row r="425" spans="28:28" ht="14.25" customHeight="1" x14ac:dyDescent="0.3">
      <c r="AB425" s="48"/>
    </row>
    <row r="426" spans="28:28" ht="14.25" customHeight="1" x14ac:dyDescent="0.3">
      <c r="AB426" s="48"/>
    </row>
    <row r="427" spans="28:28" ht="14.25" customHeight="1" x14ac:dyDescent="0.3">
      <c r="AB427" s="48"/>
    </row>
    <row r="428" spans="28:28" ht="14.25" customHeight="1" x14ac:dyDescent="0.3">
      <c r="AB428" s="48"/>
    </row>
    <row r="429" spans="28:28" ht="14.25" customHeight="1" x14ac:dyDescent="0.3">
      <c r="AB429" s="48"/>
    </row>
    <row r="430" spans="28:28" ht="14.25" customHeight="1" x14ac:dyDescent="0.3">
      <c r="AB430" s="48"/>
    </row>
    <row r="431" spans="28:28" ht="14.25" customHeight="1" x14ac:dyDescent="0.3">
      <c r="AB431" s="48"/>
    </row>
    <row r="432" spans="28:28" ht="14.25" customHeight="1" x14ac:dyDescent="0.3">
      <c r="AB432" s="48"/>
    </row>
    <row r="433" spans="28:28" ht="14.25" customHeight="1" x14ac:dyDescent="0.3">
      <c r="AB433" s="48"/>
    </row>
    <row r="434" spans="28:28" ht="14.25" customHeight="1" x14ac:dyDescent="0.3">
      <c r="AB434" s="48"/>
    </row>
    <row r="435" spans="28:28" ht="14.25" customHeight="1" x14ac:dyDescent="0.3">
      <c r="AB435" s="48"/>
    </row>
    <row r="436" spans="28:28" ht="14.25" customHeight="1" x14ac:dyDescent="0.3">
      <c r="AB436" s="48"/>
    </row>
    <row r="437" spans="28:28" ht="14.25" customHeight="1" x14ac:dyDescent="0.3">
      <c r="AB437" s="48"/>
    </row>
    <row r="438" spans="28:28" ht="14.25" customHeight="1" x14ac:dyDescent="0.3">
      <c r="AB438" s="48"/>
    </row>
    <row r="439" spans="28:28" ht="14.25" customHeight="1" x14ac:dyDescent="0.3">
      <c r="AB439" s="48"/>
    </row>
    <row r="440" spans="28:28" ht="14.25" customHeight="1" x14ac:dyDescent="0.3">
      <c r="AB440" s="48"/>
    </row>
    <row r="441" spans="28:28" ht="14.25" customHeight="1" x14ac:dyDescent="0.3">
      <c r="AB441" s="48"/>
    </row>
    <row r="442" spans="28:28" ht="14.25" customHeight="1" x14ac:dyDescent="0.3">
      <c r="AB442" s="48"/>
    </row>
    <row r="443" spans="28:28" ht="14.25" customHeight="1" x14ac:dyDescent="0.3">
      <c r="AB443" s="48"/>
    </row>
    <row r="444" spans="28:28" ht="14.25" customHeight="1" x14ac:dyDescent="0.3">
      <c r="AB444" s="48"/>
    </row>
    <row r="445" spans="28:28" ht="14.25" customHeight="1" x14ac:dyDescent="0.3">
      <c r="AB445" s="48"/>
    </row>
    <row r="446" spans="28:28" ht="14.25" customHeight="1" x14ac:dyDescent="0.3">
      <c r="AB446" s="48"/>
    </row>
    <row r="447" spans="28:28" ht="14.25" customHeight="1" x14ac:dyDescent="0.3">
      <c r="AB447" s="48"/>
    </row>
    <row r="448" spans="28:28" ht="14.25" customHeight="1" x14ac:dyDescent="0.3">
      <c r="AB448" s="48"/>
    </row>
    <row r="449" spans="28:28" ht="14.25" customHeight="1" x14ac:dyDescent="0.3">
      <c r="AB449" s="48"/>
    </row>
    <row r="450" spans="28:28" ht="14.25" customHeight="1" x14ac:dyDescent="0.3">
      <c r="AB450" s="48"/>
    </row>
    <row r="451" spans="28:28" ht="14.25" customHeight="1" x14ac:dyDescent="0.3">
      <c r="AB451" s="48"/>
    </row>
    <row r="452" spans="28:28" ht="14.25" customHeight="1" x14ac:dyDescent="0.3">
      <c r="AB452" s="48"/>
    </row>
    <row r="453" spans="28:28" ht="14.25" customHeight="1" x14ac:dyDescent="0.3">
      <c r="AB453" s="48"/>
    </row>
    <row r="454" spans="28:28" ht="14.25" customHeight="1" x14ac:dyDescent="0.3">
      <c r="AB454" s="48"/>
    </row>
    <row r="455" spans="28:28" ht="14.25" customHeight="1" x14ac:dyDescent="0.3">
      <c r="AB455" s="48"/>
    </row>
    <row r="456" spans="28:28" ht="14.25" customHeight="1" x14ac:dyDescent="0.3">
      <c r="AB456" s="48"/>
    </row>
    <row r="457" spans="28:28" ht="14.25" customHeight="1" x14ac:dyDescent="0.3">
      <c r="AB457" s="48"/>
    </row>
    <row r="458" spans="28:28" ht="14.25" customHeight="1" x14ac:dyDescent="0.3">
      <c r="AB458" s="48"/>
    </row>
    <row r="459" spans="28:28" ht="14.25" customHeight="1" x14ac:dyDescent="0.3">
      <c r="AB459" s="48"/>
    </row>
    <row r="460" spans="28:28" ht="14.25" customHeight="1" x14ac:dyDescent="0.3">
      <c r="AB460" s="48"/>
    </row>
    <row r="461" spans="28:28" ht="14.25" customHeight="1" x14ac:dyDescent="0.3">
      <c r="AB461" s="48"/>
    </row>
    <row r="462" spans="28:28" ht="14.25" customHeight="1" x14ac:dyDescent="0.3">
      <c r="AB462" s="48"/>
    </row>
    <row r="463" spans="28:28" ht="14.25" customHeight="1" x14ac:dyDescent="0.3">
      <c r="AB463" s="48"/>
    </row>
    <row r="464" spans="28:28" ht="14.25" customHeight="1" x14ac:dyDescent="0.3">
      <c r="AB464" s="48"/>
    </row>
    <row r="465" spans="28:28" ht="14.25" customHeight="1" x14ac:dyDescent="0.3">
      <c r="AB465" s="48"/>
    </row>
    <row r="466" spans="28:28" ht="14.25" customHeight="1" x14ac:dyDescent="0.3">
      <c r="AB466" s="48"/>
    </row>
    <row r="467" spans="28:28" ht="14.25" customHeight="1" x14ac:dyDescent="0.3">
      <c r="AB467" s="48"/>
    </row>
    <row r="468" spans="28:28" ht="14.25" customHeight="1" x14ac:dyDescent="0.3">
      <c r="AB468" s="48"/>
    </row>
    <row r="469" spans="28:28" ht="14.25" customHeight="1" x14ac:dyDescent="0.3">
      <c r="AB469" s="48"/>
    </row>
    <row r="470" spans="28:28" ht="14.25" customHeight="1" x14ac:dyDescent="0.3">
      <c r="AB470" s="48"/>
    </row>
    <row r="471" spans="28:28" ht="14.25" customHeight="1" x14ac:dyDescent="0.3">
      <c r="AB471" s="48"/>
    </row>
    <row r="472" spans="28:28" ht="14.25" customHeight="1" x14ac:dyDescent="0.3">
      <c r="AB472" s="48"/>
    </row>
    <row r="473" spans="28:28" ht="14.25" customHeight="1" x14ac:dyDescent="0.3">
      <c r="AB473" s="48"/>
    </row>
    <row r="474" spans="28:28" ht="14.25" customHeight="1" x14ac:dyDescent="0.3">
      <c r="AB474" s="48"/>
    </row>
    <row r="475" spans="28:28" ht="14.25" customHeight="1" x14ac:dyDescent="0.3">
      <c r="AB475" s="48"/>
    </row>
    <row r="476" spans="28:28" ht="14.25" customHeight="1" x14ac:dyDescent="0.3">
      <c r="AB476" s="48"/>
    </row>
    <row r="477" spans="28:28" ht="14.25" customHeight="1" x14ac:dyDescent="0.3">
      <c r="AB477" s="48"/>
    </row>
    <row r="478" spans="28:28" ht="14.25" customHeight="1" x14ac:dyDescent="0.3">
      <c r="AB478" s="48"/>
    </row>
    <row r="479" spans="28:28" ht="14.25" customHeight="1" x14ac:dyDescent="0.3">
      <c r="AB479" s="48"/>
    </row>
    <row r="480" spans="28:28" ht="14.25" customHeight="1" x14ac:dyDescent="0.3">
      <c r="AB480" s="48"/>
    </row>
    <row r="481" spans="28:28" ht="14.25" customHeight="1" x14ac:dyDescent="0.3">
      <c r="AB481" s="48"/>
    </row>
    <row r="482" spans="28:28" ht="14.25" customHeight="1" x14ac:dyDescent="0.3">
      <c r="AB482" s="48"/>
    </row>
    <row r="483" spans="28:28" ht="14.25" customHeight="1" x14ac:dyDescent="0.3">
      <c r="AB483" s="48"/>
    </row>
    <row r="484" spans="28:28" ht="14.25" customHeight="1" x14ac:dyDescent="0.3">
      <c r="AB484" s="48"/>
    </row>
    <row r="485" spans="28:28" ht="14.25" customHeight="1" x14ac:dyDescent="0.3">
      <c r="AB485" s="48"/>
    </row>
    <row r="486" spans="28:28" ht="14.25" customHeight="1" x14ac:dyDescent="0.3">
      <c r="AB486" s="48"/>
    </row>
    <row r="487" spans="28:28" ht="14.25" customHeight="1" x14ac:dyDescent="0.3">
      <c r="AB487" s="48"/>
    </row>
    <row r="488" spans="28:28" ht="14.25" customHeight="1" x14ac:dyDescent="0.3">
      <c r="AB488" s="48"/>
    </row>
    <row r="489" spans="28:28" ht="14.25" customHeight="1" x14ac:dyDescent="0.3">
      <c r="AB489" s="48"/>
    </row>
    <row r="490" spans="28:28" ht="14.25" customHeight="1" x14ac:dyDescent="0.3">
      <c r="AB490" s="48"/>
    </row>
    <row r="491" spans="28:28" ht="14.25" customHeight="1" x14ac:dyDescent="0.3">
      <c r="AB491" s="48"/>
    </row>
    <row r="492" spans="28:28" ht="14.25" customHeight="1" x14ac:dyDescent="0.3">
      <c r="AB492" s="48"/>
    </row>
    <row r="493" spans="28:28" ht="14.25" customHeight="1" x14ac:dyDescent="0.3">
      <c r="AB493" s="48"/>
    </row>
    <row r="494" spans="28:28" ht="14.25" customHeight="1" x14ac:dyDescent="0.3">
      <c r="AB494" s="48"/>
    </row>
    <row r="495" spans="28:28" ht="14.25" customHeight="1" x14ac:dyDescent="0.3">
      <c r="AB495" s="48"/>
    </row>
    <row r="496" spans="28:28" ht="14.25" customHeight="1" x14ac:dyDescent="0.3">
      <c r="AB496" s="48"/>
    </row>
    <row r="497" spans="28:28" ht="14.25" customHeight="1" x14ac:dyDescent="0.3">
      <c r="AB497" s="48"/>
    </row>
    <row r="498" spans="28:28" ht="14.25" customHeight="1" x14ac:dyDescent="0.3">
      <c r="AB498" s="48"/>
    </row>
    <row r="499" spans="28:28" ht="14.25" customHeight="1" x14ac:dyDescent="0.3">
      <c r="AB499" s="48"/>
    </row>
    <row r="500" spans="28:28" ht="14.25" customHeight="1" x14ac:dyDescent="0.3">
      <c r="AB500" s="48"/>
    </row>
    <row r="501" spans="28:28" ht="14.25" customHeight="1" x14ac:dyDescent="0.3">
      <c r="AB501" s="48"/>
    </row>
    <row r="502" spans="28:28" ht="14.25" customHeight="1" x14ac:dyDescent="0.3">
      <c r="AB502" s="48"/>
    </row>
    <row r="503" spans="28:28" ht="14.25" customHeight="1" x14ac:dyDescent="0.3">
      <c r="AB503" s="48"/>
    </row>
    <row r="504" spans="28:28" ht="14.25" customHeight="1" x14ac:dyDescent="0.3">
      <c r="AB504" s="48"/>
    </row>
    <row r="505" spans="28:28" ht="14.25" customHeight="1" x14ac:dyDescent="0.3">
      <c r="AB505" s="48"/>
    </row>
    <row r="506" spans="28:28" ht="14.25" customHeight="1" x14ac:dyDescent="0.3">
      <c r="AB506" s="48"/>
    </row>
    <row r="507" spans="28:28" ht="14.25" customHeight="1" x14ac:dyDescent="0.3">
      <c r="AB507" s="48"/>
    </row>
    <row r="508" spans="28:28" ht="14.25" customHeight="1" x14ac:dyDescent="0.3">
      <c r="AB508" s="48"/>
    </row>
    <row r="509" spans="28:28" ht="14.25" customHeight="1" x14ac:dyDescent="0.3">
      <c r="AB509" s="48"/>
    </row>
    <row r="510" spans="28:28" ht="14.25" customHeight="1" x14ac:dyDescent="0.3">
      <c r="AB510" s="48"/>
    </row>
    <row r="511" spans="28:28" ht="14.25" customHeight="1" x14ac:dyDescent="0.3">
      <c r="AB511" s="48"/>
    </row>
    <row r="512" spans="28:28" ht="14.25" customHeight="1" x14ac:dyDescent="0.3">
      <c r="AB512" s="48"/>
    </row>
    <row r="513" spans="28:28" ht="14.25" customHeight="1" x14ac:dyDescent="0.3">
      <c r="AB513" s="48"/>
    </row>
    <row r="514" spans="28:28" ht="14.25" customHeight="1" x14ac:dyDescent="0.3">
      <c r="AB514" s="48"/>
    </row>
    <row r="515" spans="28:28" ht="14.25" customHeight="1" x14ac:dyDescent="0.3">
      <c r="AB515" s="48"/>
    </row>
    <row r="516" spans="28:28" ht="14.25" customHeight="1" x14ac:dyDescent="0.3">
      <c r="AB516" s="48"/>
    </row>
    <row r="517" spans="28:28" ht="14.25" customHeight="1" x14ac:dyDescent="0.3">
      <c r="AB517" s="48"/>
    </row>
    <row r="518" spans="28:28" ht="14.25" customHeight="1" x14ac:dyDescent="0.3">
      <c r="AB518" s="48"/>
    </row>
    <row r="519" spans="28:28" ht="14.25" customHeight="1" x14ac:dyDescent="0.3">
      <c r="AB519" s="48"/>
    </row>
    <row r="520" spans="28:28" ht="14.25" customHeight="1" x14ac:dyDescent="0.3">
      <c r="AB520" s="48"/>
    </row>
    <row r="521" spans="28:28" ht="14.25" customHeight="1" x14ac:dyDescent="0.3">
      <c r="AB521" s="48"/>
    </row>
    <row r="522" spans="28:28" ht="14.25" customHeight="1" x14ac:dyDescent="0.3">
      <c r="AB522" s="48"/>
    </row>
    <row r="523" spans="28:28" ht="14.25" customHeight="1" x14ac:dyDescent="0.3">
      <c r="AB523" s="48"/>
    </row>
    <row r="524" spans="28:28" ht="14.25" customHeight="1" x14ac:dyDescent="0.3">
      <c r="AB524" s="48"/>
    </row>
    <row r="525" spans="28:28" ht="14.25" customHeight="1" x14ac:dyDescent="0.3">
      <c r="AB525" s="48"/>
    </row>
    <row r="526" spans="28:28" ht="14.25" customHeight="1" x14ac:dyDescent="0.3">
      <c r="AB526" s="48"/>
    </row>
    <row r="527" spans="28:28" ht="14.25" customHeight="1" x14ac:dyDescent="0.3">
      <c r="AB527" s="48"/>
    </row>
    <row r="528" spans="28:28" ht="14.25" customHeight="1" x14ac:dyDescent="0.3">
      <c r="AB528" s="48"/>
    </row>
    <row r="529" spans="28:28" ht="14.25" customHeight="1" x14ac:dyDescent="0.3">
      <c r="AB529" s="48"/>
    </row>
    <row r="530" spans="28:28" ht="14.25" customHeight="1" x14ac:dyDescent="0.3">
      <c r="AB530" s="48"/>
    </row>
    <row r="531" spans="28:28" ht="14.25" customHeight="1" x14ac:dyDescent="0.3">
      <c r="AB531" s="48"/>
    </row>
    <row r="532" spans="28:28" ht="14.25" customHeight="1" x14ac:dyDescent="0.3">
      <c r="AB532" s="48"/>
    </row>
    <row r="533" spans="28:28" ht="14.25" customHeight="1" x14ac:dyDescent="0.3">
      <c r="AB533" s="48"/>
    </row>
    <row r="534" spans="28:28" ht="14.25" customHeight="1" x14ac:dyDescent="0.3">
      <c r="AB534" s="48"/>
    </row>
    <row r="535" spans="28:28" ht="14.25" customHeight="1" x14ac:dyDescent="0.3">
      <c r="AB535" s="48"/>
    </row>
    <row r="536" spans="28:28" ht="14.25" customHeight="1" x14ac:dyDescent="0.3">
      <c r="AB536" s="48"/>
    </row>
    <row r="537" spans="28:28" ht="14.25" customHeight="1" x14ac:dyDescent="0.3">
      <c r="AB537" s="48"/>
    </row>
    <row r="538" spans="28:28" ht="14.25" customHeight="1" x14ac:dyDescent="0.3">
      <c r="AB538" s="48"/>
    </row>
    <row r="539" spans="28:28" ht="14.25" customHeight="1" x14ac:dyDescent="0.3">
      <c r="AB539" s="48"/>
    </row>
    <row r="540" spans="28:28" ht="14.25" customHeight="1" x14ac:dyDescent="0.3">
      <c r="AB540" s="48"/>
    </row>
    <row r="541" spans="28:28" ht="14.25" customHeight="1" x14ac:dyDescent="0.3">
      <c r="AB541" s="48"/>
    </row>
    <row r="542" spans="28:28" ht="14.25" customHeight="1" x14ac:dyDescent="0.3">
      <c r="AB542" s="48"/>
    </row>
    <row r="543" spans="28:28" ht="14.25" customHeight="1" x14ac:dyDescent="0.3">
      <c r="AB543" s="48"/>
    </row>
    <row r="544" spans="28:28" ht="14.25" customHeight="1" x14ac:dyDescent="0.3">
      <c r="AB544" s="48"/>
    </row>
    <row r="545" spans="28:28" ht="14.25" customHeight="1" x14ac:dyDescent="0.3">
      <c r="AB545" s="48"/>
    </row>
    <row r="546" spans="28:28" ht="14.25" customHeight="1" x14ac:dyDescent="0.3">
      <c r="AB546" s="48"/>
    </row>
    <row r="547" spans="28:28" ht="14.25" customHeight="1" x14ac:dyDescent="0.3">
      <c r="AB547" s="48"/>
    </row>
    <row r="548" spans="28:28" ht="14.25" customHeight="1" x14ac:dyDescent="0.3">
      <c r="AB548" s="48"/>
    </row>
    <row r="549" spans="28:28" ht="14.25" customHeight="1" x14ac:dyDescent="0.3">
      <c r="AB549" s="48"/>
    </row>
    <row r="550" spans="28:28" ht="14.25" customHeight="1" x14ac:dyDescent="0.3">
      <c r="AB550" s="48"/>
    </row>
    <row r="551" spans="28:28" ht="14.25" customHeight="1" x14ac:dyDescent="0.3">
      <c r="AB551" s="48"/>
    </row>
    <row r="552" spans="28:28" ht="14.25" customHeight="1" x14ac:dyDescent="0.3">
      <c r="AB552" s="48"/>
    </row>
    <row r="553" spans="28:28" ht="14.25" customHeight="1" x14ac:dyDescent="0.3">
      <c r="AB553" s="48"/>
    </row>
    <row r="554" spans="28:28" ht="14.25" customHeight="1" x14ac:dyDescent="0.3">
      <c r="AB554" s="48"/>
    </row>
    <row r="555" spans="28:28" ht="14.25" customHeight="1" x14ac:dyDescent="0.3">
      <c r="AB555" s="48"/>
    </row>
    <row r="556" spans="28:28" ht="14.25" customHeight="1" x14ac:dyDescent="0.3">
      <c r="AB556" s="48"/>
    </row>
    <row r="557" spans="28:28" ht="14.25" customHeight="1" x14ac:dyDescent="0.3">
      <c r="AB557" s="48"/>
    </row>
    <row r="558" spans="28:28" ht="14.25" customHeight="1" x14ac:dyDescent="0.3">
      <c r="AB558" s="48"/>
    </row>
    <row r="559" spans="28:28" ht="14.25" customHeight="1" x14ac:dyDescent="0.3">
      <c r="AB559" s="48"/>
    </row>
    <row r="560" spans="28:28" ht="14.25" customHeight="1" x14ac:dyDescent="0.3">
      <c r="AB560" s="48"/>
    </row>
    <row r="561" spans="28:28" ht="14.25" customHeight="1" x14ac:dyDescent="0.3">
      <c r="AB561" s="48"/>
    </row>
    <row r="562" spans="28:28" ht="14.25" customHeight="1" x14ac:dyDescent="0.3">
      <c r="AB562" s="48"/>
    </row>
    <row r="563" spans="28:28" ht="14.25" customHeight="1" x14ac:dyDescent="0.3">
      <c r="AB563" s="48"/>
    </row>
    <row r="564" spans="28:28" ht="14.25" customHeight="1" x14ac:dyDescent="0.3">
      <c r="AB564" s="48"/>
    </row>
    <row r="565" spans="28:28" ht="14.25" customHeight="1" x14ac:dyDescent="0.3">
      <c r="AB565" s="48"/>
    </row>
    <row r="566" spans="28:28" ht="14.25" customHeight="1" x14ac:dyDescent="0.3">
      <c r="AB566" s="48"/>
    </row>
    <row r="567" spans="28:28" ht="14.25" customHeight="1" x14ac:dyDescent="0.3">
      <c r="AB567" s="48"/>
    </row>
    <row r="568" spans="28:28" ht="14.25" customHeight="1" x14ac:dyDescent="0.3">
      <c r="AB568" s="48"/>
    </row>
    <row r="569" spans="28:28" ht="14.25" customHeight="1" x14ac:dyDescent="0.3">
      <c r="AB569" s="48"/>
    </row>
    <row r="570" spans="28:28" ht="14.25" customHeight="1" x14ac:dyDescent="0.3">
      <c r="AB570" s="48"/>
    </row>
    <row r="571" spans="28:28" ht="14.25" customHeight="1" x14ac:dyDescent="0.3">
      <c r="AB571" s="48"/>
    </row>
    <row r="572" spans="28:28" ht="14.25" customHeight="1" x14ac:dyDescent="0.3">
      <c r="AB572" s="48"/>
    </row>
    <row r="573" spans="28:28" ht="14.25" customHeight="1" x14ac:dyDescent="0.3">
      <c r="AB573" s="48"/>
    </row>
    <row r="574" spans="28:28" ht="14.25" customHeight="1" x14ac:dyDescent="0.3">
      <c r="AB574" s="48"/>
    </row>
    <row r="575" spans="28:28" ht="14.25" customHeight="1" x14ac:dyDescent="0.3">
      <c r="AB575" s="48"/>
    </row>
    <row r="576" spans="28:28" ht="14.25" customHeight="1" x14ac:dyDescent="0.3">
      <c r="AB576" s="48"/>
    </row>
    <row r="577" spans="28:28" ht="14.25" customHeight="1" x14ac:dyDescent="0.3">
      <c r="AB577" s="48"/>
    </row>
    <row r="578" spans="28:28" ht="14.25" customHeight="1" x14ac:dyDescent="0.3">
      <c r="AB578" s="48"/>
    </row>
    <row r="579" spans="28:28" ht="14.25" customHeight="1" x14ac:dyDescent="0.3">
      <c r="AB579" s="48"/>
    </row>
    <row r="580" spans="28:28" ht="14.25" customHeight="1" x14ac:dyDescent="0.3">
      <c r="AB580" s="48"/>
    </row>
    <row r="581" spans="28:28" ht="14.25" customHeight="1" x14ac:dyDescent="0.3">
      <c r="AB581" s="48"/>
    </row>
    <row r="582" spans="28:28" ht="14.25" customHeight="1" x14ac:dyDescent="0.3">
      <c r="AB582" s="48"/>
    </row>
    <row r="583" spans="28:28" ht="14.25" customHeight="1" x14ac:dyDescent="0.3">
      <c r="AB583" s="48"/>
    </row>
    <row r="584" spans="28:28" ht="14.25" customHeight="1" x14ac:dyDescent="0.3">
      <c r="AB584" s="48"/>
    </row>
    <row r="585" spans="28:28" ht="14.25" customHeight="1" x14ac:dyDescent="0.3">
      <c r="AB585" s="48"/>
    </row>
    <row r="586" spans="28:28" ht="14.25" customHeight="1" x14ac:dyDescent="0.3">
      <c r="AB586" s="48"/>
    </row>
    <row r="587" spans="28:28" ht="14.25" customHeight="1" x14ac:dyDescent="0.3">
      <c r="AB587" s="48"/>
    </row>
    <row r="588" spans="28:28" ht="14.25" customHeight="1" x14ac:dyDescent="0.3">
      <c r="AB588" s="48"/>
    </row>
    <row r="589" spans="28:28" ht="14.25" customHeight="1" x14ac:dyDescent="0.3">
      <c r="AB589" s="48"/>
    </row>
    <row r="590" spans="28:28" ht="14.25" customHeight="1" x14ac:dyDescent="0.3">
      <c r="AB590" s="48"/>
    </row>
    <row r="591" spans="28:28" ht="14.25" customHeight="1" x14ac:dyDescent="0.3">
      <c r="AB591" s="48"/>
    </row>
    <row r="592" spans="28:28" ht="14.25" customHeight="1" x14ac:dyDescent="0.3">
      <c r="AB592" s="48"/>
    </row>
    <row r="593" spans="28:28" ht="14.25" customHeight="1" x14ac:dyDescent="0.3">
      <c r="AB593" s="48"/>
    </row>
    <row r="594" spans="28:28" ht="14.25" customHeight="1" x14ac:dyDescent="0.3">
      <c r="AB594" s="48"/>
    </row>
    <row r="595" spans="28:28" ht="14.25" customHeight="1" x14ac:dyDescent="0.3">
      <c r="AB595" s="48"/>
    </row>
    <row r="596" spans="28:28" ht="14.25" customHeight="1" x14ac:dyDescent="0.3">
      <c r="AB596" s="48"/>
    </row>
    <row r="597" spans="28:28" ht="14.25" customHeight="1" x14ac:dyDescent="0.3">
      <c r="AB597" s="48"/>
    </row>
    <row r="598" spans="28:28" ht="14.25" customHeight="1" x14ac:dyDescent="0.3">
      <c r="AB598" s="48"/>
    </row>
    <row r="599" spans="28:28" ht="14.25" customHeight="1" x14ac:dyDescent="0.3">
      <c r="AB599" s="48"/>
    </row>
    <row r="600" spans="28:28" ht="14.25" customHeight="1" x14ac:dyDescent="0.3">
      <c r="AB600" s="48"/>
    </row>
    <row r="601" spans="28:28" ht="14.25" customHeight="1" x14ac:dyDescent="0.3">
      <c r="AB601" s="48"/>
    </row>
    <row r="602" spans="28:28" ht="14.25" customHeight="1" x14ac:dyDescent="0.3">
      <c r="AB602" s="48"/>
    </row>
    <row r="603" spans="28:28" ht="14.25" customHeight="1" x14ac:dyDescent="0.3">
      <c r="AB603" s="48"/>
    </row>
    <row r="604" spans="28:28" ht="14.25" customHeight="1" x14ac:dyDescent="0.3">
      <c r="AB604" s="48"/>
    </row>
    <row r="605" spans="28:28" ht="14.25" customHeight="1" x14ac:dyDescent="0.3">
      <c r="AB605" s="48"/>
    </row>
    <row r="606" spans="28:28" ht="14.25" customHeight="1" x14ac:dyDescent="0.3">
      <c r="AB606" s="48"/>
    </row>
    <row r="607" spans="28:28" ht="14.25" customHeight="1" x14ac:dyDescent="0.3">
      <c r="AB607" s="48"/>
    </row>
    <row r="608" spans="28:28" ht="14.25" customHeight="1" x14ac:dyDescent="0.3">
      <c r="AB608" s="48"/>
    </row>
    <row r="609" spans="28:28" ht="14.25" customHeight="1" x14ac:dyDescent="0.3">
      <c r="AB609" s="48"/>
    </row>
    <row r="610" spans="28:28" ht="14.25" customHeight="1" x14ac:dyDescent="0.3">
      <c r="AB610" s="48"/>
    </row>
    <row r="611" spans="28:28" ht="14.25" customHeight="1" x14ac:dyDescent="0.3">
      <c r="AB611" s="48"/>
    </row>
    <row r="612" spans="28:28" ht="14.25" customHeight="1" x14ac:dyDescent="0.3">
      <c r="AB612" s="48"/>
    </row>
    <row r="613" spans="28:28" ht="14.25" customHeight="1" x14ac:dyDescent="0.3">
      <c r="AB613" s="48"/>
    </row>
    <row r="614" spans="28:28" ht="14.25" customHeight="1" x14ac:dyDescent="0.3">
      <c r="AB614" s="48"/>
    </row>
    <row r="615" spans="28:28" ht="14.25" customHeight="1" x14ac:dyDescent="0.3">
      <c r="AB615" s="48"/>
    </row>
    <row r="616" spans="28:28" ht="14.25" customHeight="1" x14ac:dyDescent="0.3">
      <c r="AB616" s="48"/>
    </row>
    <row r="617" spans="28:28" ht="14.25" customHeight="1" x14ac:dyDescent="0.3">
      <c r="AB617" s="48"/>
    </row>
    <row r="618" spans="28:28" ht="14.25" customHeight="1" x14ac:dyDescent="0.3">
      <c r="AB618" s="48"/>
    </row>
    <row r="619" spans="28:28" ht="14.25" customHeight="1" x14ac:dyDescent="0.3">
      <c r="AB619" s="48"/>
    </row>
    <row r="620" spans="28:28" ht="14.25" customHeight="1" x14ac:dyDescent="0.3">
      <c r="AB620" s="48"/>
    </row>
    <row r="621" spans="28:28" ht="14.25" customHeight="1" x14ac:dyDescent="0.3">
      <c r="AB621" s="48"/>
    </row>
    <row r="622" spans="28:28" ht="14.25" customHeight="1" x14ac:dyDescent="0.3">
      <c r="AB622" s="48"/>
    </row>
    <row r="623" spans="28:28" ht="14.25" customHeight="1" x14ac:dyDescent="0.3">
      <c r="AB623" s="48"/>
    </row>
    <row r="624" spans="28:28" ht="14.25" customHeight="1" x14ac:dyDescent="0.3">
      <c r="AB624" s="48"/>
    </row>
    <row r="625" spans="28:28" ht="14.25" customHeight="1" x14ac:dyDescent="0.3">
      <c r="AB625" s="48"/>
    </row>
    <row r="626" spans="28:28" ht="14.25" customHeight="1" x14ac:dyDescent="0.3">
      <c r="AB626" s="48"/>
    </row>
    <row r="627" spans="28:28" ht="14.25" customHeight="1" x14ac:dyDescent="0.3">
      <c r="AB627" s="48"/>
    </row>
    <row r="628" spans="28:28" ht="14.25" customHeight="1" x14ac:dyDescent="0.3">
      <c r="AB628" s="48"/>
    </row>
    <row r="629" spans="28:28" ht="14.25" customHeight="1" x14ac:dyDescent="0.3">
      <c r="AB629" s="48"/>
    </row>
    <row r="630" spans="28:28" ht="14.25" customHeight="1" x14ac:dyDescent="0.3">
      <c r="AB630" s="48"/>
    </row>
    <row r="631" spans="28:28" ht="14.25" customHeight="1" x14ac:dyDescent="0.3">
      <c r="AB631" s="48"/>
    </row>
    <row r="632" spans="28:28" ht="14.25" customHeight="1" x14ac:dyDescent="0.3">
      <c r="AB632" s="48"/>
    </row>
    <row r="633" spans="28:28" ht="14.25" customHeight="1" x14ac:dyDescent="0.3">
      <c r="AB633" s="48"/>
    </row>
    <row r="634" spans="28:28" ht="14.25" customHeight="1" x14ac:dyDescent="0.3">
      <c r="AB634" s="48"/>
    </row>
    <row r="635" spans="28:28" ht="14.25" customHeight="1" x14ac:dyDescent="0.3">
      <c r="AB635" s="48"/>
    </row>
    <row r="636" spans="28:28" ht="14.25" customHeight="1" x14ac:dyDescent="0.3">
      <c r="AB636" s="48"/>
    </row>
    <row r="637" spans="28:28" ht="14.25" customHeight="1" x14ac:dyDescent="0.3">
      <c r="AB637" s="48"/>
    </row>
    <row r="638" spans="28:28" ht="14.25" customHeight="1" x14ac:dyDescent="0.3">
      <c r="AB638" s="48"/>
    </row>
    <row r="639" spans="28:28" ht="14.25" customHeight="1" x14ac:dyDescent="0.3">
      <c r="AB639" s="48"/>
    </row>
    <row r="640" spans="28:28" ht="14.25" customHeight="1" x14ac:dyDescent="0.3">
      <c r="AB640" s="48"/>
    </row>
    <row r="641" spans="28:28" ht="14.25" customHeight="1" x14ac:dyDescent="0.3">
      <c r="AB641" s="48"/>
    </row>
    <row r="642" spans="28:28" ht="14.25" customHeight="1" x14ac:dyDescent="0.3">
      <c r="AB642" s="48"/>
    </row>
    <row r="643" spans="28:28" ht="14.25" customHeight="1" x14ac:dyDescent="0.3">
      <c r="AB643" s="48"/>
    </row>
    <row r="644" spans="28:28" ht="14.25" customHeight="1" x14ac:dyDescent="0.3">
      <c r="AB644" s="48"/>
    </row>
    <row r="645" spans="28:28" ht="14.25" customHeight="1" x14ac:dyDescent="0.3">
      <c r="AB645" s="48"/>
    </row>
    <row r="646" spans="28:28" ht="14.25" customHeight="1" x14ac:dyDescent="0.3">
      <c r="AB646" s="48"/>
    </row>
    <row r="647" spans="28:28" ht="14.25" customHeight="1" x14ac:dyDescent="0.3">
      <c r="AB647" s="48"/>
    </row>
    <row r="648" spans="28:28" ht="14.25" customHeight="1" x14ac:dyDescent="0.3">
      <c r="AB648" s="48"/>
    </row>
    <row r="649" spans="28:28" ht="14.25" customHeight="1" x14ac:dyDescent="0.3">
      <c r="AB649" s="48"/>
    </row>
    <row r="650" spans="28:28" ht="14.25" customHeight="1" x14ac:dyDescent="0.3">
      <c r="AB650" s="48"/>
    </row>
    <row r="651" spans="28:28" ht="14.25" customHeight="1" x14ac:dyDescent="0.3">
      <c r="AB651" s="48"/>
    </row>
    <row r="652" spans="28:28" ht="14.25" customHeight="1" x14ac:dyDescent="0.3">
      <c r="AB652" s="48"/>
    </row>
    <row r="653" spans="28:28" ht="14.25" customHeight="1" x14ac:dyDescent="0.3">
      <c r="AB653" s="48"/>
    </row>
    <row r="654" spans="28:28" ht="14.25" customHeight="1" x14ac:dyDescent="0.3">
      <c r="AB654" s="48"/>
    </row>
    <row r="655" spans="28:28" ht="14.25" customHeight="1" x14ac:dyDescent="0.3">
      <c r="AB655" s="48"/>
    </row>
    <row r="656" spans="28:28" ht="14.25" customHeight="1" x14ac:dyDescent="0.3">
      <c r="AB656" s="48"/>
    </row>
    <row r="657" spans="28:28" ht="14.25" customHeight="1" x14ac:dyDescent="0.3">
      <c r="AB657" s="48"/>
    </row>
    <row r="658" spans="28:28" ht="14.25" customHeight="1" x14ac:dyDescent="0.3">
      <c r="AB658" s="48"/>
    </row>
    <row r="659" spans="28:28" ht="14.25" customHeight="1" x14ac:dyDescent="0.3">
      <c r="AB659" s="48"/>
    </row>
    <row r="660" spans="28:28" ht="14.25" customHeight="1" x14ac:dyDescent="0.3">
      <c r="AB660" s="48"/>
    </row>
    <row r="661" spans="28:28" ht="14.25" customHeight="1" x14ac:dyDescent="0.3">
      <c r="AB661" s="48"/>
    </row>
    <row r="662" spans="28:28" ht="14.25" customHeight="1" x14ac:dyDescent="0.3">
      <c r="AB662" s="48"/>
    </row>
    <row r="663" spans="28:28" ht="14.25" customHeight="1" x14ac:dyDescent="0.3">
      <c r="AB663" s="48"/>
    </row>
    <row r="664" spans="28:28" ht="14.25" customHeight="1" x14ac:dyDescent="0.3">
      <c r="AB664" s="48"/>
    </row>
    <row r="665" spans="28:28" ht="14.25" customHeight="1" x14ac:dyDescent="0.3">
      <c r="AB665" s="48"/>
    </row>
    <row r="666" spans="28:28" ht="14.25" customHeight="1" x14ac:dyDescent="0.3">
      <c r="AB666" s="48"/>
    </row>
    <row r="667" spans="28:28" ht="14.25" customHeight="1" x14ac:dyDescent="0.3">
      <c r="AB667" s="48"/>
    </row>
    <row r="668" spans="28:28" ht="14.25" customHeight="1" x14ac:dyDescent="0.3">
      <c r="AB668" s="48"/>
    </row>
    <row r="669" spans="28:28" ht="14.25" customHeight="1" x14ac:dyDescent="0.3">
      <c r="AB669" s="48"/>
    </row>
    <row r="670" spans="28:28" ht="14.25" customHeight="1" x14ac:dyDescent="0.3">
      <c r="AB670" s="48"/>
    </row>
    <row r="671" spans="28:28" ht="14.25" customHeight="1" x14ac:dyDescent="0.3">
      <c r="AB671" s="48"/>
    </row>
    <row r="672" spans="28:28" ht="14.25" customHeight="1" x14ac:dyDescent="0.3">
      <c r="AB672" s="48"/>
    </row>
    <row r="673" spans="28:28" ht="14.25" customHeight="1" x14ac:dyDescent="0.3">
      <c r="AB673" s="48"/>
    </row>
    <row r="674" spans="28:28" ht="14.25" customHeight="1" x14ac:dyDescent="0.3">
      <c r="AB674" s="48"/>
    </row>
    <row r="675" spans="28:28" ht="14.25" customHeight="1" x14ac:dyDescent="0.3">
      <c r="AB675" s="48"/>
    </row>
    <row r="676" spans="28:28" ht="14.25" customHeight="1" x14ac:dyDescent="0.3">
      <c r="AB676" s="48"/>
    </row>
    <row r="677" spans="28:28" ht="14.25" customHeight="1" x14ac:dyDescent="0.3">
      <c r="AB677" s="48"/>
    </row>
    <row r="678" spans="28:28" ht="14.25" customHeight="1" x14ac:dyDescent="0.3">
      <c r="AB678" s="48"/>
    </row>
    <row r="679" spans="28:28" ht="14.25" customHeight="1" x14ac:dyDescent="0.3">
      <c r="AB679" s="48"/>
    </row>
    <row r="680" spans="28:28" ht="14.25" customHeight="1" x14ac:dyDescent="0.3">
      <c r="AB680" s="48"/>
    </row>
    <row r="681" spans="28:28" ht="14.25" customHeight="1" x14ac:dyDescent="0.3">
      <c r="AB681" s="48"/>
    </row>
    <row r="682" spans="28:28" ht="14.25" customHeight="1" x14ac:dyDescent="0.3">
      <c r="AB682" s="48"/>
    </row>
    <row r="683" spans="28:28" ht="14.25" customHeight="1" x14ac:dyDescent="0.3">
      <c r="AB683" s="48"/>
    </row>
    <row r="684" spans="28:28" ht="14.25" customHeight="1" x14ac:dyDescent="0.3">
      <c r="AB684" s="48"/>
    </row>
    <row r="685" spans="28:28" ht="14.25" customHeight="1" x14ac:dyDescent="0.3">
      <c r="AB685" s="48"/>
    </row>
    <row r="686" spans="28:28" ht="14.25" customHeight="1" x14ac:dyDescent="0.3">
      <c r="AB686" s="48"/>
    </row>
    <row r="687" spans="28:28" ht="14.25" customHeight="1" x14ac:dyDescent="0.3">
      <c r="AB687" s="48"/>
    </row>
    <row r="688" spans="28:28" ht="14.25" customHeight="1" x14ac:dyDescent="0.3">
      <c r="AB688" s="48"/>
    </row>
    <row r="689" spans="28:28" ht="14.25" customHeight="1" x14ac:dyDescent="0.3">
      <c r="AB689" s="48"/>
    </row>
    <row r="690" spans="28:28" ht="14.25" customHeight="1" x14ac:dyDescent="0.3">
      <c r="AB690" s="48"/>
    </row>
    <row r="691" spans="28:28" ht="14.25" customHeight="1" x14ac:dyDescent="0.3">
      <c r="AB691" s="48"/>
    </row>
    <row r="692" spans="28:28" ht="14.25" customHeight="1" x14ac:dyDescent="0.3">
      <c r="AB692" s="48"/>
    </row>
    <row r="693" spans="28:28" ht="14.25" customHeight="1" x14ac:dyDescent="0.3">
      <c r="AB693" s="48"/>
    </row>
    <row r="694" spans="28:28" ht="14.25" customHeight="1" x14ac:dyDescent="0.3">
      <c r="AB694" s="48"/>
    </row>
    <row r="695" spans="28:28" ht="14.25" customHeight="1" x14ac:dyDescent="0.3">
      <c r="AB695" s="48"/>
    </row>
    <row r="696" spans="28:28" ht="14.25" customHeight="1" x14ac:dyDescent="0.3">
      <c r="AB696" s="48"/>
    </row>
    <row r="697" spans="28:28" ht="14.25" customHeight="1" x14ac:dyDescent="0.3">
      <c r="AB697" s="48"/>
    </row>
    <row r="698" spans="28:28" ht="14.25" customHeight="1" x14ac:dyDescent="0.3">
      <c r="AB698" s="48"/>
    </row>
    <row r="699" spans="28:28" ht="14.25" customHeight="1" x14ac:dyDescent="0.3">
      <c r="AB699" s="48"/>
    </row>
    <row r="700" spans="28:28" ht="14.25" customHeight="1" x14ac:dyDescent="0.3">
      <c r="AB700" s="48"/>
    </row>
    <row r="701" spans="28:28" ht="14.25" customHeight="1" x14ac:dyDescent="0.3">
      <c r="AB701" s="48"/>
    </row>
    <row r="702" spans="28:28" ht="14.25" customHeight="1" x14ac:dyDescent="0.3">
      <c r="AB702" s="48"/>
    </row>
    <row r="703" spans="28:28" ht="14.25" customHeight="1" x14ac:dyDescent="0.3">
      <c r="AB703" s="48"/>
    </row>
    <row r="704" spans="28:28" ht="14.25" customHeight="1" x14ac:dyDescent="0.3">
      <c r="AB704" s="48"/>
    </row>
    <row r="705" spans="28:28" ht="14.25" customHeight="1" x14ac:dyDescent="0.3">
      <c r="AB705" s="48"/>
    </row>
    <row r="706" spans="28:28" ht="14.25" customHeight="1" x14ac:dyDescent="0.3">
      <c r="AB706" s="48"/>
    </row>
    <row r="707" spans="28:28" ht="14.25" customHeight="1" x14ac:dyDescent="0.3">
      <c r="AB707" s="48"/>
    </row>
    <row r="708" spans="28:28" ht="14.25" customHeight="1" x14ac:dyDescent="0.3">
      <c r="AB708" s="48"/>
    </row>
    <row r="709" spans="28:28" ht="14.25" customHeight="1" x14ac:dyDescent="0.3">
      <c r="AB709" s="48"/>
    </row>
    <row r="710" spans="28:28" ht="14.25" customHeight="1" x14ac:dyDescent="0.3">
      <c r="AB710" s="48"/>
    </row>
    <row r="711" spans="28:28" ht="14.25" customHeight="1" x14ac:dyDescent="0.3">
      <c r="AB711" s="48"/>
    </row>
    <row r="712" spans="28:28" ht="14.25" customHeight="1" x14ac:dyDescent="0.3">
      <c r="AB712" s="48"/>
    </row>
    <row r="713" spans="28:28" ht="14.25" customHeight="1" x14ac:dyDescent="0.3">
      <c r="AB713" s="48"/>
    </row>
    <row r="714" spans="28:28" ht="14.25" customHeight="1" x14ac:dyDescent="0.3">
      <c r="AB714" s="48"/>
    </row>
    <row r="715" spans="28:28" ht="14.25" customHeight="1" x14ac:dyDescent="0.3">
      <c r="AB715" s="48"/>
    </row>
    <row r="716" spans="28:28" ht="14.25" customHeight="1" x14ac:dyDescent="0.3">
      <c r="AB716" s="48"/>
    </row>
    <row r="717" spans="28:28" ht="14.25" customHeight="1" x14ac:dyDescent="0.3">
      <c r="AB717" s="48"/>
    </row>
    <row r="718" spans="28:28" ht="14.25" customHeight="1" x14ac:dyDescent="0.3">
      <c r="AB718" s="48"/>
    </row>
    <row r="719" spans="28:28" ht="14.25" customHeight="1" x14ac:dyDescent="0.3">
      <c r="AB719" s="48"/>
    </row>
    <row r="720" spans="28:28" ht="14.25" customHeight="1" x14ac:dyDescent="0.3">
      <c r="AB720" s="48"/>
    </row>
    <row r="721" spans="28:28" ht="14.25" customHeight="1" x14ac:dyDescent="0.3">
      <c r="AB721" s="48"/>
    </row>
    <row r="722" spans="28:28" ht="14.25" customHeight="1" x14ac:dyDescent="0.3">
      <c r="AB722" s="48"/>
    </row>
    <row r="723" spans="28:28" ht="14.25" customHeight="1" x14ac:dyDescent="0.3">
      <c r="AB723" s="48"/>
    </row>
    <row r="724" spans="28:28" ht="14.25" customHeight="1" x14ac:dyDescent="0.3">
      <c r="AB724" s="48"/>
    </row>
    <row r="725" spans="28:28" ht="14.25" customHeight="1" x14ac:dyDescent="0.3">
      <c r="AB725" s="48"/>
    </row>
    <row r="726" spans="28:28" ht="14.25" customHeight="1" x14ac:dyDescent="0.3">
      <c r="AB726" s="48"/>
    </row>
    <row r="727" spans="28:28" ht="14.25" customHeight="1" x14ac:dyDescent="0.3">
      <c r="AB727" s="48"/>
    </row>
    <row r="728" spans="28:28" ht="14.25" customHeight="1" x14ac:dyDescent="0.3">
      <c r="AB728" s="48"/>
    </row>
    <row r="729" spans="28:28" ht="14.25" customHeight="1" x14ac:dyDescent="0.3">
      <c r="AB729" s="48"/>
    </row>
    <row r="730" spans="28:28" ht="14.25" customHeight="1" x14ac:dyDescent="0.3">
      <c r="AB730" s="48"/>
    </row>
    <row r="731" spans="28:28" ht="14.25" customHeight="1" x14ac:dyDescent="0.3">
      <c r="AB731" s="48"/>
    </row>
    <row r="732" spans="28:28" ht="14.25" customHeight="1" x14ac:dyDescent="0.3">
      <c r="AB732" s="48"/>
    </row>
    <row r="733" spans="28:28" ht="14.25" customHeight="1" x14ac:dyDescent="0.3">
      <c r="AB733" s="48"/>
    </row>
    <row r="734" spans="28:28" ht="14.25" customHeight="1" x14ac:dyDescent="0.3">
      <c r="AB734" s="48"/>
    </row>
    <row r="735" spans="28:28" ht="14.25" customHeight="1" x14ac:dyDescent="0.3">
      <c r="AB735" s="48"/>
    </row>
    <row r="736" spans="28:28" ht="14.25" customHeight="1" x14ac:dyDescent="0.3">
      <c r="AB736" s="48"/>
    </row>
    <row r="737" spans="28:28" ht="14.25" customHeight="1" x14ac:dyDescent="0.3">
      <c r="AB737" s="48"/>
    </row>
    <row r="738" spans="28:28" ht="14.25" customHeight="1" x14ac:dyDescent="0.3">
      <c r="AB738" s="48"/>
    </row>
    <row r="739" spans="28:28" ht="14.25" customHeight="1" x14ac:dyDescent="0.3">
      <c r="AB739" s="48"/>
    </row>
    <row r="740" spans="28:28" ht="14.25" customHeight="1" x14ac:dyDescent="0.3">
      <c r="AB740" s="48"/>
    </row>
    <row r="741" spans="28:28" ht="14.25" customHeight="1" x14ac:dyDescent="0.3">
      <c r="AB741" s="48"/>
    </row>
    <row r="742" spans="28:28" ht="14.25" customHeight="1" x14ac:dyDescent="0.3">
      <c r="AB742" s="48"/>
    </row>
    <row r="743" spans="28:28" ht="14.25" customHeight="1" x14ac:dyDescent="0.3">
      <c r="AB743" s="48"/>
    </row>
    <row r="744" spans="28:28" ht="14.25" customHeight="1" x14ac:dyDescent="0.3">
      <c r="AB744" s="48"/>
    </row>
    <row r="745" spans="28:28" ht="14.25" customHeight="1" x14ac:dyDescent="0.3">
      <c r="AB745" s="48"/>
    </row>
    <row r="746" spans="28:28" ht="14.25" customHeight="1" x14ac:dyDescent="0.3">
      <c r="AB746" s="48"/>
    </row>
    <row r="747" spans="28:28" ht="14.25" customHeight="1" x14ac:dyDescent="0.3">
      <c r="AB747" s="48"/>
    </row>
    <row r="748" spans="28:28" ht="14.25" customHeight="1" x14ac:dyDescent="0.3">
      <c r="AB748" s="48"/>
    </row>
    <row r="749" spans="28:28" ht="14.25" customHeight="1" x14ac:dyDescent="0.3">
      <c r="AB749" s="48"/>
    </row>
    <row r="750" spans="28:28" ht="14.25" customHeight="1" x14ac:dyDescent="0.3">
      <c r="AB750" s="48"/>
    </row>
    <row r="751" spans="28:28" ht="14.25" customHeight="1" x14ac:dyDescent="0.3">
      <c r="AB751" s="48"/>
    </row>
    <row r="752" spans="28:28" ht="14.25" customHeight="1" x14ac:dyDescent="0.3">
      <c r="AB752" s="48"/>
    </row>
    <row r="753" spans="28:28" ht="14.25" customHeight="1" x14ac:dyDescent="0.3">
      <c r="AB753" s="48"/>
    </row>
    <row r="754" spans="28:28" ht="14.25" customHeight="1" x14ac:dyDescent="0.3">
      <c r="AB754" s="48"/>
    </row>
    <row r="755" spans="28:28" ht="14.25" customHeight="1" x14ac:dyDescent="0.3">
      <c r="AB755" s="48"/>
    </row>
    <row r="756" spans="28:28" ht="14.25" customHeight="1" x14ac:dyDescent="0.3">
      <c r="AB756" s="48"/>
    </row>
    <row r="757" spans="28:28" ht="14.25" customHeight="1" x14ac:dyDescent="0.3">
      <c r="AB757" s="48"/>
    </row>
    <row r="758" spans="28:28" ht="14.25" customHeight="1" x14ac:dyDescent="0.3">
      <c r="AB758" s="48"/>
    </row>
    <row r="759" spans="28:28" ht="14.25" customHeight="1" x14ac:dyDescent="0.3">
      <c r="AB759" s="48"/>
    </row>
    <row r="760" spans="28:28" ht="14.25" customHeight="1" x14ac:dyDescent="0.3">
      <c r="AB760" s="48"/>
    </row>
    <row r="761" spans="28:28" ht="14.25" customHeight="1" x14ac:dyDescent="0.3">
      <c r="AB761" s="48"/>
    </row>
    <row r="762" spans="28:28" ht="14.25" customHeight="1" x14ac:dyDescent="0.3">
      <c r="AB762" s="48"/>
    </row>
    <row r="763" spans="28:28" ht="14.25" customHeight="1" x14ac:dyDescent="0.3">
      <c r="AB763" s="48"/>
    </row>
    <row r="764" spans="28:28" ht="14.25" customHeight="1" x14ac:dyDescent="0.3">
      <c r="AB764" s="48"/>
    </row>
    <row r="765" spans="28:28" ht="14.25" customHeight="1" x14ac:dyDescent="0.3">
      <c r="AB765" s="48"/>
    </row>
    <row r="766" spans="28:28" ht="14.25" customHeight="1" x14ac:dyDescent="0.3">
      <c r="AB766" s="48"/>
    </row>
    <row r="767" spans="28:28" ht="14.25" customHeight="1" x14ac:dyDescent="0.3">
      <c r="AB767" s="48"/>
    </row>
    <row r="768" spans="28:28" ht="14.25" customHeight="1" x14ac:dyDescent="0.3">
      <c r="AB768" s="48"/>
    </row>
    <row r="769" spans="28:28" ht="14.25" customHeight="1" x14ac:dyDescent="0.3">
      <c r="AB769" s="48"/>
    </row>
    <row r="770" spans="28:28" ht="14.25" customHeight="1" x14ac:dyDescent="0.3">
      <c r="AB770" s="48"/>
    </row>
    <row r="771" spans="28:28" ht="14.25" customHeight="1" x14ac:dyDescent="0.3">
      <c r="AB771" s="48"/>
    </row>
    <row r="772" spans="28:28" ht="14.25" customHeight="1" x14ac:dyDescent="0.3">
      <c r="AB772" s="48"/>
    </row>
    <row r="773" spans="28:28" ht="14.25" customHeight="1" x14ac:dyDescent="0.3">
      <c r="AB773" s="48"/>
    </row>
    <row r="774" spans="28:28" ht="14.25" customHeight="1" x14ac:dyDescent="0.3">
      <c r="AB774" s="48"/>
    </row>
    <row r="775" spans="28:28" ht="14.25" customHeight="1" x14ac:dyDescent="0.3">
      <c r="AB775" s="48"/>
    </row>
    <row r="776" spans="28:28" ht="14.25" customHeight="1" x14ac:dyDescent="0.3">
      <c r="AB776" s="48"/>
    </row>
    <row r="777" spans="28:28" ht="14.25" customHeight="1" x14ac:dyDescent="0.3">
      <c r="AB777" s="48"/>
    </row>
    <row r="778" spans="28:28" ht="14.25" customHeight="1" x14ac:dyDescent="0.3">
      <c r="AB778" s="48"/>
    </row>
    <row r="779" spans="28:28" ht="14.25" customHeight="1" x14ac:dyDescent="0.3">
      <c r="AB779" s="48"/>
    </row>
    <row r="780" spans="28:28" ht="14.25" customHeight="1" x14ac:dyDescent="0.3">
      <c r="AB780" s="48"/>
    </row>
    <row r="781" spans="28:28" ht="14.25" customHeight="1" x14ac:dyDescent="0.3">
      <c r="AB781" s="48"/>
    </row>
    <row r="782" spans="28:28" ht="14.25" customHeight="1" x14ac:dyDescent="0.3">
      <c r="AB782" s="48"/>
    </row>
    <row r="783" spans="28:28" ht="14.25" customHeight="1" x14ac:dyDescent="0.3">
      <c r="AB783" s="48"/>
    </row>
    <row r="784" spans="28:28" ht="14.25" customHeight="1" x14ac:dyDescent="0.3">
      <c r="AB784" s="48"/>
    </row>
    <row r="785" spans="28:28" ht="14.25" customHeight="1" x14ac:dyDescent="0.3">
      <c r="AB785" s="48"/>
    </row>
    <row r="786" spans="28:28" ht="14.25" customHeight="1" x14ac:dyDescent="0.3">
      <c r="AB786" s="48"/>
    </row>
    <row r="787" spans="28:28" ht="14.25" customHeight="1" x14ac:dyDescent="0.3">
      <c r="AB787" s="48"/>
    </row>
    <row r="788" spans="28:28" ht="14.25" customHeight="1" x14ac:dyDescent="0.3">
      <c r="AB788" s="48"/>
    </row>
    <row r="789" spans="28:28" ht="14.25" customHeight="1" x14ac:dyDescent="0.3">
      <c r="AB789" s="48"/>
    </row>
    <row r="790" spans="28:28" ht="14.25" customHeight="1" x14ac:dyDescent="0.3">
      <c r="AB790" s="48"/>
    </row>
    <row r="791" spans="28:28" ht="14.25" customHeight="1" x14ac:dyDescent="0.3">
      <c r="AB791" s="48"/>
    </row>
    <row r="792" spans="28:28" ht="14.25" customHeight="1" x14ac:dyDescent="0.3">
      <c r="AB792" s="48"/>
    </row>
    <row r="793" spans="28:28" ht="14.25" customHeight="1" x14ac:dyDescent="0.3">
      <c r="AB793" s="48"/>
    </row>
    <row r="794" spans="28:28" ht="14.25" customHeight="1" x14ac:dyDescent="0.3">
      <c r="AB794" s="48"/>
    </row>
    <row r="795" spans="28:28" ht="14.25" customHeight="1" x14ac:dyDescent="0.3">
      <c r="AB795" s="48"/>
    </row>
    <row r="796" spans="28:28" ht="14.25" customHeight="1" x14ac:dyDescent="0.3">
      <c r="AB796" s="48"/>
    </row>
    <row r="797" spans="28:28" ht="14.25" customHeight="1" x14ac:dyDescent="0.3">
      <c r="AB797" s="48"/>
    </row>
    <row r="798" spans="28:28" ht="14.25" customHeight="1" x14ac:dyDescent="0.3">
      <c r="AB798" s="48"/>
    </row>
    <row r="799" spans="28:28" ht="14.25" customHeight="1" x14ac:dyDescent="0.3">
      <c r="AB799" s="48"/>
    </row>
    <row r="800" spans="28:28" ht="14.25" customHeight="1" x14ac:dyDescent="0.3">
      <c r="AB800" s="48"/>
    </row>
    <row r="801" spans="28:28" ht="14.25" customHeight="1" x14ac:dyDescent="0.3">
      <c r="AB801" s="48"/>
    </row>
    <row r="802" spans="28:28" ht="14.25" customHeight="1" x14ac:dyDescent="0.3">
      <c r="AB802" s="48"/>
    </row>
    <row r="803" spans="28:28" ht="14.25" customHeight="1" x14ac:dyDescent="0.3">
      <c r="AB803" s="48"/>
    </row>
    <row r="804" spans="28:28" ht="14.25" customHeight="1" x14ac:dyDescent="0.3">
      <c r="AB804" s="48"/>
    </row>
    <row r="805" spans="28:28" ht="14.25" customHeight="1" x14ac:dyDescent="0.3">
      <c r="AB805" s="48"/>
    </row>
    <row r="806" spans="28:28" ht="14.25" customHeight="1" x14ac:dyDescent="0.3">
      <c r="AB806" s="48"/>
    </row>
    <row r="807" spans="28:28" ht="14.25" customHeight="1" x14ac:dyDescent="0.3">
      <c r="AB807" s="48"/>
    </row>
    <row r="808" spans="28:28" ht="14.25" customHeight="1" x14ac:dyDescent="0.3">
      <c r="AB808" s="48"/>
    </row>
    <row r="809" spans="28:28" ht="14.25" customHeight="1" x14ac:dyDescent="0.3">
      <c r="AB809" s="48"/>
    </row>
    <row r="810" spans="28:28" ht="14.25" customHeight="1" x14ac:dyDescent="0.3">
      <c r="AB810" s="48"/>
    </row>
    <row r="811" spans="28:28" ht="14.25" customHeight="1" x14ac:dyDescent="0.3">
      <c r="AB811" s="48"/>
    </row>
    <row r="812" spans="28:28" ht="14.25" customHeight="1" x14ac:dyDescent="0.3">
      <c r="AB812" s="48"/>
    </row>
    <row r="813" spans="28:28" ht="14.25" customHeight="1" x14ac:dyDescent="0.3">
      <c r="AB813" s="48"/>
    </row>
    <row r="814" spans="28:28" ht="14.25" customHeight="1" x14ac:dyDescent="0.3">
      <c r="AB814" s="48"/>
    </row>
    <row r="815" spans="28:28" ht="14.25" customHeight="1" x14ac:dyDescent="0.3">
      <c r="AB815" s="48"/>
    </row>
    <row r="816" spans="28:28" ht="14.25" customHeight="1" x14ac:dyDescent="0.3">
      <c r="AB816" s="48"/>
    </row>
    <row r="817" spans="28:28" ht="14.25" customHeight="1" x14ac:dyDescent="0.3">
      <c r="AB817" s="48"/>
    </row>
    <row r="818" spans="28:28" ht="14.25" customHeight="1" x14ac:dyDescent="0.3">
      <c r="AB818" s="48"/>
    </row>
    <row r="819" spans="28:28" ht="14.25" customHeight="1" x14ac:dyDescent="0.3">
      <c r="AB819" s="48"/>
    </row>
    <row r="820" spans="28:28" ht="14.25" customHeight="1" x14ac:dyDescent="0.3">
      <c r="AB820" s="48"/>
    </row>
    <row r="821" spans="28:28" ht="14.25" customHeight="1" x14ac:dyDescent="0.3">
      <c r="AB821" s="48"/>
    </row>
    <row r="822" spans="28:28" ht="14.25" customHeight="1" x14ac:dyDescent="0.3">
      <c r="AB822" s="48"/>
    </row>
    <row r="823" spans="28:28" ht="14.25" customHeight="1" x14ac:dyDescent="0.3">
      <c r="AB823" s="48"/>
    </row>
    <row r="824" spans="28:28" ht="14.25" customHeight="1" x14ac:dyDescent="0.3">
      <c r="AB824" s="48"/>
    </row>
    <row r="825" spans="28:28" ht="14.25" customHeight="1" x14ac:dyDescent="0.3">
      <c r="AB825" s="48"/>
    </row>
    <row r="826" spans="28:28" ht="14.25" customHeight="1" x14ac:dyDescent="0.3">
      <c r="AB826" s="48"/>
    </row>
    <row r="827" spans="28:28" ht="14.25" customHeight="1" x14ac:dyDescent="0.3">
      <c r="AB827" s="48"/>
    </row>
    <row r="828" spans="28:28" ht="14.25" customHeight="1" x14ac:dyDescent="0.3">
      <c r="AB828" s="48"/>
    </row>
    <row r="829" spans="28:28" ht="14.25" customHeight="1" x14ac:dyDescent="0.3">
      <c r="AB829" s="48"/>
    </row>
    <row r="830" spans="28:28" ht="14.25" customHeight="1" x14ac:dyDescent="0.3">
      <c r="AB830" s="48"/>
    </row>
    <row r="831" spans="28:28" ht="14.25" customHeight="1" x14ac:dyDescent="0.3">
      <c r="AB831" s="48"/>
    </row>
    <row r="832" spans="28:28" ht="14.25" customHeight="1" x14ac:dyDescent="0.3">
      <c r="AB832" s="48"/>
    </row>
  </sheetData>
  <phoneticPr fontId="25" type="noConversion"/>
  <conditionalFormatting sqref="F3:H5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52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3:K5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3:M52">
    <cfRule type="colorScale" priority="13">
      <colorScale>
        <cfvo type="min"/>
        <cfvo type="max"/>
        <color rgb="FFFCFCFF"/>
        <color rgb="FFF8696B"/>
      </colorScale>
    </cfRule>
  </conditionalFormatting>
  <conditionalFormatting sqref="T3:V10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Y2 W103:Y1048576 AK2:AM2 AK103:AM1048576 AZ2:BA2 AZ53:BA1048576 W3:W102 I2:I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102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3:Y10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3:AJ10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10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:AK102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3:AL102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3:AM102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3:AY5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:AZ52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3:BA52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2:BD1048576">
    <cfRule type="cellIs" dxfId="1" priority="16" operator="equal">
      <formula>"R"</formula>
    </cfRule>
  </conditionalFormatting>
  <conditionalFormatting sqref="BD3:BD52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08"/>
  <sheetViews>
    <sheetView zoomScale="115" zoomScaleNormal="115" workbookViewId="0">
      <selection sqref="A1:L1048576"/>
    </sheetView>
  </sheetViews>
  <sheetFormatPr defaultColWidth="8.88671875" defaultRowHeight="14.4" x14ac:dyDescent="0.3"/>
  <cols>
    <col min="13" max="13" width="5.33203125" style="63" bestFit="1" customWidth="1"/>
    <col min="14" max="14" width="5.44140625" style="63" bestFit="1" customWidth="1"/>
    <col min="15" max="17" width="5.6640625" style="20" bestFit="1" customWidth="1"/>
    <col min="18" max="16384" width="8.88671875" style="20"/>
  </cols>
  <sheetData>
    <row r="1" spans="1:17" ht="14.25" customHeight="1" x14ac:dyDescent="0.3">
      <c r="A1" t="s">
        <v>461</v>
      </c>
      <c r="B1" t="s">
        <v>350</v>
      </c>
      <c r="C1" t="s">
        <v>462</v>
      </c>
      <c r="D1" t="s">
        <v>463</v>
      </c>
      <c r="E1" t="s">
        <v>464</v>
      </c>
      <c r="F1" t="s">
        <v>465</v>
      </c>
      <c r="G1" t="s">
        <v>26</v>
      </c>
      <c r="H1" t="s">
        <v>462</v>
      </c>
      <c r="I1" t="s">
        <v>464</v>
      </c>
      <c r="J1" t="s">
        <v>465</v>
      </c>
      <c r="K1" t="s">
        <v>49</v>
      </c>
      <c r="L1" t="s">
        <v>466</v>
      </c>
      <c r="M1" s="63" t="s">
        <v>467</v>
      </c>
      <c r="N1" s="63" t="s">
        <v>468</v>
      </c>
      <c r="O1" s="44" t="s">
        <v>353</v>
      </c>
      <c r="P1" s="44" t="s">
        <v>354</v>
      </c>
      <c r="Q1" s="44" t="s">
        <v>355</v>
      </c>
    </row>
    <row r="2" spans="1:17" ht="14.25" customHeight="1" x14ac:dyDescent="0.3">
      <c r="A2" t="s">
        <v>469</v>
      </c>
      <c r="O2" s="44"/>
      <c r="P2" s="44"/>
      <c r="Q2" s="44"/>
    </row>
    <row r="3" spans="1:17" ht="14.25" customHeight="1" x14ac:dyDescent="0.3">
      <c r="A3" t="s">
        <v>470</v>
      </c>
      <c r="B3" t="s">
        <v>471</v>
      </c>
      <c r="C3">
        <v>492.1</v>
      </c>
      <c r="D3">
        <v>333.4</v>
      </c>
      <c r="E3">
        <v>3813.4</v>
      </c>
      <c r="F3">
        <v>27.5</v>
      </c>
      <c r="G3">
        <v>11.2</v>
      </c>
      <c r="H3">
        <v>118.1</v>
      </c>
      <c r="I3">
        <v>586</v>
      </c>
      <c r="J3">
        <v>11.5</v>
      </c>
      <c r="K3">
        <v>4.0999999999999996</v>
      </c>
      <c r="L3">
        <v>370.5</v>
      </c>
      <c r="M3" s="64">
        <f t="shared" ref="M3:M66" si="0">IFERROR(((E3/D3)/10.96)*0.5218*D3,0)</f>
        <v>181.55402554744529</v>
      </c>
      <c r="N3" s="64">
        <f t="shared" ref="N3:N66" si="1">IFERROR((((I3/H3)/5.3)*0.401)*H3,0)</f>
        <v>44.336981132075465</v>
      </c>
      <c r="O3" s="65">
        <f>MAX(QB!D5*Scoring!$B$30+QB!E5/Scoring!$C$30+QB!F5*Scoring!$D$30+QB!G5*Scoring!$E$30+QB!H5*Scoring!$F$30+QB!I5/Scoring!$G$30+QB!J5*Scoring!$H$30+QB!K5*Scoring!$I$30+M5*Scoring!$J$30+QB!N5*Scoring!$K$30,0)+C5*Scoring!$B$10*0.07+(C5-D5)*Scoring!$B$5</f>
        <v>347.46000000000004</v>
      </c>
      <c r="P3" s="65">
        <f>MAX(QB!D3*Scoring!$B$30+QB!E3/Scoring!$C$30+QB!F3*Scoring!$D$30+QB!G3*Scoring!$E$30+QB!H3*Scoring!$F$30+QB!I3/Scoring!$G$30+QB!J3*Scoring!$H$30+QB!K3*Scoring!$I$30+M3*Scoring!$J$30+QB!N3*Scoring!$K$30,0)+C3*Scoring!$B$10*0.07+(C3-D3)*Scoring!$B$5</f>
        <v>370.73600000000005</v>
      </c>
      <c r="Q3" s="65">
        <f>MAX(QB!D4*Scoring!$B$30+QB!E4/Scoring!$C$30+QB!F4*Scoring!$D$30+QB!G4*Scoring!$E$30+QB!H4*Scoring!$F$30+QB!I4/Scoring!$G$30+QB!J4*Scoring!$H$30+QB!K4*Scoring!$I$30+M4*Scoring!$J$30+QB!N4*Scoring!$K$30,0)+C4*Scoring!$B$10*0.07+(C4-D4)*Scoring!$B$5</f>
        <v>396.96799999999996</v>
      </c>
    </row>
    <row r="4" spans="1:17" ht="14.25" customHeight="1" x14ac:dyDescent="0.3">
      <c r="B4" t="s">
        <v>472</v>
      </c>
      <c r="C4">
        <v>508.2</v>
      </c>
      <c r="D4">
        <v>340.1</v>
      </c>
      <c r="E4">
        <v>3949.2</v>
      </c>
      <c r="F4">
        <v>30</v>
      </c>
      <c r="G4">
        <v>9</v>
      </c>
      <c r="H4">
        <v>125</v>
      </c>
      <c r="I4">
        <v>610</v>
      </c>
      <c r="J4">
        <v>12.5</v>
      </c>
      <c r="K4">
        <v>4</v>
      </c>
      <c r="L4">
        <v>396</v>
      </c>
      <c r="M4" s="64">
        <f t="shared" si="0"/>
        <v>188.01939416058391</v>
      </c>
      <c r="N4" s="64">
        <f t="shared" si="1"/>
        <v>46.152830188679253</v>
      </c>
      <c r="O4" s="65"/>
      <c r="P4" s="65"/>
      <c r="Q4" s="65"/>
    </row>
    <row r="5" spans="1:17" ht="14.25" customHeight="1" x14ac:dyDescent="0.3">
      <c r="B5" t="s">
        <v>473</v>
      </c>
      <c r="C5">
        <v>479</v>
      </c>
      <c r="D5">
        <v>326</v>
      </c>
      <c r="E5">
        <v>3704</v>
      </c>
      <c r="F5">
        <v>26</v>
      </c>
      <c r="G5">
        <v>13</v>
      </c>
      <c r="H5">
        <v>113</v>
      </c>
      <c r="I5">
        <v>567</v>
      </c>
      <c r="J5">
        <v>10</v>
      </c>
      <c r="K5">
        <v>4.2</v>
      </c>
      <c r="L5">
        <v>370.6</v>
      </c>
      <c r="M5" s="64">
        <f t="shared" si="0"/>
        <v>176.34554744525548</v>
      </c>
      <c r="N5" s="64">
        <f t="shared" si="1"/>
        <v>42.899433962264148</v>
      </c>
      <c r="O5" s="65"/>
      <c r="P5" s="65"/>
      <c r="Q5" s="65"/>
    </row>
    <row r="6" spans="1:17" ht="14.25" customHeight="1" x14ac:dyDescent="0.3">
      <c r="A6" t="s">
        <v>474</v>
      </c>
      <c r="B6" t="s">
        <v>475</v>
      </c>
      <c r="C6">
        <v>448.9</v>
      </c>
      <c r="D6">
        <v>291.60000000000002</v>
      </c>
      <c r="E6">
        <v>3651.3</v>
      </c>
      <c r="F6">
        <v>28.3</v>
      </c>
      <c r="G6">
        <v>9.6</v>
      </c>
      <c r="H6">
        <v>118.7</v>
      </c>
      <c r="I6">
        <v>640.29999999999995</v>
      </c>
      <c r="J6">
        <v>3.2</v>
      </c>
      <c r="K6">
        <v>4.2</v>
      </c>
      <c r="L6">
        <v>324.8</v>
      </c>
      <c r="M6" s="64">
        <f t="shared" si="0"/>
        <v>173.83652737226276</v>
      </c>
      <c r="N6" s="64">
        <f t="shared" si="1"/>
        <v>48.445339622641512</v>
      </c>
      <c r="O6" s="65">
        <f>MAX(QB!D8*Scoring!$B$30+QB!E8/Scoring!$C$30+QB!F8*Scoring!$D$30+QB!G8*Scoring!$E$30+QB!H8*Scoring!$F$30+QB!I8/Scoring!$G$30+QB!J8*Scoring!$H$30+QB!K8*Scoring!$I$30+M8*Scoring!$J$30+QB!N8*Scoring!$K$30,0)+C8*Scoring!$B$10*0.07+(C8-D8)*Scoring!$B$5</f>
        <v>297.35999999999996</v>
      </c>
      <c r="P6" s="65">
        <f>MAX(QB!D6*Scoring!$B$30+QB!E6/Scoring!$C$30+QB!F6*Scoring!$D$30+QB!G6*Scoring!$E$30+QB!H6*Scoring!$F$30+QB!I6/Scoring!$G$30+QB!J6*Scoring!$H$30+QB!K6*Scoring!$I$30+M6*Scoring!$J$30+QB!N6*Scoring!$K$30,0)+C6*Scoring!$B$10*0.07+(C6-D6)*Scoring!$B$5</f>
        <v>324.48200000000003</v>
      </c>
      <c r="Q6" s="65">
        <f>MAX(QB!D7*Scoring!$B$30+QB!E7/Scoring!$C$30+QB!F7*Scoring!$D$30+QB!G7*Scoring!$E$30+QB!H7*Scoring!$F$30+QB!I7/Scoring!$G$30+QB!J7*Scoring!$H$30+QB!K7*Scoring!$I$30+M7*Scoring!$J$30+QB!N7*Scoring!$K$30,0)+C7*Scoring!$B$10*0.07+(C7-D7)*Scoring!$B$5</f>
        <v>360.71199999999999</v>
      </c>
    </row>
    <row r="7" spans="1:17" ht="14.25" customHeight="1" x14ac:dyDescent="0.3">
      <c r="B7" t="s">
        <v>472</v>
      </c>
      <c r="C7">
        <v>475</v>
      </c>
      <c r="D7">
        <v>304</v>
      </c>
      <c r="E7">
        <v>3885.8</v>
      </c>
      <c r="F7">
        <v>33</v>
      </c>
      <c r="G7">
        <v>8</v>
      </c>
      <c r="H7">
        <v>127</v>
      </c>
      <c r="I7">
        <v>670.8</v>
      </c>
      <c r="J7">
        <v>3.7</v>
      </c>
      <c r="K7">
        <v>4</v>
      </c>
      <c r="L7">
        <v>362</v>
      </c>
      <c r="M7" s="64">
        <f t="shared" si="0"/>
        <v>185.00095255474452</v>
      </c>
      <c r="N7" s="64">
        <f t="shared" si="1"/>
        <v>50.752981132075469</v>
      </c>
      <c r="O7" s="65"/>
      <c r="P7" s="65"/>
      <c r="Q7" s="65"/>
    </row>
    <row r="8" spans="1:17" ht="14.25" customHeight="1" x14ac:dyDescent="0.3">
      <c r="B8" t="s">
        <v>473</v>
      </c>
      <c r="C8">
        <v>405</v>
      </c>
      <c r="D8">
        <v>268</v>
      </c>
      <c r="E8">
        <v>3364</v>
      </c>
      <c r="F8">
        <v>26</v>
      </c>
      <c r="G8">
        <v>11</v>
      </c>
      <c r="H8">
        <v>107</v>
      </c>
      <c r="I8">
        <v>604</v>
      </c>
      <c r="J8">
        <v>3</v>
      </c>
      <c r="K8">
        <v>4.3</v>
      </c>
      <c r="L8">
        <v>322.5</v>
      </c>
      <c r="M8" s="64">
        <f t="shared" si="0"/>
        <v>160.1583211678832</v>
      </c>
      <c r="N8" s="64">
        <f t="shared" si="1"/>
        <v>45.698867924528308</v>
      </c>
      <c r="O8" s="65"/>
      <c r="P8" s="65"/>
      <c r="Q8" s="65"/>
    </row>
    <row r="9" spans="1:17" ht="14.25" customHeight="1" x14ac:dyDescent="0.3">
      <c r="A9" t="s">
        <v>478</v>
      </c>
      <c r="B9" t="s">
        <v>479</v>
      </c>
      <c r="C9">
        <v>492.8</v>
      </c>
      <c r="D9">
        <v>321.8</v>
      </c>
      <c r="E9">
        <v>3677.4</v>
      </c>
      <c r="F9">
        <v>23.8</v>
      </c>
      <c r="G9">
        <v>11</v>
      </c>
      <c r="H9">
        <v>130</v>
      </c>
      <c r="I9">
        <v>685.7</v>
      </c>
      <c r="J9">
        <v>4.7</v>
      </c>
      <c r="K9">
        <v>2.8</v>
      </c>
      <c r="L9">
        <v>322.2</v>
      </c>
      <c r="M9" s="64">
        <f t="shared" si="0"/>
        <v>175.07913503649635</v>
      </c>
      <c r="N9" s="64">
        <f t="shared" si="1"/>
        <v>51.88032075471699</v>
      </c>
      <c r="O9" s="65">
        <f>MAX(QB!D11*Scoring!$B$30+QB!E11/Scoring!$C$30+QB!F11*Scoring!$D$30+QB!G11*Scoring!$E$30+QB!H11*Scoring!$F$30+QB!I11/Scoring!$G$30+QB!J11*Scoring!$H$30+QB!K11*Scoring!$I$30+M11*Scoring!$J$30+QB!N11*Scoring!$K$30,0)+C11*Scoring!$B$10*0.07+(C11-D11)*Scoring!$B$5</f>
        <v>294.64</v>
      </c>
      <c r="P9" s="65">
        <f>MAX(QB!D9*Scoring!$B$30+QB!E9/Scoring!$C$30+QB!F9*Scoring!$D$30+QB!G9*Scoring!$E$30+QB!H9*Scoring!$F$30+QB!I9/Scoring!$G$30+QB!J9*Scoring!$H$30+QB!K9*Scoring!$I$30+M9*Scoring!$J$30+QB!N9*Scoring!$K$30,0)+C9*Scoring!$B$10*0.07+(C9-D9)*Scoring!$B$5</f>
        <v>322.46599999999995</v>
      </c>
      <c r="Q9" s="65">
        <f>MAX(QB!D10*Scoring!$B$30+QB!E10/Scoring!$C$30+QB!F10*Scoring!$D$30+QB!G10*Scoring!$E$30+QB!H10*Scoring!$F$30+QB!I10/Scoring!$G$30+QB!J10*Scoring!$H$30+QB!K10*Scoring!$I$30+M10*Scoring!$J$30+QB!N10*Scoring!$K$30,0)+C10*Scoring!$B$10*0.07+(C10-D10)*Scoring!$B$5</f>
        <v>349.14799999999997</v>
      </c>
    </row>
    <row r="10" spans="1:17" ht="14.25" customHeight="1" x14ac:dyDescent="0.3">
      <c r="B10" t="s">
        <v>472</v>
      </c>
      <c r="C10">
        <v>519.4</v>
      </c>
      <c r="D10">
        <v>346.5</v>
      </c>
      <c r="E10">
        <v>3846.2</v>
      </c>
      <c r="F10">
        <v>26</v>
      </c>
      <c r="G10">
        <v>9.9</v>
      </c>
      <c r="H10">
        <v>140</v>
      </c>
      <c r="I10">
        <v>746</v>
      </c>
      <c r="J10">
        <v>5.0999999999999996</v>
      </c>
      <c r="K10">
        <v>2</v>
      </c>
      <c r="L10">
        <v>353</v>
      </c>
      <c r="M10" s="64">
        <f t="shared" si="0"/>
        <v>183.11561678832112</v>
      </c>
      <c r="N10" s="64">
        <f t="shared" si="1"/>
        <v>56.442641509433955</v>
      </c>
      <c r="O10" s="65"/>
      <c r="P10" s="65"/>
      <c r="Q10" s="65"/>
    </row>
    <row r="11" spans="1:17" ht="14.25" customHeight="1" x14ac:dyDescent="0.3">
      <c r="B11" t="s">
        <v>473</v>
      </c>
      <c r="C11">
        <v>463</v>
      </c>
      <c r="D11">
        <v>292</v>
      </c>
      <c r="E11">
        <v>3416</v>
      </c>
      <c r="F11">
        <v>22.3</v>
      </c>
      <c r="G11">
        <v>12</v>
      </c>
      <c r="H11">
        <v>119</v>
      </c>
      <c r="I11">
        <v>642</v>
      </c>
      <c r="J11">
        <v>4</v>
      </c>
      <c r="K11">
        <v>3.7</v>
      </c>
      <c r="L11">
        <v>317.5</v>
      </c>
      <c r="M11" s="64">
        <f t="shared" si="0"/>
        <v>162.63401459854012</v>
      </c>
      <c r="N11" s="64">
        <f t="shared" si="1"/>
        <v>48.573962264150957</v>
      </c>
      <c r="O11" s="65"/>
      <c r="P11" s="65"/>
      <c r="Q11" s="65"/>
    </row>
    <row r="12" spans="1:17" ht="14.25" customHeight="1" x14ac:dyDescent="0.3">
      <c r="A12" t="s">
        <v>476</v>
      </c>
      <c r="B12" t="s">
        <v>477</v>
      </c>
      <c r="C12">
        <v>496.7</v>
      </c>
      <c r="D12">
        <v>341.4</v>
      </c>
      <c r="E12">
        <v>4003.5</v>
      </c>
      <c r="F12">
        <v>27.7</v>
      </c>
      <c r="G12">
        <v>10.4</v>
      </c>
      <c r="H12">
        <v>99.4</v>
      </c>
      <c r="I12">
        <v>494.2</v>
      </c>
      <c r="J12">
        <v>3.7</v>
      </c>
      <c r="K12">
        <v>5.6</v>
      </c>
      <c r="L12">
        <v>321</v>
      </c>
      <c r="M12" s="64">
        <f t="shared" si="0"/>
        <v>190.60458941605839</v>
      </c>
      <c r="N12" s="64">
        <f t="shared" si="1"/>
        <v>37.391358490566041</v>
      </c>
      <c r="O12" s="65">
        <f>MAX(QB!D14*Scoring!$B$30+QB!E14/Scoring!$C$30+QB!F14*Scoring!$D$30+QB!G14*Scoring!$E$30+QB!H14*Scoring!$F$30+QB!I14/Scoring!$G$30+QB!J14*Scoring!$H$30+QB!K14*Scoring!$I$30+M14*Scoring!$J$30+QB!N14*Scoring!$K$30,0)+C14*Scoring!$B$10*0.07+(C14-D14)*Scoring!$B$5</f>
        <v>300.98</v>
      </c>
      <c r="P12" s="65">
        <f>MAX(QB!D12*Scoring!$B$30+QB!E12/Scoring!$C$30+QB!F12*Scoring!$D$30+QB!G12*Scoring!$E$30+QB!H12*Scoring!$F$30+QB!I12/Scoring!$G$30+QB!J12*Scoring!$H$30+QB!K12*Scoring!$I$30+M12*Scoring!$J$30+QB!N12*Scoring!$K$30,0)+C12*Scoring!$B$10*0.07+(C12-D12)*Scoring!$B$5</f>
        <v>320.96000000000004</v>
      </c>
      <c r="Q12" s="65">
        <f>MAX(QB!D13*Scoring!$B$30+QB!E13/Scoring!$C$30+QB!F13*Scoring!$D$30+QB!G13*Scoring!$E$30+QB!H13*Scoring!$F$30+QB!I13/Scoring!$G$30+QB!J13*Scoring!$H$30+QB!K13*Scoring!$I$30+M13*Scoring!$J$30+QB!N13*Scoring!$K$30,0)+C13*Scoring!$B$10*0.07+(C13-D13)*Scoring!$B$5</f>
        <v>334.64400000000006</v>
      </c>
    </row>
    <row r="13" spans="1:17" ht="14.25" customHeight="1" x14ac:dyDescent="0.3">
      <c r="B13" t="s">
        <v>472</v>
      </c>
      <c r="C13">
        <v>519.20000000000005</v>
      </c>
      <c r="D13">
        <v>355.1</v>
      </c>
      <c r="E13">
        <v>4099.6000000000004</v>
      </c>
      <c r="F13">
        <v>28</v>
      </c>
      <c r="G13">
        <v>9</v>
      </c>
      <c r="H13">
        <v>101.1</v>
      </c>
      <c r="I13">
        <v>532.6</v>
      </c>
      <c r="J13">
        <v>4.0999999999999996</v>
      </c>
      <c r="K13">
        <v>5.0999999999999996</v>
      </c>
      <c r="L13">
        <v>350</v>
      </c>
      <c r="M13" s="64">
        <f t="shared" si="0"/>
        <v>195.17986131386863</v>
      </c>
      <c r="N13" s="64">
        <f t="shared" si="1"/>
        <v>40.296716981132079</v>
      </c>
      <c r="O13" s="65"/>
      <c r="P13" s="65"/>
      <c r="Q13" s="65"/>
    </row>
    <row r="14" spans="1:17" ht="14.25" customHeight="1" x14ac:dyDescent="0.3">
      <c r="B14" t="s">
        <v>473</v>
      </c>
      <c r="C14">
        <v>477</v>
      </c>
      <c r="D14">
        <v>328</v>
      </c>
      <c r="E14">
        <v>3862</v>
      </c>
      <c r="F14">
        <v>27.1</v>
      </c>
      <c r="G14">
        <v>11.2</v>
      </c>
      <c r="H14">
        <v>96</v>
      </c>
      <c r="I14">
        <v>433</v>
      </c>
      <c r="J14">
        <v>3</v>
      </c>
      <c r="K14">
        <v>6</v>
      </c>
      <c r="L14">
        <v>320.2</v>
      </c>
      <c r="M14" s="64">
        <f t="shared" si="0"/>
        <v>183.86784671532845</v>
      </c>
      <c r="N14" s="64">
        <f t="shared" si="1"/>
        <v>32.760943396226416</v>
      </c>
      <c r="O14" s="65"/>
      <c r="P14" s="65"/>
      <c r="Q14" s="65"/>
    </row>
    <row r="15" spans="1:17" ht="14.25" customHeight="1" x14ac:dyDescent="0.3">
      <c r="A15" t="s">
        <v>480</v>
      </c>
      <c r="B15" t="s">
        <v>481</v>
      </c>
      <c r="C15">
        <v>488</v>
      </c>
      <c r="D15">
        <v>316.8</v>
      </c>
      <c r="E15">
        <v>3566.5</v>
      </c>
      <c r="F15">
        <v>24.2</v>
      </c>
      <c r="G15">
        <v>7.4</v>
      </c>
      <c r="H15">
        <v>111.8</v>
      </c>
      <c r="I15">
        <v>461.1</v>
      </c>
      <c r="J15">
        <v>8.4</v>
      </c>
      <c r="K15">
        <v>4</v>
      </c>
      <c r="L15">
        <v>320.2</v>
      </c>
      <c r="M15" s="64">
        <f t="shared" si="0"/>
        <v>169.79924270072993</v>
      </c>
      <c r="N15" s="64">
        <f t="shared" si="1"/>
        <v>34.887000000000008</v>
      </c>
      <c r="O15" s="65">
        <f>MAX(QB!D17*Scoring!$B$30+QB!E17/Scoring!$C$30+QB!F17*Scoring!$D$30+QB!G17*Scoring!$E$30+QB!H17*Scoring!$F$30+QB!I17/Scoring!$G$30+QB!J17*Scoring!$H$30+QB!K17*Scoring!$I$30+M17*Scoring!$J$30+QB!N17*Scoring!$K$30,0)+C17*Scoring!$B$10*0.07+(C17-D17)*Scoring!$B$5</f>
        <v>301.02000000000004</v>
      </c>
      <c r="P15" s="65">
        <f>MAX(QB!D15*Scoring!$B$30+QB!E15/Scoring!$C$30+QB!F15*Scoring!$D$30+QB!G15*Scoring!$E$30+QB!H15*Scoring!$F$30+QB!I15/Scoring!$G$30+QB!J15*Scoring!$H$30+QB!K15*Scoring!$I$30+M15*Scoring!$J$30+QB!N15*Scoring!$K$30,0)+C15*Scoring!$B$10*0.07+(C15-D15)*Scoring!$B$5</f>
        <v>320.56999999999994</v>
      </c>
      <c r="Q15" s="65">
        <f>MAX(QB!D16*Scoring!$B$30+QB!E16/Scoring!$C$30+QB!F16*Scoring!$D$30+QB!G16*Scoring!$E$30+QB!H16*Scoring!$F$30+QB!I16/Scoring!$G$30+QB!J16*Scoring!$H$30+QB!K16*Scoring!$I$30+M16*Scoring!$J$30+QB!N16*Scoring!$K$30,0)+C16*Scoring!$B$10*0.07+(C16-D16)*Scoring!$B$5</f>
        <v>344.66399999999999</v>
      </c>
    </row>
    <row r="16" spans="1:17" ht="14.25" customHeight="1" x14ac:dyDescent="0.3">
      <c r="B16" t="s">
        <v>472</v>
      </c>
      <c r="C16">
        <v>499.1</v>
      </c>
      <c r="D16">
        <v>327.39999999999998</v>
      </c>
      <c r="E16">
        <v>3776.6</v>
      </c>
      <c r="F16">
        <v>26</v>
      </c>
      <c r="G16">
        <v>6</v>
      </c>
      <c r="H16">
        <v>118</v>
      </c>
      <c r="I16">
        <v>490</v>
      </c>
      <c r="J16">
        <v>9.1</v>
      </c>
      <c r="K16">
        <v>4</v>
      </c>
      <c r="L16">
        <v>348</v>
      </c>
      <c r="M16" s="64">
        <f t="shared" si="0"/>
        <v>179.80199635036493</v>
      </c>
      <c r="N16" s="64">
        <f t="shared" si="1"/>
        <v>37.073584905660383</v>
      </c>
      <c r="O16" s="65"/>
      <c r="P16" s="65"/>
      <c r="Q16" s="65"/>
    </row>
    <row r="17" spans="1:17" ht="14.25" customHeight="1" x14ac:dyDescent="0.3">
      <c r="B17" t="s">
        <v>473</v>
      </c>
      <c r="C17">
        <v>471</v>
      </c>
      <c r="D17">
        <v>302</v>
      </c>
      <c r="E17">
        <v>3367</v>
      </c>
      <c r="F17">
        <v>23</v>
      </c>
      <c r="G17">
        <v>9.1999999999999993</v>
      </c>
      <c r="H17">
        <v>106.3</v>
      </c>
      <c r="I17">
        <v>437.4</v>
      </c>
      <c r="J17">
        <v>8</v>
      </c>
      <c r="K17">
        <v>4.0999999999999996</v>
      </c>
      <c r="L17">
        <v>319.8</v>
      </c>
      <c r="M17" s="64">
        <f t="shared" si="0"/>
        <v>160.3011496350365</v>
      </c>
      <c r="N17" s="64">
        <f t="shared" si="1"/>
        <v>33.093849056603773</v>
      </c>
      <c r="O17" s="65"/>
      <c r="P17" s="65"/>
      <c r="Q17" s="65"/>
    </row>
    <row r="18" spans="1:17" ht="14.25" customHeight="1" x14ac:dyDescent="0.3">
      <c r="A18" t="s">
        <v>482</v>
      </c>
      <c r="B18" t="s">
        <v>483</v>
      </c>
      <c r="C18">
        <v>591.5</v>
      </c>
      <c r="D18">
        <v>395.8</v>
      </c>
      <c r="E18">
        <v>4175.3999999999996</v>
      </c>
      <c r="F18">
        <v>33.299999999999997</v>
      </c>
      <c r="G18">
        <v>11.6</v>
      </c>
      <c r="H18">
        <v>48.2</v>
      </c>
      <c r="I18">
        <v>178.9</v>
      </c>
      <c r="J18">
        <v>1.4</v>
      </c>
      <c r="K18">
        <v>1.9</v>
      </c>
      <c r="L18">
        <v>310.8</v>
      </c>
      <c r="M18" s="64">
        <f t="shared" si="0"/>
        <v>198.78866058394158</v>
      </c>
      <c r="N18" s="64">
        <f t="shared" si="1"/>
        <v>13.535641509433963</v>
      </c>
      <c r="O18" s="65">
        <f>MAX(QB!D20*Scoring!$B$30+QB!E20/Scoring!$C$30+QB!F20*Scoring!$D$30+QB!G20*Scoring!$E$30+QB!H20*Scoring!$F$30+QB!I20/Scoring!$G$30+QB!J20*Scoring!$H$30+QB!K20*Scoring!$I$30+M20*Scoring!$J$30+QB!N20*Scoring!$K$30,0)+C20*Scoring!$B$10*0.07+(C20-D20)*Scoring!$B$5</f>
        <v>299.52000000000004</v>
      </c>
      <c r="P18" s="65">
        <f>MAX(QB!D18*Scoring!$B$30+QB!E18/Scoring!$C$30+QB!F18*Scoring!$D$30+QB!G18*Scoring!$E$30+QB!H18*Scoring!$F$30+QB!I18/Scoring!$G$30+QB!J18*Scoring!$H$30+QB!K18*Scoring!$I$30+M18*Scoring!$J$30+QB!N18*Scoring!$K$30,0)+C18*Scoring!$B$10*0.07+(C18-D18)*Scoring!$B$5</f>
        <v>311.10599999999994</v>
      </c>
      <c r="Q18" s="65">
        <f>MAX(QB!D19*Scoring!$B$30+QB!E19/Scoring!$C$30+QB!F19*Scoring!$D$30+QB!G19*Scoring!$E$30+QB!H19*Scoring!$F$30+QB!I19/Scoring!$G$30+QB!J19*Scoring!$H$30+QB!K19*Scoring!$I$30+M19*Scoring!$J$30+QB!N19*Scoring!$K$30,0)+C19*Scoring!$B$10*0.07+(C19-D19)*Scoring!$B$5</f>
        <v>326.14000000000004</v>
      </c>
    </row>
    <row r="19" spans="1:17" ht="14.25" customHeight="1" x14ac:dyDescent="0.3">
      <c r="B19" t="s">
        <v>472</v>
      </c>
      <c r="C19">
        <v>621</v>
      </c>
      <c r="D19">
        <v>410</v>
      </c>
      <c r="E19">
        <v>4267</v>
      </c>
      <c r="F19">
        <v>34</v>
      </c>
      <c r="G19">
        <v>10</v>
      </c>
      <c r="H19">
        <v>61</v>
      </c>
      <c r="I19">
        <v>188.6</v>
      </c>
      <c r="J19">
        <v>2.1</v>
      </c>
      <c r="K19">
        <v>1</v>
      </c>
      <c r="L19">
        <v>351</v>
      </c>
      <c r="M19" s="64">
        <f t="shared" si="0"/>
        <v>203.14968978102192</v>
      </c>
      <c r="N19" s="64">
        <f t="shared" si="1"/>
        <v>14.26954716981132</v>
      </c>
      <c r="O19" s="65"/>
      <c r="P19" s="65"/>
      <c r="Q19" s="65"/>
    </row>
    <row r="20" spans="1:17" ht="14.25" customHeight="1" x14ac:dyDescent="0.3">
      <c r="B20" t="s">
        <v>473</v>
      </c>
      <c r="C20">
        <v>572.5</v>
      </c>
      <c r="D20">
        <v>387.4</v>
      </c>
      <c r="E20">
        <v>4128</v>
      </c>
      <c r="F20">
        <v>32.9</v>
      </c>
      <c r="G20">
        <v>14</v>
      </c>
      <c r="H20">
        <v>32</v>
      </c>
      <c r="I20">
        <v>166</v>
      </c>
      <c r="J20">
        <v>1</v>
      </c>
      <c r="K20">
        <v>2.9</v>
      </c>
      <c r="L20">
        <v>304.3</v>
      </c>
      <c r="M20" s="64">
        <f t="shared" si="0"/>
        <v>196.53197080291969</v>
      </c>
      <c r="N20" s="64">
        <f t="shared" si="1"/>
        <v>12.559622641509435</v>
      </c>
      <c r="O20" s="65"/>
      <c r="P20" s="65"/>
      <c r="Q20" s="65"/>
    </row>
    <row r="21" spans="1:17" ht="14.25" customHeight="1" x14ac:dyDescent="0.3">
      <c r="A21" t="s">
        <v>484</v>
      </c>
      <c r="B21" t="s">
        <v>485</v>
      </c>
      <c r="C21">
        <v>509</v>
      </c>
      <c r="D21">
        <v>324</v>
      </c>
      <c r="E21">
        <v>3585.9</v>
      </c>
      <c r="F21">
        <v>22.3</v>
      </c>
      <c r="G21">
        <v>11</v>
      </c>
      <c r="H21">
        <v>100.9</v>
      </c>
      <c r="I21">
        <v>549.29999999999995</v>
      </c>
      <c r="J21">
        <v>6.5</v>
      </c>
      <c r="K21">
        <v>2.9</v>
      </c>
      <c r="L21">
        <v>309.5</v>
      </c>
      <c r="M21" s="64">
        <f t="shared" si="0"/>
        <v>170.72286678832117</v>
      </c>
      <c r="N21" s="64">
        <f t="shared" si="1"/>
        <v>41.560245283018872</v>
      </c>
      <c r="O21" s="65">
        <f>MAX(QB!D23*Scoring!$B$30+QB!E23/Scoring!$C$30+QB!F23*Scoring!$D$30+QB!G23*Scoring!$E$30+QB!H23*Scoring!$F$30+QB!I23/Scoring!$G$30+QB!J23*Scoring!$H$30+QB!K23*Scoring!$I$30+M23*Scoring!$J$30+QB!N23*Scoring!$K$30,0)+C23*Scoring!$B$10*0.07+(C23-D23)*Scoring!$B$5</f>
        <v>288.06000000000006</v>
      </c>
      <c r="P21" s="65">
        <f>MAX(QB!D21*Scoring!$B$30+QB!E21/Scoring!$C$30+QB!F21*Scoring!$D$30+QB!G21*Scoring!$E$30+QB!H21*Scoring!$F$30+QB!I21/Scoring!$G$30+QB!J21*Scoring!$H$30+QB!K21*Scoring!$I$30+M21*Scoring!$J$30+QB!N21*Scoring!$K$30,0)+C21*Scoring!$B$10*0.07+(C21-D21)*Scoring!$B$5</f>
        <v>309.76600000000002</v>
      </c>
      <c r="Q21" s="65">
        <f>MAX(QB!D22*Scoring!$B$30+QB!E22/Scoring!$C$30+QB!F22*Scoring!$D$30+QB!G22*Scoring!$E$30+QB!H22*Scoring!$F$30+QB!I22/Scoring!$G$30+QB!J22*Scoring!$H$30+QB!K22*Scoring!$I$30+M22*Scoring!$J$30+QB!N22*Scoring!$K$30,0)+C22*Scoring!$B$10*0.07+(C22-D22)*Scoring!$B$5</f>
        <v>336.55200000000002</v>
      </c>
    </row>
    <row r="22" spans="1:17" ht="14.25" customHeight="1" x14ac:dyDescent="0.3">
      <c r="B22" t="s">
        <v>472</v>
      </c>
      <c r="C22">
        <v>517</v>
      </c>
      <c r="D22">
        <v>331</v>
      </c>
      <c r="E22">
        <v>3678.8</v>
      </c>
      <c r="F22">
        <v>26</v>
      </c>
      <c r="G22">
        <v>9</v>
      </c>
      <c r="H22">
        <v>103</v>
      </c>
      <c r="I22">
        <v>564</v>
      </c>
      <c r="J22">
        <v>7</v>
      </c>
      <c r="K22">
        <v>2</v>
      </c>
      <c r="L22">
        <v>346</v>
      </c>
      <c r="M22" s="64">
        <f t="shared" si="0"/>
        <v>175.14578832116791</v>
      </c>
      <c r="N22" s="64">
        <f t="shared" si="1"/>
        <v>42.672452830188689</v>
      </c>
      <c r="O22" s="65"/>
      <c r="P22" s="65"/>
      <c r="Q22" s="65"/>
    </row>
    <row r="23" spans="1:17" ht="14.25" customHeight="1" x14ac:dyDescent="0.3">
      <c r="B23" t="s">
        <v>473</v>
      </c>
      <c r="C23">
        <v>502.1</v>
      </c>
      <c r="D23">
        <v>315</v>
      </c>
      <c r="E23">
        <v>3509</v>
      </c>
      <c r="F23">
        <v>20</v>
      </c>
      <c r="G23">
        <v>14</v>
      </c>
      <c r="H23">
        <v>99</v>
      </c>
      <c r="I23">
        <v>531</v>
      </c>
      <c r="J23">
        <v>6</v>
      </c>
      <c r="K23">
        <v>3.7</v>
      </c>
      <c r="L23">
        <v>299.5</v>
      </c>
      <c r="M23" s="64">
        <f t="shared" si="0"/>
        <v>167.06169708029196</v>
      </c>
      <c r="N23" s="64">
        <f t="shared" si="1"/>
        <v>40.17566037735849</v>
      </c>
      <c r="O23" s="65"/>
      <c r="P23" s="65"/>
      <c r="Q23" s="65"/>
    </row>
    <row r="24" spans="1:17" ht="14.25" customHeight="1" x14ac:dyDescent="0.3">
      <c r="A24" t="s">
        <v>488</v>
      </c>
      <c r="B24" t="s">
        <v>489</v>
      </c>
      <c r="C24">
        <v>545.70000000000005</v>
      </c>
      <c r="D24">
        <v>336.1</v>
      </c>
      <c r="E24">
        <v>3912.5</v>
      </c>
      <c r="F24">
        <v>27</v>
      </c>
      <c r="G24">
        <v>13</v>
      </c>
      <c r="H24">
        <v>72.5</v>
      </c>
      <c r="I24">
        <v>322</v>
      </c>
      <c r="J24">
        <v>4.9000000000000004</v>
      </c>
      <c r="K24">
        <v>3.4</v>
      </c>
      <c r="L24">
        <v>306.60000000000002</v>
      </c>
      <c r="M24" s="64">
        <f t="shared" si="0"/>
        <v>186.27212591240874</v>
      </c>
      <c r="N24" s="64">
        <f t="shared" si="1"/>
        <v>24.362641509433967</v>
      </c>
      <c r="O24" s="65">
        <f>MAX(QB!D26*Scoring!$B$30+QB!E26/Scoring!$C$30+QB!F26*Scoring!$D$30+QB!G26*Scoring!$E$30+QB!H26*Scoring!$F$30+QB!I26/Scoring!$G$30+QB!J26*Scoring!$H$30+QB!K26*Scoring!$I$30+M26*Scoring!$J$30+QB!N26*Scoring!$K$30,0)+C26*Scoring!$B$10*0.07+(C26-D26)*Scoring!$B$5</f>
        <v>285.26</v>
      </c>
      <c r="P24" s="65">
        <f>MAX(QB!D24*Scoring!$B$30+QB!E24/Scoring!$C$30+QB!F24*Scoring!$D$30+QB!G24*Scoring!$E$30+QB!H24*Scoring!$F$30+QB!I24/Scoring!$G$30+QB!J24*Scoring!$H$30+QB!K24*Scoring!$I$30+M24*Scoring!$J$30+QB!N24*Scoring!$K$30,0)+C24*Scoring!$B$10*0.07+(C24-D24)*Scoring!$B$5</f>
        <v>306.29999999999995</v>
      </c>
      <c r="Q24" s="65">
        <f>MAX(QB!D25*Scoring!$B$30+QB!E25/Scoring!$C$30+QB!F25*Scoring!$D$30+QB!G25*Scoring!$E$30+QB!H25*Scoring!$F$30+QB!I25/Scoring!$G$30+QB!J25*Scoring!$H$30+QB!K25*Scoring!$I$30+M25*Scoring!$J$30+QB!N25*Scoring!$K$30,0)+C25*Scoring!$B$10*0.07+(C25-D25)*Scoring!$B$5</f>
        <v>334.42999999999995</v>
      </c>
    </row>
    <row r="25" spans="1:17" ht="14.25" customHeight="1" x14ac:dyDescent="0.3">
      <c r="B25" t="s">
        <v>472</v>
      </c>
      <c r="C25">
        <v>560.1</v>
      </c>
      <c r="D25">
        <v>347.4</v>
      </c>
      <c r="E25">
        <v>3948</v>
      </c>
      <c r="F25">
        <v>31</v>
      </c>
      <c r="G25">
        <v>11</v>
      </c>
      <c r="H25">
        <v>77</v>
      </c>
      <c r="I25">
        <v>335.1</v>
      </c>
      <c r="J25">
        <v>6</v>
      </c>
      <c r="K25">
        <v>3</v>
      </c>
      <c r="L25">
        <v>357</v>
      </c>
      <c r="M25" s="64">
        <f t="shared" si="0"/>
        <v>187.96226277372264</v>
      </c>
      <c r="N25" s="64">
        <f t="shared" si="1"/>
        <v>25.353792452830195</v>
      </c>
      <c r="O25" s="65"/>
      <c r="P25" s="65"/>
      <c r="Q25" s="65"/>
    </row>
    <row r="26" spans="1:17" ht="14.25" customHeight="1" x14ac:dyDescent="0.3">
      <c r="B26" t="s">
        <v>473</v>
      </c>
      <c r="C26">
        <v>536</v>
      </c>
      <c r="D26">
        <v>326</v>
      </c>
      <c r="E26">
        <v>3844</v>
      </c>
      <c r="F26">
        <v>25</v>
      </c>
      <c r="G26">
        <v>15</v>
      </c>
      <c r="H26">
        <v>67</v>
      </c>
      <c r="I26">
        <v>301</v>
      </c>
      <c r="J26">
        <v>4</v>
      </c>
      <c r="K26">
        <v>3.8</v>
      </c>
      <c r="L26">
        <v>289.60000000000002</v>
      </c>
      <c r="M26" s="64">
        <f t="shared" si="0"/>
        <v>183.01087591240875</v>
      </c>
      <c r="N26" s="64">
        <f t="shared" si="1"/>
        <v>22.773773584905662</v>
      </c>
      <c r="O26" s="65"/>
      <c r="P26" s="65"/>
      <c r="Q26" s="65"/>
    </row>
    <row r="27" spans="1:17" ht="14.25" customHeight="1" x14ac:dyDescent="0.3">
      <c r="A27" t="s">
        <v>486</v>
      </c>
      <c r="B27" t="s">
        <v>487</v>
      </c>
      <c r="C27">
        <v>547.5</v>
      </c>
      <c r="D27">
        <v>369.6</v>
      </c>
      <c r="E27">
        <v>4154</v>
      </c>
      <c r="F27">
        <v>27.3</v>
      </c>
      <c r="G27">
        <v>14.3</v>
      </c>
      <c r="H27">
        <v>70.8</v>
      </c>
      <c r="I27">
        <v>304</v>
      </c>
      <c r="J27">
        <v>3.8</v>
      </c>
      <c r="K27">
        <v>4.3</v>
      </c>
      <c r="L27">
        <v>306</v>
      </c>
      <c r="M27" s="64">
        <f t="shared" si="0"/>
        <v>197.76981751824815</v>
      </c>
      <c r="N27" s="64">
        <f t="shared" si="1"/>
        <v>23.000754716981135</v>
      </c>
      <c r="O27" s="65">
        <f>MAX(QB!D29*Scoring!$B$30+QB!E29/Scoring!$C$30+QB!F29*Scoring!$D$30+QB!G29*Scoring!$E$30+QB!H29*Scoring!$F$30+QB!I29/Scoring!$G$30+QB!J29*Scoring!$H$30+QB!K29*Scoring!$I$30+M29*Scoring!$J$30+QB!N29*Scoring!$K$30,0)+C29*Scoring!$B$10*0.07+(C29-D29)*Scoring!$B$5</f>
        <v>288.70999999999998</v>
      </c>
      <c r="P27" s="65">
        <f>MAX(QB!D27*Scoring!$B$30+QB!E27/Scoring!$C$30+QB!F27*Scoring!$D$30+QB!G27*Scoring!$E$30+QB!H27*Scoring!$F$30+QB!I27/Scoring!$G$30+QB!J27*Scoring!$H$30+QB!K27*Scoring!$I$30+M27*Scoring!$J$30+QB!N27*Scoring!$K$30,0)+C27*Scoring!$B$10*0.07+(C27-D27)*Scoring!$B$5</f>
        <v>305.65999999999997</v>
      </c>
      <c r="Q27" s="65">
        <f>MAX(QB!D28*Scoring!$B$30+QB!E28/Scoring!$C$30+QB!F28*Scoring!$D$30+QB!G28*Scoring!$E$30+QB!H28*Scoring!$F$30+QB!I28/Scoring!$G$30+QB!J28*Scoring!$H$30+QB!K28*Scoring!$I$30+M28*Scoring!$J$30+QB!N28*Scoring!$K$30,0)+C28*Scoring!$B$10*0.07+(C28-D28)*Scoring!$B$5</f>
        <v>327.62</v>
      </c>
    </row>
    <row r="28" spans="1:17" ht="14.25" customHeight="1" x14ac:dyDescent="0.3">
      <c r="B28" t="s">
        <v>472</v>
      </c>
      <c r="C28">
        <v>558</v>
      </c>
      <c r="D28">
        <v>380</v>
      </c>
      <c r="E28">
        <v>4178</v>
      </c>
      <c r="F28">
        <v>29</v>
      </c>
      <c r="G28">
        <v>13</v>
      </c>
      <c r="H28">
        <v>82</v>
      </c>
      <c r="I28">
        <v>349</v>
      </c>
      <c r="J28">
        <v>5</v>
      </c>
      <c r="K28">
        <v>3.7</v>
      </c>
      <c r="L28">
        <v>344</v>
      </c>
      <c r="M28" s="64">
        <f t="shared" si="0"/>
        <v>198.91244525547447</v>
      </c>
      <c r="N28" s="64">
        <f t="shared" si="1"/>
        <v>26.40547169811321</v>
      </c>
      <c r="O28" s="65"/>
      <c r="P28" s="65"/>
      <c r="Q28" s="65"/>
    </row>
    <row r="29" spans="1:17" ht="14.25" customHeight="1" x14ac:dyDescent="0.3">
      <c r="B29" t="s">
        <v>473</v>
      </c>
      <c r="C29">
        <v>529.6</v>
      </c>
      <c r="D29">
        <v>351.8</v>
      </c>
      <c r="E29">
        <v>4125</v>
      </c>
      <c r="F29">
        <v>26</v>
      </c>
      <c r="G29">
        <v>16</v>
      </c>
      <c r="H29">
        <v>65</v>
      </c>
      <c r="I29">
        <v>277.10000000000002</v>
      </c>
      <c r="J29">
        <v>3</v>
      </c>
      <c r="K29">
        <v>5</v>
      </c>
      <c r="L29">
        <v>292.10000000000002</v>
      </c>
      <c r="M29" s="64">
        <f t="shared" si="0"/>
        <v>196.38914233576645</v>
      </c>
      <c r="N29" s="64">
        <f t="shared" si="1"/>
        <v>20.965490566037737</v>
      </c>
      <c r="O29" s="65"/>
      <c r="P29" s="65"/>
      <c r="Q29" s="65"/>
    </row>
    <row r="30" spans="1:17" ht="14.25" customHeight="1" x14ac:dyDescent="0.3">
      <c r="A30" t="s">
        <v>490</v>
      </c>
      <c r="B30" t="s">
        <v>491</v>
      </c>
      <c r="C30">
        <v>579.79999999999995</v>
      </c>
      <c r="D30">
        <v>382.4</v>
      </c>
      <c r="E30">
        <v>4275</v>
      </c>
      <c r="F30">
        <v>30.9</v>
      </c>
      <c r="G30">
        <v>11.3</v>
      </c>
      <c r="H30">
        <v>49.1</v>
      </c>
      <c r="I30">
        <v>173.3</v>
      </c>
      <c r="J30">
        <v>1.7</v>
      </c>
      <c r="K30">
        <v>2.8</v>
      </c>
      <c r="L30">
        <v>305.3</v>
      </c>
      <c r="M30" s="64">
        <f t="shared" si="0"/>
        <v>203.53056569343065</v>
      </c>
      <c r="N30" s="64">
        <f t="shared" si="1"/>
        <v>13.111943396226417</v>
      </c>
      <c r="O30" s="65">
        <f>MAX(QB!D32*Scoring!$B$30+QB!E32/Scoring!$C$30+QB!F32*Scoring!$D$30+QB!G32*Scoring!$E$30+QB!H32*Scoring!$F$30+QB!I32/Scoring!$G$30+QB!J32*Scoring!$H$30+QB!K32*Scoring!$I$30+M32*Scoring!$J$30+QB!N32*Scoring!$K$30,0)+C32*Scoring!$B$10*0.07+(C32-D32)*Scoring!$B$5</f>
        <v>286.02400000000006</v>
      </c>
      <c r="P30" s="65">
        <f>MAX(QB!D30*Scoring!$B$30+QB!E30/Scoring!$C$30+QB!F30*Scoring!$D$30+QB!G30*Scoring!$E$30+QB!H30*Scoring!$F$30+QB!I30/Scoring!$G$30+QB!J30*Scoring!$H$30+QB!K30*Scoring!$I$30+M30*Scoring!$J$30+QB!N30*Scoring!$K$30,0)+C30*Scoring!$B$10*0.07+(C30-D30)*Scoring!$B$5</f>
        <v>305.22999999999996</v>
      </c>
      <c r="Q30" s="65">
        <f>MAX(QB!D31*Scoring!$B$30+QB!E31/Scoring!$C$30+QB!F31*Scoring!$D$30+QB!G31*Scoring!$E$30+QB!H31*Scoring!$F$30+QB!I31/Scoring!$G$30+QB!J31*Scoring!$H$30+QB!K31*Scoring!$I$30+M31*Scoring!$J$30+QB!N31*Scoring!$K$30,0)+C31*Scoring!$B$10*0.07+(C31-D31)*Scoring!$B$5</f>
        <v>326.92</v>
      </c>
    </row>
    <row r="31" spans="1:17" ht="14.25" customHeight="1" x14ac:dyDescent="0.3">
      <c r="B31" t="s">
        <v>472</v>
      </c>
      <c r="C31">
        <v>614</v>
      </c>
      <c r="D31">
        <v>400</v>
      </c>
      <c r="E31">
        <v>4428</v>
      </c>
      <c r="F31">
        <v>33</v>
      </c>
      <c r="G31">
        <v>10</v>
      </c>
      <c r="H31">
        <v>51.3</v>
      </c>
      <c r="I31">
        <v>186</v>
      </c>
      <c r="J31">
        <v>2.2000000000000002</v>
      </c>
      <c r="K31">
        <v>2</v>
      </c>
      <c r="L31">
        <v>361</v>
      </c>
      <c r="M31" s="64">
        <f t="shared" si="0"/>
        <v>210.81481751824816</v>
      </c>
      <c r="N31" s="64">
        <f t="shared" si="1"/>
        <v>14.072830188679244</v>
      </c>
      <c r="O31" s="65"/>
      <c r="P31" s="65"/>
      <c r="Q31" s="65"/>
    </row>
    <row r="32" spans="1:17" ht="14.25" customHeight="1" x14ac:dyDescent="0.3">
      <c r="B32" t="s">
        <v>473</v>
      </c>
      <c r="C32">
        <v>553.4</v>
      </c>
      <c r="D32">
        <v>370.1</v>
      </c>
      <c r="E32">
        <v>4108.1000000000004</v>
      </c>
      <c r="F32">
        <v>29.7</v>
      </c>
      <c r="G32">
        <v>12</v>
      </c>
      <c r="H32">
        <v>45</v>
      </c>
      <c r="I32">
        <v>161</v>
      </c>
      <c r="J32">
        <v>1</v>
      </c>
      <c r="K32">
        <v>3.6</v>
      </c>
      <c r="L32">
        <v>286.10000000000002</v>
      </c>
      <c r="M32" s="64">
        <f t="shared" si="0"/>
        <v>195.58454197080295</v>
      </c>
      <c r="N32" s="64">
        <f t="shared" si="1"/>
        <v>12.181320754716984</v>
      </c>
      <c r="O32" s="65"/>
      <c r="P32" s="65"/>
      <c r="Q32" s="65"/>
    </row>
    <row r="33" spans="1:17" ht="14.25" customHeight="1" x14ac:dyDescent="0.3">
      <c r="A33" t="s">
        <v>492</v>
      </c>
      <c r="B33" t="s">
        <v>493</v>
      </c>
      <c r="C33">
        <v>554.79999999999995</v>
      </c>
      <c r="D33">
        <v>353.7</v>
      </c>
      <c r="E33">
        <v>3836.2</v>
      </c>
      <c r="F33">
        <v>27.1</v>
      </c>
      <c r="G33">
        <v>11.9</v>
      </c>
      <c r="H33">
        <v>60.4</v>
      </c>
      <c r="I33">
        <v>359.7</v>
      </c>
      <c r="J33">
        <v>3.4</v>
      </c>
      <c r="K33">
        <v>2</v>
      </c>
      <c r="L33">
        <v>302.39999999999998</v>
      </c>
      <c r="M33" s="64">
        <f t="shared" si="0"/>
        <v>182.6395218978102</v>
      </c>
      <c r="N33" s="64">
        <f t="shared" si="1"/>
        <v>27.215037735849062</v>
      </c>
      <c r="O33" s="65">
        <f>MAX(QB!D35*Scoring!$B$30+QB!E35/Scoring!$C$30+QB!F35*Scoring!$D$30+QB!G35*Scoring!$E$30+QB!H35*Scoring!$F$30+QB!I35/Scoring!$G$30+QB!J35*Scoring!$H$30+QB!K35*Scoring!$I$30+M35*Scoring!$J$30+QB!N35*Scoring!$K$30,0)+C35*Scoring!$B$10*0.07+(C35-D35)*Scoring!$B$5</f>
        <v>281.58000000000004</v>
      </c>
      <c r="P33" s="65">
        <f>MAX(QB!D33*Scoring!$B$30+QB!E33/Scoring!$C$30+QB!F33*Scoring!$D$30+QB!G33*Scoring!$E$30+QB!H33*Scoring!$F$30+QB!I33/Scoring!$G$30+QB!J33*Scoring!$H$30+QB!K33*Scoring!$I$30+M33*Scoring!$J$30+QB!N33*Scoring!$K$30,0)+C33*Scoring!$B$10*0.07+(C33-D33)*Scoring!$B$5</f>
        <v>302.31799999999993</v>
      </c>
      <c r="Q33" s="65">
        <f>MAX(QB!D34*Scoring!$B$30+QB!E34/Scoring!$C$30+QB!F34*Scoring!$D$30+QB!G34*Scoring!$E$30+QB!H34*Scoring!$F$30+QB!I34/Scoring!$G$30+QB!J34*Scoring!$H$30+QB!K34*Scoring!$I$30+M34*Scoring!$J$30+QB!N34*Scoring!$K$30,0)+C34*Scoring!$B$10*0.07+(C34-D34)*Scoring!$B$5</f>
        <v>330.72399999999999</v>
      </c>
    </row>
    <row r="34" spans="1:17" ht="14.25" customHeight="1" x14ac:dyDescent="0.3">
      <c r="B34" t="s">
        <v>472</v>
      </c>
      <c r="C34">
        <v>567</v>
      </c>
      <c r="D34">
        <v>358.2</v>
      </c>
      <c r="E34">
        <v>4000.6</v>
      </c>
      <c r="F34">
        <v>29</v>
      </c>
      <c r="G34">
        <v>11</v>
      </c>
      <c r="H34">
        <v>71</v>
      </c>
      <c r="I34">
        <v>437</v>
      </c>
      <c r="J34">
        <v>4</v>
      </c>
      <c r="K34">
        <v>1</v>
      </c>
      <c r="L34">
        <v>343</v>
      </c>
      <c r="M34" s="64">
        <f t="shared" si="0"/>
        <v>190.4665218978102</v>
      </c>
      <c r="N34" s="64">
        <f t="shared" si="1"/>
        <v>33.063584905660385</v>
      </c>
      <c r="O34" s="65"/>
      <c r="P34" s="65"/>
      <c r="Q34" s="65"/>
    </row>
    <row r="35" spans="1:17" ht="14.25" customHeight="1" x14ac:dyDescent="0.3">
      <c r="B35" t="s">
        <v>473</v>
      </c>
      <c r="C35">
        <v>547</v>
      </c>
      <c r="D35">
        <v>350</v>
      </c>
      <c r="E35">
        <v>3677</v>
      </c>
      <c r="F35">
        <v>26</v>
      </c>
      <c r="G35">
        <v>13</v>
      </c>
      <c r="H35">
        <v>53.1</v>
      </c>
      <c r="I35">
        <v>315</v>
      </c>
      <c r="J35">
        <v>3</v>
      </c>
      <c r="K35">
        <v>3</v>
      </c>
      <c r="L35">
        <v>291</v>
      </c>
      <c r="M35" s="64">
        <f t="shared" si="0"/>
        <v>175.06009124087589</v>
      </c>
      <c r="N35" s="64">
        <f t="shared" si="1"/>
        <v>23.833018867924533</v>
      </c>
      <c r="O35" s="65"/>
      <c r="P35" s="65"/>
      <c r="Q35" s="65"/>
    </row>
    <row r="36" spans="1:17" ht="14.25" customHeight="1" x14ac:dyDescent="0.3">
      <c r="A36" t="s">
        <v>494</v>
      </c>
      <c r="B36" t="s">
        <v>495</v>
      </c>
      <c r="C36">
        <v>550.20000000000005</v>
      </c>
      <c r="D36">
        <v>330.5</v>
      </c>
      <c r="E36">
        <v>3871.9</v>
      </c>
      <c r="F36">
        <v>27.4</v>
      </c>
      <c r="G36">
        <v>9.3000000000000007</v>
      </c>
      <c r="H36">
        <v>79.400000000000006</v>
      </c>
      <c r="I36">
        <v>398.8</v>
      </c>
      <c r="J36">
        <v>2.1</v>
      </c>
      <c r="K36">
        <v>3</v>
      </c>
      <c r="L36">
        <v>301.60000000000002</v>
      </c>
      <c r="M36" s="64">
        <f t="shared" si="0"/>
        <v>184.33918065693427</v>
      </c>
      <c r="N36" s="64">
        <f t="shared" si="1"/>
        <v>30.173358490566041</v>
      </c>
      <c r="O36" s="65">
        <f>MAX(QB!D38*Scoring!$B$30+QB!E38/Scoring!$C$30+QB!F38*Scoring!$D$30+QB!G38*Scoring!$E$30+QB!H38*Scoring!$F$30+QB!I38/Scoring!$G$30+QB!J38*Scoring!$H$30+QB!K38*Scoring!$I$30+M38*Scoring!$J$30+QB!N38*Scoring!$K$30,0)+C38*Scoring!$B$10*0.07+(C38-D38)*Scoring!$B$5</f>
        <v>286.19799999999998</v>
      </c>
      <c r="P36" s="65">
        <f>MAX(QB!D36*Scoring!$B$30+QB!E36/Scoring!$C$30+QB!F36*Scoring!$D$30+QB!G36*Scoring!$E$30+QB!H36*Scoring!$F$30+QB!I36/Scoring!$G$30+QB!J36*Scoring!$H$30+QB!K36*Scoring!$I$30+M36*Scoring!$J$30+QB!N36*Scoring!$K$30,0)+C36*Scoring!$B$10*0.07+(C36-D36)*Scoring!$B$5</f>
        <v>301.65600000000001</v>
      </c>
      <c r="Q36" s="65">
        <f>MAX(QB!D37*Scoring!$B$30+QB!E37/Scoring!$C$30+QB!F37*Scoring!$D$30+QB!G37*Scoring!$E$30+QB!H37*Scoring!$F$30+QB!I37/Scoring!$G$30+QB!J37*Scoring!$H$30+QB!K37*Scoring!$I$30+M37*Scoring!$J$30+QB!N37*Scoring!$K$30,0)+C37*Scoring!$B$10*0.07+(C37-D37)*Scoring!$B$5</f>
        <v>319.32</v>
      </c>
    </row>
    <row r="37" spans="1:17" ht="14.25" customHeight="1" x14ac:dyDescent="0.3">
      <c r="B37" t="s">
        <v>472</v>
      </c>
      <c r="C37">
        <v>579</v>
      </c>
      <c r="D37">
        <v>339</v>
      </c>
      <c r="E37">
        <v>3908</v>
      </c>
      <c r="F37">
        <v>30</v>
      </c>
      <c r="G37">
        <v>8</v>
      </c>
      <c r="H37">
        <v>88</v>
      </c>
      <c r="I37">
        <v>412</v>
      </c>
      <c r="J37">
        <v>2.2999999999999998</v>
      </c>
      <c r="K37">
        <v>2</v>
      </c>
      <c r="L37">
        <v>349</v>
      </c>
      <c r="M37" s="64">
        <f t="shared" si="0"/>
        <v>186.05788321167884</v>
      </c>
      <c r="N37" s="64">
        <f t="shared" si="1"/>
        <v>31.172075471698115</v>
      </c>
      <c r="O37" s="65"/>
      <c r="P37" s="65"/>
      <c r="Q37" s="65"/>
    </row>
    <row r="38" spans="1:17" ht="14.25" customHeight="1" x14ac:dyDescent="0.3">
      <c r="B38" t="s">
        <v>473</v>
      </c>
      <c r="C38">
        <v>533.70000000000005</v>
      </c>
      <c r="D38">
        <v>319.60000000000002</v>
      </c>
      <c r="E38">
        <v>3836.7</v>
      </c>
      <c r="F38">
        <v>25.2</v>
      </c>
      <c r="G38">
        <v>10</v>
      </c>
      <c r="H38">
        <v>71.099999999999994</v>
      </c>
      <c r="I38">
        <v>381.3</v>
      </c>
      <c r="J38">
        <v>2</v>
      </c>
      <c r="K38">
        <v>4.0999999999999996</v>
      </c>
      <c r="L38">
        <v>281.89999999999998</v>
      </c>
      <c r="M38" s="64">
        <f t="shared" si="0"/>
        <v>182.66332664233579</v>
      </c>
      <c r="N38" s="64">
        <f t="shared" si="1"/>
        <v>28.849301886792453</v>
      </c>
      <c r="O38" s="65"/>
      <c r="P38" s="65"/>
      <c r="Q38" s="65"/>
    </row>
    <row r="39" spans="1:17" ht="14.25" customHeight="1" x14ac:dyDescent="0.3">
      <c r="A39" t="s">
        <v>496</v>
      </c>
      <c r="B39" t="s">
        <v>497</v>
      </c>
      <c r="C39">
        <v>529.4</v>
      </c>
      <c r="D39">
        <v>349.4</v>
      </c>
      <c r="E39">
        <v>3854.1</v>
      </c>
      <c r="F39">
        <v>26.2</v>
      </c>
      <c r="G39">
        <v>11.7</v>
      </c>
      <c r="H39">
        <v>78.400000000000006</v>
      </c>
      <c r="I39">
        <v>451.2</v>
      </c>
      <c r="J39">
        <v>2.1</v>
      </c>
      <c r="K39">
        <v>2.8</v>
      </c>
      <c r="L39">
        <v>299.5</v>
      </c>
      <c r="M39" s="64">
        <f t="shared" si="0"/>
        <v>183.49173175182483</v>
      </c>
      <c r="N39" s="64">
        <f t="shared" si="1"/>
        <v>34.13796226415095</v>
      </c>
      <c r="O39" s="65">
        <f>MAX(QB!D41*Scoring!$B$30+QB!E41/Scoring!$C$30+QB!F41*Scoring!$D$30+QB!G41*Scoring!$E$30+QB!H41*Scoring!$F$30+QB!I41/Scoring!$G$30+QB!J41*Scoring!$H$30+QB!K41*Scoring!$I$30+M41*Scoring!$J$30+QB!N41*Scoring!$K$30,0)+C41*Scoring!$B$10*0.07+(C41-D41)*Scoring!$B$5</f>
        <v>282.89</v>
      </c>
      <c r="P39" s="65">
        <f>MAX(QB!D39*Scoring!$B$30+QB!E39/Scoring!$C$30+QB!F39*Scoring!$D$30+QB!G39*Scoring!$E$30+QB!H39*Scoring!$F$30+QB!I39/Scoring!$G$30+QB!J39*Scoring!$H$30+QB!K39*Scoring!$I$30+M39*Scoring!$J$30+QB!N39*Scoring!$K$30,0)+C39*Scoring!$B$10*0.07+(C39-D39)*Scoring!$B$5</f>
        <v>299.38400000000001</v>
      </c>
      <c r="Q39" s="65">
        <f>MAX(QB!D40*Scoring!$B$30+QB!E40/Scoring!$C$30+QB!F40*Scoring!$D$30+QB!G40*Scoring!$E$30+QB!H40*Scoring!$F$30+QB!I40/Scoring!$G$30+QB!J40*Scoring!$H$30+QB!K40*Scoring!$I$30+M40*Scoring!$J$30+QB!N40*Scoring!$K$30,0)+C40*Scoring!$B$10*0.07+(C40-D40)*Scoring!$B$5</f>
        <v>321.48</v>
      </c>
    </row>
    <row r="40" spans="1:17" ht="14.25" customHeight="1" x14ac:dyDescent="0.3">
      <c r="B40" t="s">
        <v>472</v>
      </c>
      <c r="C40">
        <v>534</v>
      </c>
      <c r="D40">
        <v>352</v>
      </c>
      <c r="E40">
        <v>3952</v>
      </c>
      <c r="F40">
        <v>28</v>
      </c>
      <c r="G40">
        <v>11</v>
      </c>
      <c r="H40">
        <v>83</v>
      </c>
      <c r="I40">
        <v>520</v>
      </c>
      <c r="J40">
        <v>2.4</v>
      </c>
      <c r="K40">
        <v>2</v>
      </c>
      <c r="L40">
        <v>334</v>
      </c>
      <c r="M40" s="64">
        <f t="shared" si="0"/>
        <v>188.15270072992701</v>
      </c>
      <c r="N40" s="64">
        <f t="shared" si="1"/>
        <v>39.343396226415095</v>
      </c>
      <c r="O40" s="65"/>
      <c r="P40" s="65"/>
      <c r="Q40" s="65"/>
    </row>
    <row r="41" spans="1:17" ht="14.25" customHeight="1" x14ac:dyDescent="0.3">
      <c r="B41" t="s">
        <v>473</v>
      </c>
      <c r="C41">
        <v>527</v>
      </c>
      <c r="D41">
        <v>345.3</v>
      </c>
      <c r="E41">
        <v>3761</v>
      </c>
      <c r="F41">
        <v>25</v>
      </c>
      <c r="G41">
        <v>13</v>
      </c>
      <c r="H41">
        <v>74</v>
      </c>
      <c r="I41">
        <v>406.5</v>
      </c>
      <c r="J41">
        <v>2</v>
      </c>
      <c r="K41">
        <v>3.6</v>
      </c>
      <c r="L41">
        <v>283.60000000000002</v>
      </c>
      <c r="M41" s="64">
        <f t="shared" si="0"/>
        <v>179.05928832116786</v>
      </c>
      <c r="N41" s="64">
        <f t="shared" si="1"/>
        <v>30.755943396226421</v>
      </c>
      <c r="O41" s="65"/>
      <c r="P41" s="65"/>
      <c r="Q41" s="65"/>
    </row>
    <row r="42" spans="1:17" ht="14.25" customHeight="1" x14ac:dyDescent="0.3">
      <c r="A42" t="s">
        <v>498</v>
      </c>
      <c r="B42" t="s">
        <v>499</v>
      </c>
      <c r="C42">
        <v>555.5</v>
      </c>
      <c r="D42">
        <v>355.2</v>
      </c>
      <c r="E42">
        <v>3744.6</v>
      </c>
      <c r="F42">
        <v>26.8</v>
      </c>
      <c r="G42">
        <v>11</v>
      </c>
      <c r="H42">
        <v>79.099999999999994</v>
      </c>
      <c r="I42">
        <v>341.3</v>
      </c>
      <c r="J42">
        <v>3.7</v>
      </c>
      <c r="K42">
        <v>2</v>
      </c>
      <c r="L42">
        <v>298</v>
      </c>
      <c r="M42" s="64">
        <f t="shared" si="0"/>
        <v>178.27849270072994</v>
      </c>
      <c r="N42" s="64">
        <f t="shared" si="1"/>
        <v>25.822886792452831</v>
      </c>
      <c r="O42" s="65">
        <f>MAX(QB!D44*Scoring!$B$30+QB!E44/Scoring!$C$30+QB!F44*Scoring!$D$30+QB!G44*Scoring!$E$30+QB!H44*Scoring!$F$30+QB!I44/Scoring!$G$30+QB!J44*Scoring!$H$30+QB!K44*Scoring!$I$30+M44*Scoring!$J$30+QB!N44*Scoring!$K$30,0)+C44*Scoring!$B$10*0.07+(C44-D44)*Scoring!$B$5</f>
        <v>276.76000000000005</v>
      </c>
      <c r="P42" s="65">
        <f>MAX(QB!D42*Scoring!$B$30+QB!E42/Scoring!$C$30+QB!F42*Scoring!$D$30+QB!G42*Scoring!$E$30+QB!H42*Scoring!$F$30+QB!I42/Scoring!$G$30+QB!J42*Scoring!$H$30+QB!K42*Scoring!$I$30+M42*Scoring!$J$30+QB!N42*Scoring!$K$30,0)+C42*Scoring!$B$10*0.07+(C42-D42)*Scoring!$B$5</f>
        <v>298.31399999999996</v>
      </c>
      <c r="Q42" s="65">
        <f>MAX(QB!D43*Scoring!$B$30+QB!E43/Scoring!$C$30+QB!F43*Scoring!$D$30+QB!G43*Scoring!$E$30+QB!H43*Scoring!$F$30+QB!I43/Scoring!$G$30+QB!J43*Scoring!$H$30+QB!K43*Scoring!$I$30+M43*Scoring!$J$30+QB!N43*Scoring!$K$30,0)+C43*Scoring!$B$10*0.07+(C43-D43)*Scoring!$B$5</f>
        <v>311.18799999999999</v>
      </c>
    </row>
    <row r="43" spans="1:17" ht="14.25" customHeight="1" x14ac:dyDescent="0.3">
      <c r="B43" t="s">
        <v>472</v>
      </c>
      <c r="C43">
        <v>575</v>
      </c>
      <c r="D43">
        <v>364</v>
      </c>
      <c r="E43">
        <v>3874.7</v>
      </c>
      <c r="F43">
        <v>27</v>
      </c>
      <c r="G43">
        <v>10</v>
      </c>
      <c r="H43">
        <v>82.3</v>
      </c>
      <c r="I43">
        <v>362</v>
      </c>
      <c r="J43">
        <v>4</v>
      </c>
      <c r="K43">
        <v>1</v>
      </c>
      <c r="L43">
        <v>322.2</v>
      </c>
      <c r="M43" s="64">
        <f t="shared" si="0"/>
        <v>184.47248722627737</v>
      </c>
      <c r="N43" s="64">
        <f t="shared" si="1"/>
        <v>27.389056603773586</v>
      </c>
      <c r="O43" s="65"/>
      <c r="P43" s="65"/>
      <c r="Q43" s="65"/>
    </row>
    <row r="44" spans="1:17" ht="14.25" customHeight="1" x14ac:dyDescent="0.3">
      <c r="B44" t="s">
        <v>473</v>
      </c>
      <c r="C44">
        <v>527</v>
      </c>
      <c r="D44">
        <v>338</v>
      </c>
      <c r="E44">
        <v>3509</v>
      </c>
      <c r="F44">
        <v>26.5</v>
      </c>
      <c r="G44">
        <v>12</v>
      </c>
      <c r="H44">
        <v>73</v>
      </c>
      <c r="I44">
        <v>306</v>
      </c>
      <c r="J44">
        <v>3</v>
      </c>
      <c r="K44">
        <v>3.1</v>
      </c>
      <c r="L44">
        <v>295.7</v>
      </c>
      <c r="M44" s="64">
        <f t="shared" si="0"/>
        <v>167.06169708029196</v>
      </c>
      <c r="N44" s="64">
        <f t="shared" si="1"/>
        <v>23.152075471698115</v>
      </c>
      <c r="O44" s="65"/>
      <c r="P44" s="65"/>
      <c r="Q44" s="65"/>
    </row>
    <row r="45" spans="1:17" ht="14.25" customHeight="1" x14ac:dyDescent="0.3">
      <c r="A45" t="s">
        <v>500</v>
      </c>
      <c r="B45" t="s">
        <v>501</v>
      </c>
      <c r="C45">
        <v>547</v>
      </c>
      <c r="D45">
        <v>352.7</v>
      </c>
      <c r="E45">
        <v>4190.5</v>
      </c>
      <c r="F45">
        <v>34</v>
      </c>
      <c r="G45">
        <v>8.6</v>
      </c>
      <c r="H45">
        <v>23.7</v>
      </c>
      <c r="I45">
        <v>33.1</v>
      </c>
      <c r="J45">
        <v>0.2</v>
      </c>
      <c r="K45">
        <v>2.8</v>
      </c>
      <c r="L45">
        <v>293.89999999999998</v>
      </c>
      <c r="M45" s="64">
        <f t="shared" si="0"/>
        <v>199.50756386861312</v>
      </c>
      <c r="N45" s="64">
        <f t="shared" si="1"/>
        <v>2.5043584905660374</v>
      </c>
      <c r="O45" s="65">
        <f>MAX(QB!D47*Scoring!$B$30+QB!E47/Scoring!$C$30+QB!F47*Scoring!$D$30+QB!G47*Scoring!$E$30+QB!H47*Scoring!$F$30+QB!I47/Scoring!$G$30+QB!J47*Scoring!$H$30+QB!K47*Scoring!$I$30+M47*Scoring!$J$30+QB!N47*Scoring!$K$30,0)+C47*Scoring!$B$10*0.07+(C47-D47)*Scoring!$B$5</f>
        <v>279.5</v>
      </c>
      <c r="P45" s="65">
        <f>MAX(QB!D45*Scoring!$B$30+QB!E45/Scoring!$C$30+QB!F45*Scoring!$D$30+QB!G45*Scoring!$E$30+QB!H45*Scoring!$F$30+QB!I45/Scoring!$G$30+QB!J45*Scoring!$H$30+QB!K45*Scoring!$I$30+M45*Scoring!$J$30+QB!N45*Scoring!$K$30,0)+C45*Scoring!$B$10*0.07+(C45-D45)*Scoring!$B$5</f>
        <v>293.92999999999995</v>
      </c>
      <c r="Q45" s="65">
        <f>MAX(QB!D46*Scoring!$B$30+QB!E46/Scoring!$C$30+QB!F46*Scoring!$D$30+QB!G46*Scoring!$E$30+QB!H46*Scoring!$F$30+QB!I46/Scoring!$G$30+QB!J46*Scoring!$H$30+QB!K46*Scoring!$I$30+M46*Scoring!$J$30+QB!N46*Scoring!$K$30,0)+C46*Scoring!$B$10*0.07+(C46-D46)*Scoring!$B$5</f>
        <v>307.31</v>
      </c>
    </row>
    <row r="46" spans="1:17" ht="14.25" customHeight="1" x14ac:dyDescent="0.3">
      <c r="B46" t="s">
        <v>472</v>
      </c>
      <c r="C46">
        <v>557.9</v>
      </c>
      <c r="D46">
        <v>359</v>
      </c>
      <c r="E46">
        <v>4279.5</v>
      </c>
      <c r="F46">
        <v>34.9</v>
      </c>
      <c r="G46">
        <v>7</v>
      </c>
      <c r="H46">
        <v>27</v>
      </c>
      <c r="I46">
        <v>39.299999999999997</v>
      </c>
      <c r="J46">
        <v>0.6</v>
      </c>
      <c r="K46">
        <v>2</v>
      </c>
      <c r="L46">
        <v>341</v>
      </c>
      <c r="M46" s="64">
        <f t="shared" si="0"/>
        <v>203.74480839416057</v>
      </c>
      <c r="N46" s="64">
        <f t="shared" si="1"/>
        <v>2.9734528301886796</v>
      </c>
      <c r="O46" s="65"/>
      <c r="P46" s="65"/>
      <c r="Q46" s="65"/>
    </row>
    <row r="47" spans="1:17" ht="14.25" customHeight="1" x14ac:dyDescent="0.3">
      <c r="B47" t="s">
        <v>473</v>
      </c>
      <c r="C47">
        <v>539</v>
      </c>
      <c r="D47">
        <v>343</v>
      </c>
      <c r="E47">
        <v>4050</v>
      </c>
      <c r="F47">
        <v>33</v>
      </c>
      <c r="G47">
        <v>9.6999999999999993</v>
      </c>
      <c r="H47">
        <v>17</v>
      </c>
      <c r="I47">
        <v>22</v>
      </c>
      <c r="J47">
        <v>0</v>
      </c>
      <c r="K47">
        <v>3.5</v>
      </c>
      <c r="L47">
        <v>292.89999999999998</v>
      </c>
      <c r="M47" s="64">
        <f t="shared" si="0"/>
        <v>192.81843065693434</v>
      </c>
      <c r="N47" s="64">
        <f t="shared" si="1"/>
        <v>1.6645283018867927</v>
      </c>
      <c r="O47" s="65"/>
      <c r="P47" s="65"/>
      <c r="Q47" s="65"/>
    </row>
    <row r="48" spans="1:17" ht="14.25" customHeight="1" x14ac:dyDescent="0.3">
      <c r="A48" t="s">
        <v>508</v>
      </c>
      <c r="B48" t="s">
        <v>509</v>
      </c>
      <c r="C48">
        <v>519.1</v>
      </c>
      <c r="D48">
        <v>344.6</v>
      </c>
      <c r="E48">
        <v>3647.5</v>
      </c>
      <c r="F48">
        <v>24.4</v>
      </c>
      <c r="G48">
        <v>14.4</v>
      </c>
      <c r="H48">
        <v>82.7</v>
      </c>
      <c r="I48">
        <v>496.7</v>
      </c>
      <c r="J48">
        <v>3.5</v>
      </c>
      <c r="K48">
        <v>4</v>
      </c>
      <c r="L48">
        <v>291.60000000000002</v>
      </c>
      <c r="M48" s="64">
        <f t="shared" si="0"/>
        <v>173.6556113138686</v>
      </c>
      <c r="N48" s="64">
        <f t="shared" si="1"/>
        <v>37.580509433962263</v>
      </c>
      <c r="O48" s="65">
        <f>MAX(QB!D50*Scoring!$B$30+QB!E50/Scoring!$C$30+QB!F50*Scoring!$D$30+QB!G50*Scoring!$E$30+QB!H50*Scoring!$F$30+QB!I50/Scoring!$G$30+QB!J50*Scoring!$H$30+QB!K50*Scoring!$I$30+M50*Scoring!$J$30+QB!N50*Scoring!$K$30,0)+C50*Scoring!$B$10*0.07+(C50-D50)*Scoring!$B$5</f>
        <v>267.52</v>
      </c>
      <c r="P48" s="65">
        <f>MAX(QB!D48*Scoring!$B$30+QB!E48/Scoring!$C$30+QB!F48*Scoring!$D$30+QB!G48*Scoring!$E$30+QB!H48*Scoring!$F$30+QB!I48/Scoring!$G$30+QB!J48*Scoring!$H$30+QB!K48*Scoring!$I$30+M48*Scoring!$J$30+QB!N48*Scoring!$K$30,0)+C48*Scoring!$B$10*0.07+(C48-D48)*Scoring!$B$5</f>
        <v>291.77</v>
      </c>
      <c r="Q48" s="65">
        <f>MAX(QB!D49*Scoring!$B$30+QB!E49/Scoring!$C$30+QB!F49*Scoring!$D$30+QB!G49*Scoring!$E$30+QB!H49*Scoring!$F$30+QB!I49/Scoring!$G$30+QB!J49*Scoring!$H$30+QB!K49*Scoring!$I$30+M49*Scoring!$J$30+QB!N49*Scoring!$K$30,0)+C49*Scoring!$B$10*0.07+(C49-D49)*Scoring!$B$5</f>
        <v>318.024</v>
      </c>
    </row>
    <row r="49" spans="1:17" ht="14.25" customHeight="1" x14ac:dyDescent="0.3">
      <c r="B49" t="s">
        <v>472</v>
      </c>
      <c r="C49">
        <v>552.29999999999995</v>
      </c>
      <c r="D49">
        <v>372.9</v>
      </c>
      <c r="E49">
        <v>3777.6</v>
      </c>
      <c r="F49">
        <v>28</v>
      </c>
      <c r="G49">
        <v>11.3</v>
      </c>
      <c r="H49">
        <v>85</v>
      </c>
      <c r="I49">
        <v>502.2</v>
      </c>
      <c r="J49">
        <v>4</v>
      </c>
      <c r="K49">
        <v>4</v>
      </c>
      <c r="L49">
        <v>318</v>
      </c>
      <c r="M49" s="64">
        <f t="shared" si="0"/>
        <v>179.84960583941603</v>
      </c>
      <c r="N49" s="64">
        <f t="shared" si="1"/>
        <v>37.996641509433964</v>
      </c>
      <c r="O49" s="65"/>
      <c r="P49" s="65"/>
      <c r="Q49" s="65"/>
    </row>
    <row r="50" spans="1:17" ht="14.25" customHeight="1" x14ac:dyDescent="0.3">
      <c r="B50" t="s">
        <v>473</v>
      </c>
      <c r="C50">
        <v>480</v>
      </c>
      <c r="D50">
        <v>315</v>
      </c>
      <c r="E50">
        <v>3493</v>
      </c>
      <c r="F50">
        <v>22.1</v>
      </c>
      <c r="G50">
        <v>20</v>
      </c>
      <c r="H50">
        <v>80.2</v>
      </c>
      <c r="I50">
        <v>494</v>
      </c>
      <c r="J50">
        <v>3</v>
      </c>
      <c r="K50">
        <v>4</v>
      </c>
      <c r="L50">
        <v>283.39999999999998</v>
      </c>
      <c r="M50" s="64">
        <f t="shared" si="0"/>
        <v>166.29994525547446</v>
      </c>
      <c r="N50" s="64">
        <f t="shared" si="1"/>
        <v>37.376226415094344</v>
      </c>
      <c r="O50" s="65"/>
      <c r="P50" s="65"/>
      <c r="Q50" s="65"/>
    </row>
    <row r="51" spans="1:17" ht="14.25" customHeight="1" x14ac:dyDescent="0.3">
      <c r="A51" t="s">
        <v>502</v>
      </c>
      <c r="B51" t="s">
        <v>503</v>
      </c>
      <c r="C51">
        <v>547.20000000000005</v>
      </c>
      <c r="D51">
        <v>373.8</v>
      </c>
      <c r="E51">
        <v>4309.3999999999996</v>
      </c>
      <c r="F51">
        <v>31.7</v>
      </c>
      <c r="G51">
        <v>10</v>
      </c>
      <c r="H51">
        <v>24.1</v>
      </c>
      <c r="I51">
        <v>48.6</v>
      </c>
      <c r="J51">
        <v>0.2</v>
      </c>
      <c r="K51">
        <v>3.7</v>
      </c>
      <c r="L51">
        <v>288</v>
      </c>
      <c r="M51" s="64">
        <f t="shared" si="0"/>
        <v>205.16833211678832</v>
      </c>
      <c r="N51" s="64">
        <f t="shared" si="1"/>
        <v>3.6770943396226423</v>
      </c>
      <c r="O51" s="65">
        <f>MAX(QB!D53*Scoring!$B$30+QB!E53/Scoring!$C$30+QB!F53*Scoring!$D$30+QB!G53*Scoring!$E$30+QB!H53*Scoring!$F$30+QB!I53/Scoring!$G$30+QB!J53*Scoring!$H$30+QB!K53*Scoring!$I$30+M53*Scoring!$J$30+QB!N53*Scoring!$K$30,0)+C53*Scoring!$B$10*0.07+(C53-D53)*Scoring!$B$5</f>
        <v>272.17200000000003</v>
      </c>
      <c r="P51" s="65">
        <f>MAX(QB!D51*Scoring!$B$30+QB!E51/Scoring!$C$30+QB!F51*Scoring!$D$30+QB!G51*Scoring!$E$30+QB!H51*Scoring!$F$30+QB!I51/Scoring!$G$30+QB!J51*Scoring!$H$30+QB!K51*Scoring!$I$30+M51*Scoring!$J$30+QB!N51*Scoring!$K$30,0)+C51*Scoring!$B$10*0.07+(C51-D51)*Scoring!$B$5</f>
        <v>287.83600000000001</v>
      </c>
      <c r="Q51" s="65">
        <f>MAX(QB!D52*Scoring!$B$30+QB!E52/Scoring!$C$30+QB!F52*Scoring!$D$30+QB!G52*Scoring!$E$30+QB!H52*Scoring!$F$30+QB!I52/Scoring!$G$30+QB!J52*Scoring!$H$30+QB!K52*Scoring!$I$30+M52*Scoring!$J$30+QB!N52*Scoring!$K$30,0)+C52*Scoring!$B$10*0.07+(C52-D52)*Scoring!$B$5</f>
        <v>306.76</v>
      </c>
    </row>
    <row r="52" spans="1:17" ht="14.25" customHeight="1" x14ac:dyDescent="0.3">
      <c r="B52" t="s">
        <v>472</v>
      </c>
      <c r="C52">
        <v>572</v>
      </c>
      <c r="D52">
        <v>383</v>
      </c>
      <c r="E52">
        <v>4459</v>
      </c>
      <c r="F52">
        <v>34</v>
      </c>
      <c r="G52">
        <v>10</v>
      </c>
      <c r="H52">
        <v>27.2</v>
      </c>
      <c r="I52">
        <v>50</v>
      </c>
      <c r="J52">
        <v>0.7</v>
      </c>
      <c r="K52">
        <v>3.4</v>
      </c>
      <c r="L52">
        <v>340</v>
      </c>
      <c r="M52" s="64">
        <f t="shared" si="0"/>
        <v>212.29071167883211</v>
      </c>
      <c r="N52" s="64">
        <f t="shared" si="1"/>
        <v>3.7830188679245289</v>
      </c>
      <c r="O52" s="65"/>
      <c r="P52" s="65"/>
      <c r="Q52" s="65"/>
    </row>
    <row r="53" spans="1:17" ht="14.25" customHeight="1" x14ac:dyDescent="0.3">
      <c r="B53" t="s">
        <v>473</v>
      </c>
      <c r="C53">
        <v>526</v>
      </c>
      <c r="D53">
        <v>367</v>
      </c>
      <c r="E53">
        <v>4219.3</v>
      </c>
      <c r="F53">
        <v>29.2</v>
      </c>
      <c r="G53">
        <v>10</v>
      </c>
      <c r="H53">
        <v>22</v>
      </c>
      <c r="I53">
        <v>46</v>
      </c>
      <c r="J53">
        <v>0</v>
      </c>
      <c r="K53">
        <v>4</v>
      </c>
      <c r="L53">
        <v>269.10000000000002</v>
      </c>
      <c r="M53" s="64">
        <f t="shared" si="0"/>
        <v>200.8787171532847</v>
      </c>
      <c r="N53" s="64">
        <f t="shared" si="1"/>
        <v>3.4803773584905664</v>
      </c>
      <c r="O53" s="65"/>
      <c r="P53" s="65"/>
      <c r="Q53" s="65"/>
    </row>
    <row r="54" spans="1:17" ht="14.25" customHeight="1" x14ac:dyDescent="0.3">
      <c r="A54" t="s">
        <v>504</v>
      </c>
      <c r="B54" t="s">
        <v>505</v>
      </c>
      <c r="C54">
        <v>550.4</v>
      </c>
      <c r="D54">
        <v>362.6</v>
      </c>
      <c r="E54">
        <v>3945.4</v>
      </c>
      <c r="F54">
        <v>22.2</v>
      </c>
      <c r="G54">
        <v>11.7</v>
      </c>
      <c r="H54">
        <v>78.599999999999994</v>
      </c>
      <c r="I54">
        <v>330.1</v>
      </c>
      <c r="J54">
        <v>4.0999999999999996</v>
      </c>
      <c r="K54">
        <v>3.6</v>
      </c>
      <c r="L54">
        <v>285.10000000000002</v>
      </c>
      <c r="M54" s="64">
        <f t="shared" si="0"/>
        <v>187.83847810218975</v>
      </c>
      <c r="N54" s="64">
        <f t="shared" si="1"/>
        <v>24.975490566037742</v>
      </c>
      <c r="O54" s="65">
        <f>MAX(QB!D56*Scoring!$B$30+QB!E56/Scoring!$C$30+QB!F56*Scoring!$D$30+QB!G56*Scoring!$E$30+QB!H56*Scoring!$F$30+QB!I56/Scoring!$G$30+QB!J56*Scoring!$H$30+QB!K56*Scoring!$I$30+M56*Scoring!$J$30+QB!N56*Scoring!$K$30,0)+C56*Scoring!$B$10*0.07+(C56-D56)*Scoring!$B$5</f>
        <v>267.89800000000002</v>
      </c>
      <c r="P54" s="65">
        <f>MAX(QB!D54*Scoring!$B$30+QB!E54/Scoring!$C$30+QB!F54*Scoring!$D$30+QB!G54*Scoring!$E$30+QB!H54*Scoring!$F$30+QB!I54/Scoring!$G$30+QB!J54*Scoring!$H$30+QB!K54*Scoring!$I$30+M54*Scoring!$J$30+QB!N54*Scoring!$K$30,0)+C54*Scoring!$B$10*0.07+(C54-D54)*Scoring!$B$5</f>
        <v>285.32600000000002</v>
      </c>
      <c r="Q54" s="65">
        <f>MAX(QB!D55*Scoring!$B$30+QB!E55/Scoring!$C$30+QB!F55*Scoring!$D$30+QB!G55*Scoring!$E$30+QB!H55*Scoring!$F$30+QB!I55/Scoring!$G$30+QB!J55*Scoring!$H$30+QB!K55*Scoring!$I$30+M55*Scoring!$J$30+QB!N55*Scoring!$K$30,0)+C55*Scoring!$B$10*0.07+(C55-D55)*Scoring!$B$5</f>
        <v>303.14</v>
      </c>
    </row>
    <row r="55" spans="1:17" ht="14.25" customHeight="1" x14ac:dyDescent="0.3">
      <c r="B55" t="s">
        <v>472</v>
      </c>
      <c r="C55">
        <v>557</v>
      </c>
      <c r="D55">
        <v>371</v>
      </c>
      <c r="E55">
        <v>4001</v>
      </c>
      <c r="F55">
        <v>24</v>
      </c>
      <c r="G55">
        <v>10</v>
      </c>
      <c r="H55">
        <v>94</v>
      </c>
      <c r="I55">
        <v>377</v>
      </c>
      <c r="J55">
        <v>4.3</v>
      </c>
      <c r="K55">
        <v>3.2</v>
      </c>
      <c r="L55">
        <v>308</v>
      </c>
      <c r="M55" s="64">
        <f t="shared" si="0"/>
        <v>190.48556569343063</v>
      </c>
      <c r="N55" s="64">
        <f t="shared" si="1"/>
        <v>28.523962264150946</v>
      </c>
      <c r="O55" s="65"/>
      <c r="P55" s="65"/>
      <c r="Q55" s="65"/>
    </row>
    <row r="56" spans="1:17" ht="14.25" customHeight="1" x14ac:dyDescent="0.3">
      <c r="B56" t="s">
        <v>473</v>
      </c>
      <c r="C56">
        <v>545.29999999999995</v>
      </c>
      <c r="D56">
        <v>354.9</v>
      </c>
      <c r="E56">
        <v>3884.2</v>
      </c>
      <c r="F56">
        <v>20.5</v>
      </c>
      <c r="G56">
        <v>14</v>
      </c>
      <c r="H56">
        <v>65.7</v>
      </c>
      <c r="I56">
        <v>285.3</v>
      </c>
      <c r="J56">
        <v>4</v>
      </c>
      <c r="K56">
        <v>4</v>
      </c>
      <c r="L56">
        <v>265.60000000000002</v>
      </c>
      <c r="M56" s="64">
        <f t="shared" si="0"/>
        <v>184.92477737226278</v>
      </c>
      <c r="N56" s="64">
        <f t="shared" si="1"/>
        <v>21.58590566037736</v>
      </c>
      <c r="O56" s="65"/>
      <c r="P56" s="65"/>
      <c r="Q56" s="65"/>
    </row>
    <row r="57" spans="1:17" ht="14.25" customHeight="1" x14ac:dyDescent="0.3">
      <c r="A57" t="s">
        <v>506</v>
      </c>
      <c r="B57" t="s">
        <v>507</v>
      </c>
      <c r="C57">
        <v>541.20000000000005</v>
      </c>
      <c r="D57">
        <v>348.8</v>
      </c>
      <c r="E57">
        <v>3839.7</v>
      </c>
      <c r="F57">
        <v>25.9</v>
      </c>
      <c r="G57">
        <v>12.9</v>
      </c>
      <c r="H57">
        <v>58</v>
      </c>
      <c r="I57">
        <v>362.7</v>
      </c>
      <c r="J57">
        <v>1.5</v>
      </c>
      <c r="K57">
        <v>3.7</v>
      </c>
      <c r="L57">
        <v>281.8</v>
      </c>
      <c r="M57" s="64">
        <f t="shared" si="0"/>
        <v>182.80615510948903</v>
      </c>
      <c r="N57" s="64">
        <f t="shared" si="1"/>
        <v>27.442018867924531</v>
      </c>
      <c r="O57" s="65">
        <f>MAX(QB!D59*Scoring!$B$30+QB!E59/Scoring!$C$30+QB!F59*Scoring!$D$30+QB!G59*Scoring!$E$30+QB!H59*Scoring!$F$30+QB!I59/Scoring!$G$30+QB!J59*Scoring!$H$30+QB!K59*Scoring!$I$30+M59*Scoring!$J$30+QB!N59*Scoring!$K$30,0)+C59*Scoring!$B$10*0.07+(C59-D59)*Scoring!$B$5</f>
        <v>260.52</v>
      </c>
      <c r="P57" s="65">
        <f>MAX(QB!D57*Scoring!$B$30+QB!E57/Scoring!$C$30+QB!F57*Scoring!$D$30+QB!G57*Scoring!$E$30+QB!H57*Scoring!$F$30+QB!I57/Scoring!$G$30+QB!J57*Scoring!$H$30+QB!K57*Scoring!$I$30+M57*Scoring!$J$30+QB!N57*Scoring!$K$30,0)+C57*Scoring!$B$10*0.07+(C57-D57)*Scoring!$B$5</f>
        <v>282.15800000000002</v>
      </c>
      <c r="Q57" s="65">
        <f>MAX(QB!D58*Scoring!$B$30+QB!E58/Scoring!$C$30+QB!F58*Scoring!$D$30+QB!G58*Scoring!$E$30+QB!H58*Scoring!$F$30+QB!I58/Scoring!$G$30+QB!J58*Scoring!$H$30+QB!K58*Scoring!$I$30+M58*Scoring!$J$30+QB!N58*Scoring!$K$30,0)+C58*Scoring!$B$10*0.07+(C58-D58)*Scoring!$B$5</f>
        <v>308</v>
      </c>
    </row>
    <row r="58" spans="1:17" ht="14.25" customHeight="1" x14ac:dyDescent="0.3">
      <c r="B58" t="s">
        <v>472</v>
      </c>
      <c r="C58">
        <v>554</v>
      </c>
      <c r="D58">
        <v>355</v>
      </c>
      <c r="E58">
        <v>3945</v>
      </c>
      <c r="F58">
        <v>29</v>
      </c>
      <c r="G58">
        <v>11.7</v>
      </c>
      <c r="H58">
        <v>60</v>
      </c>
      <c r="I58">
        <v>399</v>
      </c>
      <c r="J58">
        <v>2</v>
      </c>
      <c r="K58">
        <v>3</v>
      </c>
      <c r="L58">
        <v>333</v>
      </c>
      <c r="M58" s="64">
        <f t="shared" si="0"/>
        <v>187.81943430656932</v>
      </c>
      <c r="N58" s="64">
        <f t="shared" si="1"/>
        <v>30.188490566037739</v>
      </c>
      <c r="O58" s="65"/>
      <c r="P58" s="65"/>
      <c r="Q58" s="65"/>
    </row>
    <row r="59" spans="1:17" ht="14.25" customHeight="1" x14ac:dyDescent="0.3">
      <c r="B59" t="s">
        <v>473</v>
      </c>
      <c r="C59">
        <v>526.5</v>
      </c>
      <c r="D59">
        <v>338.4</v>
      </c>
      <c r="E59">
        <v>3750</v>
      </c>
      <c r="F59">
        <v>24</v>
      </c>
      <c r="G59">
        <v>15</v>
      </c>
      <c r="H59">
        <v>54.1</v>
      </c>
      <c r="I59">
        <v>323.2</v>
      </c>
      <c r="J59">
        <v>1</v>
      </c>
      <c r="K59">
        <v>4.4000000000000004</v>
      </c>
      <c r="L59">
        <v>264.7</v>
      </c>
      <c r="M59" s="64">
        <f t="shared" si="0"/>
        <v>178.53558394160584</v>
      </c>
      <c r="N59" s="64">
        <f t="shared" si="1"/>
        <v>24.453433962264153</v>
      </c>
      <c r="O59" s="65"/>
      <c r="P59" s="65"/>
      <c r="Q59" s="65"/>
    </row>
    <row r="60" spans="1:17" ht="14.25" customHeight="1" x14ac:dyDescent="0.3">
      <c r="A60" t="s">
        <v>514</v>
      </c>
      <c r="B60" t="s">
        <v>515</v>
      </c>
      <c r="C60">
        <v>509.8</v>
      </c>
      <c r="D60">
        <v>331</v>
      </c>
      <c r="E60">
        <v>3914.2</v>
      </c>
      <c r="F60">
        <v>26.9</v>
      </c>
      <c r="G60">
        <v>10.3</v>
      </c>
      <c r="H60">
        <v>51.4</v>
      </c>
      <c r="I60">
        <v>216.4</v>
      </c>
      <c r="J60">
        <v>1</v>
      </c>
      <c r="K60">
        <v>3</v>
      </c>
      <c r="L60">
        <v>275.39999999999998</v>
      </c>
      <c r="M60" s="64">
        <f t="shared" si="0"/>
        <v>186.3530620437956</v>
      </c>
      <c r="N60" s="64">
        <f t="shared" si="1"/>
        <v>16.372905660377359</v>
      </c>
      <c r="O60" s="65">
        <f>MAX(QB!D62*Scoring!$B$30+QB!E62/Scoring!$C$30+QB!F62*Scoring!$D$30+QB!G62*Scoring!$E$30+QB!H62*Scoring!$F$30+QB!I62/Scoring!$G$30+QB!J62*Scoring!$H$30+QB!K62*Scoring!$I$30+M62*Scoring!$J$30+QB!N62*Scoring!$K$30,0)+C62*Scoring!$B$10*0.07+(C62-D62)*Scoring!$B$5</f>
        <v>257.94</v>
      </c>
      <c r="P60" s="65">
        <f>MAX(QB!D60*Scoring!$B$30+QB!E60/Scoring!$C$30+QB!F60*Scoring!$D$30+QB!G60*Scoring!$E$30+QB!H60*Scoring!$F$30+QB!I60/Scoring!$G$30+QB!J60*Scoring!$H$30+QB!K60*Scoring!$I$30+M60*Scoring!$J$30+QB!N60*Scoring!$K$30,0)+C60*Scoring!$B$10*0.07+(C60-D60)*Scoring!$B$5</f>
        <v>275.50799999999998</v>
      </c>
      <c r="Q60" s="65">
        <f>MAX(QB!D61*Scoring!$B$30+QB!E61/Scoring!$C$30+QB!F61*Scoring!$D$30+QB!G61*Scoring!$E$30+QB!H61*Scoring!$F$30+QB!I61/Scoring!$G$30+QB!J61*Scoring!$H$30+QB!K61*Scoring!$I$30+M61*Scoring!$J$30+QB!N61*Scoring!$K$30,0)+C61*Scoring!$B$10*0.07+(C61-D61)*Scoring!$B$5</f>
        <v>291.54399999999998</v>
      </c>
    </row>
    <row r="61" spans="1:17" ht="14.25" customHeight="1" x14ac:dyDescent="0.3">
      <c r="B61" t="s">
        <v>472</v>
      </c>
      <c r="C61">
        <v>540.29999999999995</v>
      </c>
      <c r="D61">
        <v>348.1</v>
      </c>
      <c r="E61">
        <v>4038.6</v>
      </c>
      <c r="F61">
        <v>29</v>
      </c>
      <c r="G61">
        <v>10</v>
      </c>
      <c r="H61">
        <v>52</v>
      </c>
      <c r="I61">
        <v>220</v>
      </c>
      <c r="J61">
        <v>1</v>
      </c>
      <c r="K61">
        <v>2</v>
      </c>
      <c r="L61">
        <v>307</v>
      </c>
      <c r="M61" s="64">
        <f t="shared" si="0"/>
        <v>192.27568248175183</v>
      </c>
      <c r="N61" s="64">
        <f t="shared" si="1"/>
        <v>16.645283018867929</v>
      </c>
      <c r="O61" s="65"/>
      <c r="P61" s="65"/>
      <c r="Q61" s="65"/>
    </row>
    <row r="62" spans="1:17" ht="14.25" customHeight="1" x14ac:dyDescent="0.3">
      <c r="B62" t="s">
        <v>473</v>
      </c>
      <c r="C62">
        <v>473</v>
      </c>
      <c r="D62">
        <v>309</v>
      </c>
      <c r="E62">
        <v>3678</v>
      </c>
      <c r="F62">
        <v>25.6</v>
      </c>
      <c r="G62">
        <v>10.8</v>
      </c>
      <c r="H62">
        <v>50.2</v>
      </c>
      <c r="I62">
        <v>212.2</v>
      </c>
      <c r="J62">
        <v>1</v>
      </c>
      <c r="K62">
        <v>4</v>
      </c>
      <c r="L62">
        <v>263.39999999999998</v>
      </c>
      <c r="M62" s="64">
        <f t="shared" si="0"/>
        <v>175.10770072992702</v>
      </c>
      <c r="N62" s="64">
        <f t="shared" si="1"/>
        <v>16.0551320754717</v>
      </c>
      <c r="O62" s="65"/>
      <c r="P62" s="65"/>
      <c r="Q62" s="65"/>
    </row>
    <row r="63" spans="1:17" ht="14.25" customHeight="1" x14ac:dyDescent="0.3">
      <c r="A63" t="s">
        <v>510</v>
      </c>
      <c r="B63" t="s">
        <v>511</v>
      </c>
      <c r="C63">
        <v>518.4</v>
      </c>
      <c r="D63">
        <v>337.2</v>
      </c>
      <c r="E63">
        <v>3755</v>
      </c>
      <c r="F63">
        <v>23.2</v>
      </c>
      <c r="G63">
        <v>11.7</v>
      </c>
      <c r="H63">
        <v>66.7</v>
      </c>
      <c r="I63">
        <v>252.3</v>
      </c>
      <c r="J63">
        <v>4</v>
      </c>
      <c r="K63">
        <v>3.8</v>
      </c>
      <c r="L63">
        <v>272.7</v>
      </c>
      <c r="M63" s="64">
        <f t="shared" si="0"/>
        <v>178.77363138686133</v>
      </c>
      <c r="N63" s="64">
        <f t="shared" si="1"/>
        <v>19.089113207547175</v>
      </c>
      <c r="O63" s="65">
        <f>MAX(QB!D65*Scoring!$B$30+QB!E65/Scoring!$C$30+QB!F65*Scoring!$D$30+QB!G65*Scoring!$E$30+QB!H65*Scoring!$F$30+QB!I65/Scoring!$G$30+QB!J65*Scoring!$H$30+QB!K65*Scoring!$I$30+M65*Scoring!$J$30+QB!N65*Scoring!$K$30,0)+C65*Scoring!$B$10*0.07+(C65-D65)*Scoring!$B$5</f>
        <v>240.12</v>
      </c>
      <c r="P63" s="65">
        <f>MAX(QB!D63*Scoring!$B$30+QB!E63/Scoring!$C$30+QB!F63*Scoring!$D$30+QB!G63*Scoring!$E$30+QB!H63*Scoring!$F$30+QB!I63/Scoring!$G$30+QB!J63*Scoring!$H$30+QB!K63*Scoring!$I$30+M63*Scoring!$J$30+QB!N63*Scoring!$K$30,0)+C63*Scoring!$B$10*0.07+(C63-D63)*Scoring!$B$5</f>
        <v>272.93</v>
      </c>
      <c r="Q63" s="65">
        <f>MAX(QB!D64*Scoring!$B$30+QB!E64/Scoring!$C$30+QB!F64*Scoring!$D$30+QB!G64*Scoring!$E$30+QB!H64*Scoring!$F$30+QB!I64/Scoring!$G$30+QB!J64*Scoring!$H$30+QB!K64*Scoring!$I$30+M64*Scoring!$J$30+QB!N64*Scoring!$K$30,0)+C64*Scoring!$B$10*0.07+(C64-D64)*Scoring!$B$5</f>
        <v>318.17999999999995</v>
      </c>
    </row>
    <row r="64" spans="1:17" ht="14.25" customHeight="1" x14ac:dyDescent="0.3">
      <c r="B64" t="s">
        <v>472</v>
      </c>
      <c r="C64">
        <v>535</v>
      </c>
      <c r="D64">
        <v>349.5</v>
      </c>
      <c r="E64">
        <v>3832</v>
      </c>
      <c r="F64">
        <v>29</v>
      </c>
      <c r="G64">
        <v>11.2</v>
      </c>
      <c r="H64">
        <v>73</v>
      </c>
      <c r="I64">
        <v>307</v>
      </c>
      <c r="J64">
        <v>5.9</v>
      </c>
      <c r="K64">
        <v>3</v>
      </c>
      <c r="L64">
        <v>318</v>
      </c>
      <c r="M64" s="64">
        <f t="shared" si="0"/>
        <v>182.43956204379563</v>
      </c>
      <c r="N64" s="64">
        <f t="shared" si="1"/>
        <v>23.227735849056604</v>
      </c>
      <c r="O64" s="65"/>
      <c r="P64" s="65"/>
      <c r="Q64" s="65"/>
    </row>
    <row r="65" spans="1:17" ht="14.25" customHeight="1" x14ac:dyDescent="0.3">
      <c r="B65" t="s">
        <v>473</v>
      </c>
      <c r="C65">
        <v>492</v>
      </c>
      <c r="D65">
        <v>329</v>
      </c>
      <c r="E65">
        <v>3688</v>
      </c>
      <c r="F65">
        <v>19.600000000000001</v>
      </c>
      <c r="G65">
        <v>12</v>
      </c>
      <c r="H65">
        <v>54</v>
      </c>
      <c r="I65">
        <v>172</v>
      </c>
      <c r="J65">
        <v>3</v>
      </c>
      <c r="K65">
        <v>4.5</v>
      </c>
      <c r="L65">
        <v>266.60000000000002</v>
      </c>
      <c r="M65" s="64">
        <f t="shared" si="0"/>
        <v>175.58379562043797</v>
      </c>
      <c r="N65" s="64">
        <f t="shared" si="1"/>
        <v>13.013584905660379</v>
      </c>
      <c r="O65" s="65"/>
      <c r="P65" s="65"/>
      <c r="Q65" s="65"/>
    </row>
    <row r="66" spans="1:17" ht="14.25" customHeight="1" x14ac:dyDescent="0.3">
      <c r="A66" t="s">
        <v>512</v>
      </c>
      <c r="B66" t="s">
        <v>513</v>
      </c>
      <c r="C66">
        <v>493.5</v>
      </c>
      <c r="D66">
        <v>318.2</v>
      </c>
      <c r="E66">
        <v>3373.9</v>
      </c>
      <c r="F66">
        <v>18.100000000000001</v>
      </c>
      <c r="G66">
        <v>12.5</v>
      </c>
      <c r="H66">
        <v>124.9</v>
      </c>
      <c r="I66">
        <v>642.70000000000005</v>
      </c>
      <c r="J66">
        <v>4.0999999999999996</v>
      </c>
      <c r="K66">
        <v>6.1</v>
      </c>
      <c r="L66">
        <v>271.8</v>
      </c>
      <c r="M66" s="64">
        <f t="shared" si="0"/>
        <v>160.62965510948905</v>
      </c>
      <c r="N66" s="64">
        <f t="shared" si="1"/>
        <v>48.626924528301892</v>
      </c>
      <c r="O66" s="65">
        <f>MAX(QB!D68*Scoring!$B$30+QB!E68/Scoring!$C$30+QB!F68*Scoring!$D$30+QB!G68*Scoring!$E$30+QB!H68*Scoring!$F$30+QB!I68/Scoring!$G$30+QB!J68*Scoring!$H$30+QB!K68*Scoring!$I$30+M68*Scoring!$J$30+QB!N68*Scoring!$K$30,0)+C68*Scoring!$B$10*0.07+(C68-D68)*Scoring!$B$5</f>
        <v>223.27</v>
      </c>
      <c r="P66" s="65">
        <f>MAX(QB!D66*Scoring!$B$30+QB!E66/Scoring!$C$30+QB!F66*Scoring!$D$30+QB!G66*Scoring!$E$30+QB!H66*Scoring!$F$30+QB!I66/Scoring!$G$30+QB!J66*Scoring!$H$30+QB!K66*Scoring!$I$30+M66*Scoring!$J$30+QB!N66*Scoring!$K$30,0)+C66*Scoring!$B$10*0.07+(C66-D66)*Scoring!$B$5</f>
        <v>271.52600000000007</v>
      </c>
      <c r="Q66" s="65">
        <f>MAX(QB!D67*Scoring!$B$30+QB!E67/Scoring!$C$30+QB!F67*Scoring!$D$30+QB!G67*Scoring!$E$30+QB!H67*Scoring!$F$30+QB!I67/Scoring!$G$30+QB!J67*Scoring!$H$30+QB!K67*Scoring!$I$30+M67*Scoring!$J$30+QB!N67*Scoring!$K$30,0)+C67*Scoring!$B$10*0.07+(C67-D67)*Scoring!$B$5</f>
        <v>326.90800000000002</v>
      </c>
    </row>
    <row r="67" spans="1:17" ht="14.25" customHeight="1" x14ac:dyDescent="0.3">
      <c r="B67" t="s">
        <v>472</v>
      </c>
      <c r="C67">
        <v>515</v>
      </c>
      <c r="D67">
        <v>322.7</v>
      </c>
      <c r="E67">
        <v>3562.7</v>
      </c>
      <c r="F67">
        <v>26</v>
      </c>
      <c r="G67">
        <v>10</v>
      </c>
      <c r="H67">
        <v>145</v>
      </c>
      <c r="I67">
        <v>724</v>
      </c>
      <c r="J67">
        <v>5</v>
      </c>
      <c r="K67">
        <v>6</v>
      </c>
      <c r="L67">
        <v>321</v>
      </c>
      <c r="M67" s="64">
        <f t="shared" ref="M67:M130" si="2">IFERROR(((E67/D67)/10.96)*0.5218*D67,0)</f>
        <v>169.61832664233575</v>
      </c>
      <c r="N67" s="64">
        <f t="shared" ref="N67:N130" si="3">IFERROR((((I67/H67)/5.3)*0.401)*H67,0)</f>
        <v>54.778113207547179</v>
      </c>
      <c r="O67" s="65"/>
      <c r="P67" s="65"/>
      <c r="Q67" s="65"/>
    </row>
    <row r="68" spans="1:17" ht="14.25" customHeight="1" x14ac:dyDescent="0.3">
      <c r="B68" t="s">
        <v>473</v>
      </c>
      <c r="C68">
        <v>461</v>
      </c>
      <c r="D68">
        <v>313</v>
      </c>
      <c r="E68">
        <v>3109</v>
      </c>
      <c r="F68">
        <v>13.3</v>
      </c>
      <c r="G68">
        <v>17</v>
      </c>
      <c r="H68">
        <v>105.7</v>
      </c>
      <c r="I68">
        <v>547.1</v>
      </c>
      <c r="J68">
        <v>3.4</v>
      </c>
      <c r="K68">
        <v>6.2</v>
      </c>
      <c r="L68">
        <v>239.8</v>
      </c>
      <c r="M68" s="64">
        <f t="shared" si="2"/>
        <v>148.01790145985402</v>
      </c>
      <c r="N68" s="64">
        <f t="shared" si="3"/>
        <v>41.393792452830198</v>
      </c>
      <c r="O68" s="65"/>
      <c r="P68" s="65"/>
      <c r="Q68" s="65"/>
    </row>
    <row r="69" spans="1:17" ht="14.25" customHeight="1" x14ac:dyDescent="0.3">
      <c r="A69" t="s">
        <v>516</v>
      </c>
      <c r="B69" t="s">
        <v>517</v>
      </c>
      <c r="C69">
        <v>506.1</v>
      </c>
      <c r="D69">
        <v>336.3</v>
      </c>
      <c r="E69">
        <v>4082.5</v>
      </c>
      <c r="F69">
        <v>27.3</v>
      </c>
      <c r="G69">
        <v>12.8</v>
      </c>
      <c r="H69">
        <v>44</v>
      </c>
      <c r="I69">
        <v>131.5</v>
      </c>
      <c r="J69">
        <v>0.6</v>
      </c>
      <c r="K69">
        <v>5.3</v>
      </c>
      <c r="L69">
        <v>266.2</v>
      </c>
      <c r="M69" s="64">
        <f t="shared" si="2"/>
        <v>194.36573905109486</v>
      </c>
      <c r="N69" s="64">
        <f t="shared" si="3"/>
        <v>9.9493396226415101</v>
      </c>
      <c r="O69" s="65">
        <f>MAX(QB!D71*Scoring!$B$30+QB!E71/Scoring!$C$30+QB!F71*Scoring!$D$30+QB!G71*Scoring!$E$30+QB!H71*Scoring!$F$30+QB!I71/Scoring!$G$30+QB!J71*Scoring!$H$30+QB!K71*Scoring!$I$30+M71*Scoring!$J$30+QB!N71*Scoring!$K$30,0)+C71*Scoring!$B$10*0.07+(C71-D71)*Scoring!$B$5</f>
        <v>243.99599999999998</v>
      </c>
      <c r="P69" s="65">
        <f>MAX(QB!D69*Scoring!$B$30+QB!E69/Scoring!$C$30+QB!F69*Scoring!$D$30+QB!G69*Scoring!$E$30+QB!H69*Scoring!$F$30+QB!I69/Scoring!$G$30+QB!J69*Scoring!$H$30+QB!K69*Scoring!$I$30+M69*Scoring!$J$30+QB!N69*Scoring!$K$30,0)+C69*Scoring!$B$10*0.07+(C69-D69)*Scoring!$B$5</f>
        <v>265.84999999999997</v>
      </c>
      <c r="Q69" s="65">
        <f>MAX(QB!D70*Scoring!$B$30+QB!E70/Scoring!$C$30+QB!F70*Scoring!$D$30+QB!G70*Scoring!$E$30+QB!H70*Scoring!$F$30+QB!I70/Scoring!$G$30+QB!J70*Scoring!$H$30+QB!K70*Scoring!$I$30+M70*Scoring!$J$30+QB!N70*Scoring!$K$30,0)+C70*Scoring!$B$10*0.07+(C70-D70)*Scoring!$B$5</f>
        <v>292</v>
      </c>
    </row>
    <row r="70" spans="1:17" ht="14.25" customHeight="1" x14ac:dyDescent="0.3">
      <c r="B70" t="s">
        <v>472</v>
      </c>
      <c r="C70">
        <v>512.4</v>
      </c>
      <c r="D70">
        <v>337</v>
      </c>
      <c r="E70">
        <v>4130</v>
      </c>
      <c r="F70">
        <v>32</v>
      </c>
      <c r="G70">
        <v>12.4</v>
      </c>
      <c r="H70">
        <v>48</v>
      </c>
      <c r="I70">
        <v>144</v>
      </c>
      <c r="J70">
        <v>1</v>
      </c>
      <c r="K70">
        <v>4.5999999999999996</v>
      </c>
      <c r="L70">
        <v>315</v>
      </c>
      <c r="M70" s="64">
        <f t="shared" si="2"/>
        <v>196.62718978102191</v>
      </c>
      <c r="N70" s="64">
        <f t="shared" si="3"/>
        <v>10.895094339622641</v>
      </c>
      <c r="O70" s="65"/>
      <c r="P70" s="65"/>
      <c r="Q70" s="65"/>
    </row>
    <row r="71" spans="1:17" ht="14.25" customHeight="1" x14ac:dyDescent="0.3">
      <c r="B71" t="s">
        <v>473</v>
      </c>
      <c r="C71">
        <v>496</v>
      </c>
      <c r="D71">
        <v>335</v>
      </c>
      <c r="E71">
        <v>4012.4</v>
      </c>
      <c r="F71">
        <v>24</v>
      </c>
      <c r="G71">
        <v>13</v>
      </c>
      <c r="H71">
        <v>40</v>
      </c>
      <c r="I71">
        <v>125</v>
      </c>
      <c r="J71">
        <v>0</v>
      </c>
      <c r="K71">
        <v>6</v>
      </c>
      <c r="L71">
        <v>242.5</v>
      </c>
      <c r="M71" s="64">
        <f t="shared" si="2"/>
        <v>191.02831386861317</v>
      </c>
      <c r="N71" s="64">
        <f t="shared" si="3"/>
        <v>9.4575471698113223</v>
      </c>
      <c r="O71" s="65"/>
      <c r="P71" s="65"/>
      <c r="Q71" s="65"/>
    </row>
    <row r="72" spans="1:17" ht="14.25" customHeight="1" x14ac:dyDescent="0.3">
      <c r="A72" t="s">
        <v>518</v>
      </c>
      <c r="B72" t="s">
        <v>519</v>
      </c>
      <c r="C72">
        <v>550.70000000000005</v>
      </c>
      <c r="D72">
        <v>347.1</v>
      </c>
      <c r="E72">
        <v>3875.4</v>
      </c>
      <c r="F72">
        <v>23.5</v>
      </c>
      <c r="G72">
        <v>11.4</v>
      </c>
      <c r="H72">
        <v>54.4</v>
      </c>
      <c r="I72">
        <v>238.7</v>
      </c>
      <c r="J72">
        <v>1</v>
      </c>
      <c r="K72">
        <v>3.5</v>
      </c>
      <c r="L72">
        <v>260.60000000000002</v>
      </c>
      <c r="M72" s="64">
        <f t="shared" si="2"/>
        <v>184.50581386861313</v>
      </c>
      <c r="N72" s="64">
        <f t="shared" si="3"/>
        <v>18.060132075471696</v>
      </c>
      <c r="O72" s="65">
        <f>MAX(QB!D74*Scoring!$B$30+QB!E74/Scoring!$C$30+QB!F74*Scoring!$D$30+QB!G74*Scoring!$E$30+QB!H74*Scoring!$F$30+QB!I74/Scoring!$G$30+QB!J74*Scoring!$H$30+QB!K74*Scoring!$I$30+M74*Scoring!$J$30+QB!N74*Scoring!$K$30,0)+C74*Scoring!$B$10*0.07+(C74-D74)*Scoring!$B$5</f>
        <v>242.26000000000002</v>
      </c>
      <c r="P72" s="65">
        <f>MAX(QB!D72*Scoring!$B$30+QB!E72/Scoring!$C$30+QB!F72*Scoring!$D$30+QB!G72*Scoring!$E$30+QB!H72*Scoring!$F$30+QB!I72/Scoring!$G$30+QB!J72*Scoring!$H$30+QB!K72*Scoring!$I$30+M72*Scoring!$J$30+QB!N72*Scoring!$K$30,0)+C72*Scoring!$B$10*0.07+(C72-D72)*Scoring!$B$5</f>
        <v>260.48599999999999</v>
      </c>
      <c r="Q72" s="65">
        <f>MAX(QB!D73*Scoring!$B$30+QB!E73/Scoring!$C$30+QB!F73*Scoring!$D$30+QB!G73*Scoring!$E$30+QB!H73*Scoring!$F$30+QB!I73/Scoring!$G$30+QB!J73*Scoring!$H$30+QB!K73*Scoring!$I$30+M73*Scoring!$J$30+QB!N73*Scoring!$K$30,0)+C73*Scoring!$B$10*0.07+(C73-D73)*Scoring!$B$5</f>
        <v>284.834</v>
      </c>
    </row>
    <row r="73" spans="1:17" ht="14.25" customHeight="1" x14ac:dyDescent="0.3">
      <c r="B73" t="s">
        <v>472</v>
      </c>
      <c r="C73">
        <v>572</v>
      </c>
      <c r="D73">
        <v>351.3</v>
      </c>
      <c r="E73">
        <v>3948.1</v>
      </c>
      <c r="F73">
        <v>28</v>
      </c>
      <c r="G73">
        <v>10</v>
      </c>
      <c r="H73">
        <v>57.1</v>
      </c>
      <c r="I73">
        <v>249.1</v>
      </c>
      <c r="J73">
        <v>1</v>
      </c>
      <c r="K73">
        <v>3</v>
      </c>
      <c r="L73">
        <v>310</v>
      </c>
      <c r="M73" s="64">
        <f t="shared" si="2"/>
        <v>187.96702372262774</v>
      </c>
      <c r="N73" s="64">
        <f t="shared" si="3"/>
        <v>18.847000000000001</v>
      </c>
      <c r="O73" s="65"/>
      <c r="P73" s="65"/>
      <c r="Q73" s="65"/>
    </row>
    <row r="74" spans="1:17" ht="14.25" customHeight="1" x14ac:dyDescent="0.3">
      <c r="B74" t="s">
        <v>473</v>
      </c>
      <c r="C74">
        <v>529</v>
      </c>
      <c r="D74">
        <v>339</v>
      </c>
      <c r="E74">
        <v>3759</v>
      </c>
      <c r="F74">
        <v>21</v>
      </c>
      <c r="G74">
        <v>12.1</v>
      </c>
      <c r="H74">
        <v>51</v>
      </c>
      <c r="I74">
        <v>218</v>
      </c>
      <c r="J74">
        <v>1</v>
      </c>
      <c r="K74">
        <v>3.9</v>
      </c>
      <c r="L74">
        <v>246.1</v>
      </c>
      <c r="M74" s="64">
        <f t="shared" si="2"/>
        <v>178.96406934306572</v>
      </c>
      <c r="N74" s="64">
        <f t="shared" si="3"/>
        <v>16.493962264150944</v>
      </c>
      <c r="O74" s="65"/>
      <c r="P74" s="65"/>
      <c r="Q74" s="65"/>
    </row>
    <row r="75" spans="1:17" ht="14.25" customHeight="1" x14ac:dyDescent="0.3">
      <c r="A75" t="s">
        <v>520</v>
      </c>
      <c r="B75" t="s">
        <v>521</v>
      </c>
      <c r="C75">
        <v>525.4</v>
      </c>
      <c r="D75">
        <v>334.2</v>
      </c>
      <c r="E75">
        <v>3456.9</v>
      </c>
      <c r="F75">
        <v>22.8</v>
      </c>
      <c r="G75">
        <v>12</v>
      </c>
      <c r="H75">
        <v>57.9</v>
      </c>
      <c r="I75">
        <v>261.5</v>
      </c>
      <c r="J75">
        <v>3</v>
      </c>
      <c r="K75">
        <v>3</v>
      </c>
      <c r="L75">
        <v>255.9</v>
      </c>
      <c r="M75" s="64">
        <f t="shared" si="2"/>
        <v>164.58124270072992</v>
      </c>
      <c r="N75" s="64">
        <f t="shared" si="3"/>
        <v>19.785188679245284</v>
      </c>
      <c r="O75" s="65">
        <f>MAX(QB!D77*Scoring!$B$30+QB!E77/Scoring!$C$30+QB!F77*Scoring!$D$30+QB!G77*Scoring!$E$30+QB!H77*Scoring!$F$30+QB!I77/Scoring!$G$30+QB!J77*Scoring!$H$30+QB!K77*Scoring!$I$30+M77*Scoring!$J$30+QB!N77*Scoring!$K$30,0)+C77*Scoring!$B$10*0.07+(C77-D77)*Scoring!$B$5</f>
        <v>229.29999999999998</v>
      </c>
      <c r="P75" s="65">
        <f>MAX(QB!D75*Scoring!$B$30+QB!E75/Scoring!$C$30+QB!F75*Scoring!$D$30+QB!G75*Scoring!$E$30+QB!H75*Scoring!$F$30+QB!I75/Scoring!$G$30+QB!J75*Scoring!$H$30+QB!K75*Scoring!$I$30+M75*Scoring!$J$30+QB!N75*Scoring!$K$30,0)+C75*Scoring!$B$10*0.07+(C75-D75)*Scoring!$B$5</f>
        <v>255.62599999999998</v>
      </c>
      <c r="Q75" s="65">
        <f>MAX(QB!D76*Scoring!$B$30+QB!E76/Scoring!$C$30+QB!F76*Scoring!$D$30+QB!G76*Scoring!$E$30+QB!H76*Scoring!$F$30+QB!I76/Scoring!$G$30+QB!J76*Scoring!$H$30+QB!K76*Scoring!$I$30+M76*Scoring!$J$30+QB!N76*Scoring!$K$30,0)+C76*Scoring!$B$10*0.07+(C76-D76)*Scoring!$B$5</f>
        <v>287.76799999999997</v>
      </c>
    </row>
    <row r="76" spans="1:17" ht="14.25" customHeight="1" x14ac:dyDescent="0.3">
      <c r="B76" t="s">
        <v>472</v>
      </c>
      <c r="C76">
        <v>537.1</v>
      </c>
      <c r="D76">
        <v>336</v>
      </c>
      <c r="E76">
        <v>3636.7</v>
      </c>
      <c r="F76">
        <v>26</v>
      </c>
      <c r="G76">
        <v>10</v>
      </c>
      <c r="H76">
        <v>61</v>
      </c>
      <c r="I76">
        <v>283</v>
      </c>
      <c r="J76">
        <v>4</v>
      </c>
      <c r="K76">
        <v>2</v>
      </c>
      <c r="L76">
        <v>292</v>
      </c>
      <c r="M76" s="64">
        <f t="shared" si="2"/>
        <v>173.14142883211679</v>
      </c>
      <c r="N76" s="64">
        <f t="shared" si="3"/>
        <v>21.411886792452833</v>
      </c>
      <c r="O76" s="65"/>
      <c r="P76" s="65"/>
      <c r="Q76" s="65"/>
    </row>
    <row r="77" spans="1:17" ht="14.25" customHeight="1" x14ac:dyDescent="0.3">
      <c r="B77" t="s">
        <v>473</v>
      </c>
      <c r="C77">
        <v>515</v>
      </c>
      <c r="D77">
        <v>332</v>
      </c>
      <c r="E77">
        <v>3355</v>
      </c>
      <c r="F77">
        <v>20.399999999999999</v>
      </c>
      <c r="G77">
        <v>14</v>
      </c>
      <c r="H77">
        <v>55</v>
      </c>
      <c r="I77">
        <v>229</v>
      </c>
      <c r="J77">
        <v>2.1</v>
      </c>
      <c r="K77">
        <v>4</v>
      </c>
      <c r="L77">
        <v>238.2</v>
      </c>
      <c r="M77" s="64">
        <f t="shared" si="2"/>
        <v>159.72983576642335</v>
      </c>
      <c r="N77" s="64">
        <f t="shared" si="3"/>
        <v>17.326226415094343</v>
      </c>
      <c r="O77" s="65"/>
      <c r="P77" s="65"/>
      <c r="Q77" s="65"/>
    </row>
    <row r="78" spans="1:17" ht="14.25" customHeight="1" x14ac:dyDescent="0.3">
      <c r="A78" t="s">
        <v>522</v>
      </c>
      <c r="B78" t="s">
        <v>523</v>
      </c>
      <c r="C78">
        <v>521.20000000000005</v>
      </c>
      <c r="D78">
        <v>341</v>
      </c>
      <c r="E78">
        <v>3461.6</v>
      </c>
      <c r="F78">
        <v>21.8</v>
      </c>
      <c r="G78">
        <v>14.8</v>
      </c>
      <c r="H78">
        <v>57.3</v>
      </c>
      <c r="I78">
        <v>210.8</v>
      </c>
      <c r="J78">
        <v>1</v>
      </c>
      <c r="K78">
        <v>2.2000000000000002</v>
      </c>
      <c r="L78">
        <v>233.8</v>
      </c>
      <c r="M78" s="64">
        <f t="shared" si="2"/>
        <v>164.80500729927004</v>
      </c>
      <c r="N78" s="64">
        <f t="shared" si="3"/>
        <v>15.949207547169815</v>
      </c>
      <c r="O78" s="65">
        <f>MAX(QB!D80*Scoring!$B$30+QB!E80/Scoring!$C$30+QB!F80*Scoring!$D$30+QB!G80*Scoring!$E$30+QB!H80*Scoring!$F$30+QB!I80/Scoring!$G$30+QB!J80*Scoring!$H$30+QB!K80*Scoring!$I$30+M80*Scoring!$J$30+QB!N80*Scoring!$K$30,0)+C80*Scoring!$B$10*0.07+(C80-D80)*Scoring!$B$5</f>
        <v>198.57999999999998</v>
      </c>
      <c r="P78" s="65">
        <f>MAX(QB!D78*Scoring!$B$30+QB!E78/Scoring!$C$30+QB!F78*Scoring!$D$30+QB!G78*Scoring!$E$30+QB!H78*Scoring!$F$30+QB!I78/Scoring!$G$30+QB!J78*Scoring!$H$30+QB!K78*Scoring!$I$30+M78*Scoring!$J$30+QB!N78*Scoring!$K$30,0)+C78*Scoring!$B$10*0.07+(C78-D78)*Scoring!$B$5</f>
        <v>233.54399999999998</v>
      </c>
      <c r="Q78" s="65">
        <f>MAX(QB!D79*Scoring!$B$30+QB!E79/Scoring!$C$30+QB!F79*Scoring!$D$30+QB!G79*Scoring!$E$30+QB!H79*Scoring!$F$30+QB!I79/Scoring!$G$30+QB!J79*Scoring!$H$30+QB!K79*Scoring!$I$30+M79*Scoring!$J$30+QB!N79*Scoring!$K$30,0)+C79*Scoring!$B$10*0.07+(C79-D79)*Scoring!$B$5</f>
        <v>265.05200000000002</v>
      </c>
    </row>
    <row r="79" spans="1:17" ht="14.25" customHeight="1" x14ac:dyDescent="0.3">
      <c r="B79" t="s">
        <v>472</v>
      </c>
      <c r="C79">
        <v>540</v>
      </c>
      <c r="D79">
        <v>362.1</v>
      </c>
      <c r="E79">
        <v>3823.8</v>
      </c>
      <c r="F79">
        <v>24</v>
      </c>
      <c r="G79">
        <v>14</v>
      </c>
      <c r="H79">
        <v>58</v>
      </c>
      <c r="I79">
        <v>255</v>
      </c>
      <c r="J79">
        <v>1.1000000000000001</v>
      </c>
      <c r="K79">
        <v>1</v>
      </c>
      <c r="L79">
        <v>250.5</v>
      </c>
      <c r="M79" s="64">
        <f t="shared" si="2"/>
        <v>182.04916423357668</v>
      </c>
      <c r="N79" s="64">
        <f t="shared" si="3"/>
        <v>19.293396226415094</v>
      </c>
      <c r="O79" s="65"/>
      <c r="P79" s="65"/>
      <c r="Q79" s="65"/>
    </row>
    <row r="80" spans="1:17" ht="14.25" customHeight="1" x14ac:dyDescent="0.3">
      <c r="B80" t="s">
        <v>473</v>
      </c>
      <c r="C80">
        <v>492</v>
      </c>
      <c r="D80">
        <v>310</v>
      </c>
      <c r="E80">
        <v>2942</v>
      </c>
      <c r="F80">
        <v>20.5</v>
      </c>
      <c r="G80">
        <v>16</v>
      </c>
      <c r="H80">
        <v>56</v>
      </c>
      <c r="I80">
        <v>157</v>
      </c>
      <c r="J80">
        <v>1</v>
      </c>
      <c r="K80">
        <v>3.4</v>
      </c>
      <c r="L80">
        <v>233.2</v>
      </c>
      <c r="M80" s="64">
        <f t="shared" si="2"/>
        <v>140.06711678832116</v>
      </c>
      <c r="N80" s="64">
        <f t="shared" si="3"/>
        <v>11.878679245283021</v>
      </c>
      <c r="O80" s="65"/>
      <c r="P80" s="65"/>
      <c r="Q80" s="65"/>
    </row>
    <row r="81" spans="1:17" ht="14.25" customHeight="1" x14ac:dyDescent="0.3">
      <c r="A81" t="s">
        <v>524</v>
      </c>
      <c r="B81" t="s">
        <v>525</v>
      </c>
      <c r="C81">
        <v>563.6</v>
      </c>
      <c r="D81">
        <v>345</v>
      </c>
      <c r="E81">
        <v>3585.5</v>
      </c>
      <c r="F81">
        <v>19.8</v>
      </c>
      <c r="G81">
        <v>10.4</v>
      </c>
      <c r="H81">
        <v>44.2</v>
      </c>
      <c r="I81">
        <v>185.2</v>
      </c>
      <c r="J81">
        <v>2</v>
      </c>
      <c r="K81">
        <v>5.4</v>
      </c>
      <c r="L81">
        <v>232.2</v>
      </c>
      <c r="M81" s="64">
        <f t="shared" si="2"/>
        <v>170.70382299270074</v>
      </c>
      <c r="N81" s="64">
        <f t="shared" si="3"/>
        <v>14.012301886792452</v>
      </c>
      <c r="O81" s="65">
        <f>MAX(QB!D83*Scoring!$B$30+QB!E83/Scoring!$C$30+QB!F83*Scoring!$D$30+QB!G83*Scoring!$E$30+QB!H83*Scoring!$F$30+QB!I83/Scoring!$G$30+QB!J83*Scoring!$H$30+QB!K83*Scoring!$I$30+M83*Scoring!$J$30+QB!N83*Scoring!$K$30,0)+C83*Scoring!$B$10*0.07+(C83-D83)*Scoring!$B$5</f>
        <v>197.28</v>
      </c>
      <c r="P81" s="65">
        <f>MAX(QB!D81*Scoring!$B$30+QB!E81/Scoring!$C$30+QB!F81*Scoring!$D$30+QB!G81*Scoring!$E$30+QB!H81*Scoring!$F$30+QB!I81/Scoring!$G$30+QB!J81*Scoring!$H$30+QB!K81*Scoring!$I$30+M81*Scoring!$J$30+QB!N81*Scoring!$K$30,0)+C81*Scoring!$B$10*0.07+(C81-D81)*Scoring!$B$5</f>
        <v>231.94</v>
      </c>
      <c r="Q81" s="65">
        <f>MAX(QB!D82*Scoring!$B$30+QB!E82/Scoring!$C$30+QB!F82*Scoring!$D$30+QB!G82*Scoring!$E$30+QB!H82*Scoring!$F$30+QB!I82/Scoring!$G$30+QB!J82*Scoring!$H$30+QB!K82*Scoring!$I$30+M82*Scoring!$J$30+QB!N82*Scoring!$K$30,0)+C82*Scoring!$B$10*0.07+(C82-D82)*Scoring!$B$5</f>
        <v>265.39599999999996</v>
      </c>
    </row>
    <row r="82" spans="1:17" ht="14.25" customHeight="1" x14ac:dyDescent="0.3">
      <c r="B82" t="s">
        <v>472</v>
      </c>
      <c r="C82">
        <v>572</v>
      </c>
      <c r="D82">
        <v>355</v>
      </c>
      <c r="E82">
        <v>3757.4</v>
      </c>
      <c r="F82">
        <v>24</v>
      </c>
      <c r="G82">
        <v>10</v>
      </c>
      <c r="H82">
        <v>49</v>
      </c>
      <c r="I82">
        <v>207</v>
      </c>
      <c r="J82">
        <v>3</v>
      </c>
      <c r="K82">
        <v>4.8</v>
      </c>
      <c r="L82">
        <v>259</v>
      </c>
      <c r="M82" s="64">
        <f t="shared" si="2"/>
        <v>178.88789416058395</v>
      </c>
      <c r="N82" s="64">
        <f t="shared" si="3"/>
        <v>15.661698113207548</v>
      </c>
      <c r="O82" s="65"/>
      <c r="P82" s="65"/>
      <c r="Q82" s="65"/>
    </row>
    <row r="83" spans="1:17" ht="14.25" customHeight="1" x14ac:dyDescent="0.3">
      <c r="B83" t="s">
        <v>473</v>
      </c>
      <c r="C83">
        <v>557.79999999999995</v>
      </c>
      <c r="D83">
        <v>331</v>
      </c>
      <c r="E83">
        <v>3337</v>
      </c>
      <c r="F83">
        <v>16.5</v>
      </c>
      <c r="G83">
        <v>11</v>
      </c>
      <c r="H83">
        <v>37</v>
      </c>
      <c r="I83">
        <v>148</v>
      </c>
      <c r="J83">
        <v>1</v>
      </c>
      <c r="K83">
        <v>6</v>
      </c>
      <c r="L83">
        <v>219.6</v>
      </c>
      <c r="M83" s="64">
        <f t="shared" si="2"/>
        <v>158.87286496350367</v>
      </c>
      <c r="N83" s="64">
        <f t="shared" si="3"/>
        <v>11.197735849056604</v>
      </c>
      <c r="O83" s="65"/>
      <c r="P83" s="65"/>
      <c r="Q83" s="65"/>
    </row>
    <row r="84" spans="1:17" ht="14.25" customHeight="1" x14ac:dyDescent="0.3">
      <c r="A84" t="s">
        <v>526</v>
      </c>
      <c r="B84" t="s">
        <v>527</v>
      </c>
      <c r="C84">
        <v>541.20000000000005</v>
      </c>
      <c r="D84">
        <v>346.9</v>
      </c>
      <c r="E84">
        <v>3588.2</v>
      </c>
      <c r="F84">
        <v>19.3</v>
      </c>
      <c r="G84">
        <v>10.4</v>
      </c>
      <c r="H84">
        <v>48.7</v>
      </c>
      <c r="I84">
        <v>209.9</v>
      </c>
      <c r="J84">
        <v>1.4</v>
      </c>
      <c r="K84">
        <v>4.8</v>
      </c>
      <c r="L84">
        <v>230.2</v>
      </c>
      <c r="M84" s="64">
        <f t="shared" si="2"/>
        <v>170.83236861313867</v>
      </c>
      <c r="N84" s="64">
        <f t="shared" si="3"/>
        <v>15.881113207547171</v>
      </c>
      <c r="O84" s="65">
        <f>MAX(QB!D86*Scoring!$B$30+QB!E86/Scoring!$C$30+QB!F86*Scoring!$D$30+QB!G86*Scoring!$E$30+QB!H86*Scoring!$F$30+QB!I86/Scoring!$G$30+QB!J86*Scoring!$H$30+QB!K86*Scoring!$I$30+M86*Scoring!$J$30+QB!N86*Scoring!$K$30,0)+C86*Scoring!$B$10*0.07+(C86-D86)*Scoring!$B$5</f>
        <v>193.46799999999999</v>
      </c>
      <c r="P84" s="65">
        <f>MAX(QB!D84*Scoring!$B$30+QB!E84/Scoring!$C$30+QB!F84*Scoring!$D$30+QB!G84*Scoring!$E$30+QB!H84*Scoring!$F$30+QB!I84/Scoring!$G$30+QB!J84*Scoring!$H$30+QB!K84*Scoring!$I$30+M84*Scoring!$J$30+QB!N84*Scoring!$K$30,0)+C84*Scoring!$B$10*0.07+(C84-D84)*Scoring!$B$5</f>
        <v>230.11800000000002</v>
      </c>
      <c r="Q84" s="65">
        <f>MAX(QB!D85*Scoring!$B$30+QB!E85/Scoring!$C$30+QB!F85*Scoring!$D$30+QB!G85*Scoring!$E$30+QB!H85*Scoring!$F$30+QB!I85/Scoring!$G$30+QB!J85*Scoring!$H$30+QB!K85*Scoring!$I$30+M85*Scoring!$J$30+QB!N85*Scoring!$K$30,0)+C85*Scoring!$B$10*0.07+(C85-D85)*Scoring!$B$5</f>
        <v>266.32000000000005</v>
      </c>
    </row>
    <row r="85" spans="1:17" ht="14.25" customHeight="1" x14ac:dyDescent="0.3">
      <c r="B85" t="s">
        <v>472</v>
      </c>
      <c r="C85">
        <v>586</v>
      </c>
      <c r="D85">
        <v>376</v>
      </c>
      <c r="E85">
        <v>3768</v>
      </c>
      <c r="F85">
        <v>24</v>
      </c>
      <c r="G85">
        <v>9.1999999999999993</v>
      </c>
      <c r="H85">
        <v>56</v>
      </c>
      <c r="I85">
        <v>242</v>
      </c>
      <c r="J85">
        <v>2</v>
      </c>
      <c r="K85">
        <v>3.7</v>
      </c>
      <c r="L85">
        <v>276</v>
      </c>
      <c r="M85" s="64">
        <f t="shared" si="2"/>
        <v>179.39255474452554</v>
      </c>
      <c r="N85" s="64">
        <f t="shared" si="3"/>
        <v>18.309811320754715</v>
      </c>
      <c r="O85" s="65"/>
      <c r="P85" s="65"/>
      <c r="Q85" s="65"/>
    </row>
    <row r="86" spans="1:17" ht="14.25" customHeight="1" x14ac:dyDescent="0.3">
      <c r="B86" t="s">
        <v>473</v>
      </c>
      <c r="C86">
        <v>516.70000000000005</v>
      </c>
      <c r="D86">
        <v>326.60000000000002</v>
      </c>
      <c r="E86">
        <v>3351.7</v>
      </c>
      <c r="F86">
        <v>14.9</v>
      </c>
      <c r="G86">
        <v>12</v>
      </c>
      <c r="H86">
        <v>43</v>
      </c>
      <c r="I86">
        <v>178</v>
      </c>
      <c r="J86">
        <v>1</v>
      </c>
      <c r="K86">
        <v>6</v>
      </c>
      <c r="L86">
        <v>198.5</v>
      </c>
      <c r="M86" s="64">
        <f t="shared" si="2"/>
        <v>159.57272445255472</v>
      </c>
      <c r="N86" s="64">
        <f t="shared" si="3"/>
        <v>13.467547169811324</v>
      </c>
      <c r="O86" s="65"/>
      <c r="P86" s="65"/>
      <c r="Q86" s="65"/>
    </row>
    <row r="87" spans="1:17" ht="14.25" customHeight="1" x14ac:dyDescent="0.3">
      <c r="A87" t="s">
        <v>528</v>
      </c>
      <c r="B87" t="s">
        <v>529</v>
      </c>
      <c r="C87">
        <v>527.4</v>
      </c>
      <c r="D87">
        <v>339.3</v>
      </c>
      <c r="E87">
        <v>3483.4</v>
      </c>
      <c r="F87">
        <v>22</v>
      </c>
      <c r="G87">
        <v>9.4</v>
      </c>
      <c r="H87">
        <v>26</v>
      </c>
      <c r="I87">
        <v>82.5</v>
      </c>
      <c r="J87">
        <v>0.6</v>
      </c>
      <c r="K87">
        <v>2.7</v>
      </c>
      <c r="L87">
        <v>224.7</v>
      </c>
      <c r="M87" s="64">
        <f t="shared" si="2"/>
        <v>165.84289416058394</v>
      </c>
      <c r="N87" s="64">
        <f t="shared" si="3"/>
        <v>6.2419811320754715</v>
      </c>
      <c r="O87" s="65">
        <f>MAX(QB!D89*Scoring!$B$30+QB!E89/Scoring!$C$30+QB!F89*Scoring!$D$30+QB!G89*Scoring!$E$30+QB!H89*Scoring!$F$30+QB!I89/Scoring!$G$30+QB!J89*Scoring!$H$30+QB!K89*Scoring!$I$30+M89*Scoring!$J$30+QB!N89*Scoring!$K$30,0)+C89*Scoring!$B$10*0.07+(C89-D89)*Scoring!$B$5</f>
        <v>190.34</v>
      </c>
      <c r="P87" s="65">
        <f>MAX(QB!D87*Scoring!$B$30+QB!E87/Scoring!$C$30+QB!F87*Scoring!$D$30+QB!G87*Scoring!$E$30+QB!H87*Scoring!$F$30+QB!I87/Scoring!$G$30+QB!J87*Scoring!$H$30+QB!K87*Scoring!$I$30+M87*Scoring!$J$30+QB!N87*Scoring!$K$30,0)+C87*Scoring!$B$10*0.07+(C87-D87)*Scoring!$B$5</f>
        <v>224.386</v>
      </c>
      <c r="Q87" s="65">
        <f>MAX(QB!D88*Scoring!$B$30+QB!E88/Scoring!$C$30+QB!F88*Scoring!$D$30+QB!G88*Scoring!$E$30+QB!H88*Scoring!$F$30+QB!I88/Scoring!$G$30+QB!J88*Scoring!$H$30+QB!K88*Scoring!$I$30+M88*Scoring!$J$30+QB!N88*Scoring!$K$30,0)+C88*Scoring!$B$10*0.07+(C88-D88)*Scoring!$B$5</f>
        <v>246.77200000000002</v>
      </c>
    </row>
    <row r="88" spans="1:17" ht="14.25" customHeight="1" x14ac:dyDescent="0.3">
      <c r="B88" t="s">
        <v>472</v>
      </c>
      <c r="C88">
        <v>568.29999999999995</v>
      </c>
      <c r="D88">
        <v>362.8</v>
      </c>
      <c r="E88">
        <v>3770.3</v>
      </c>
      <c r="F88">
        <v>23</v>
      </c>
      <c r="G88">
        <v>8</v>
      </c>
      <c r="H88">
        <v>29</v>
      </c>
      <c r="I88">
        <v>99.6</v>
      </c>
      <c r="J88">
        <v>1</v>
      </c>
      <c r="K88">
        <v>2</v>
      </c>
      <c r="L88">
        <v>246</v>
      </c>
      <c r="M88" s="64">
        <f t="shared" si="2"/>
        <v>179.50205656934307</v>
      </c>
      <c r="N88" s="64">
        <f t="shared" si="3"/>
        <v>7.5357735849056597</v>
      </c>
      <c r="O88" s="65"/>
      <c r="P88" s="65"/>
      <c r="Q88" s="65"/>
    </row>
    <row r="89" spans="1:17" ht="14.25" customHeight="1" x14ac:dyDescent="0.3">
      <c r="B89" t="s">
        <v>473</v>
      </c>
      <c r="C89">
        <v>477</v>
      </c>
      <c r="D89">
        <v>301</v>
      </c>
      <c r="E89">
        <v>3031</v>
      </c>
      <c r="F89">
        <v>20.100000000000001</v>
      </c>
      <c r="G89">
        <v>11.1</v>
      </c>
      <c r="H89">
        <v>21</v>
      </c>
      <c r="I89">
        <v>68</v>
      </c>
      <c r="J89">
        <v>0</v>
      </c>
      <c r="K89">
        <v>3.5</v>
      </c>
      <c r="L89">
        <v>218.8</v>
      </c>
      <c r="M89" s="64">
        <f t="shared" si="2"/>
        <v>144.30436131386861</v>
      </c>
      <c r="N89" s="64">
        <f t="shared" si="3"/>
        <v>5.1449056603773586</v>
      </c>
      <c r="O89" s="65"/>
      <c r="P89" s="65"/>
      <c r="Q89" s="65"/>
    </row>
    <row r="90" spans="1:17" ht="14.25" customHeight="1" x14ac:dyDescent="0.3">
      <c r="A90" t="s">
        <v>530</v>
      </c>
      <c r="B90" t="s">
        <v>531</v>
      </c>
      <c r="C90">
        <v>431.5</v>
      </c>
      <c r="D90">
        <v>276.2</v>
      </c>
      <c r="E90">
        <v>2882.1</v>
      </c>
      <c r="F90">
        <v>15.7</v>
      </c>
      <c r="G90">
        <v>12.2</v>
      </c>
      <c r="H90">
        <v>50.4</v>
      </c>
      <c r="I90">
        <v>233</v>
      </c>
      <c r="J90">
        <v>1.3</v>
      </c>
      <c r="K90">
        <v>2.7</v>
      </c>
      <c r="L90">
        <v>191.7</v>
      </c>
      <c r="M90" s="64">
        <f t="shared" si="2"/>
        <v>137.21530839416059</v>
      </c>
      <c r="N90" s="64">
        <f t="shared" si="3"/>
        <v>17.628867924528304</v>
      </c>
      <c r="O90" s="65">
        <f>MAX(QB!D92*Scoring!$B$30+QB!E92/Scoring!$C$30+QB!F92*Scoring!$D$30+QB!G92*Scoring!$E$30+QB!H92*Scoring!$F$30+QB!I92/Scoring!$G$30+QB!J92*Scoring!$H$30+QB!K92*Scoring!$I$30+M92*Scoring!$J$30+QB!N92*Scoring!$K$30,0)+C92*Scoring!$B$10*0.07+(C92-D92)*Scoring!$B$5</f>
        <v>166.05999999999997</v>
      </c>
      <c r="P90" s="65">
        <f>MAX(QB!D90*Scoring!$B$30+QB!E90/Scoring!$C$30+QB!F90*Scoring!$D$30+QB!G90*Scoring!$E$30+QB!H90*Scoring!$F$30+QB!I90/Scoring!$G$30+QB!J90*Scoring!$H$30+QB!K90*Scoring!$I$30+M90*Scoring!$J$30+QB!N90*Scoring!$K$30,0)+C90*Scoring!$B$10*0.07+(C90-D90)*Scoring!$B$5</f>
        <v>191.58400000000003</v>
      </c>
      <c r="Q90" s="65">
        <f>MAX(QB!D91*Scoring!$B$30+QB!E91/Scoring!$C$30+QB!F91*Scoring!$D$30+QB!G91*Scoring!$E$30+QB!H91*Scoring!$F$30+QB!I91/Scoring!$G$30+QB!J91*Scoring!$H$30+QB!K91*Scoring!$I$30+M91*Scoring!$J$30+QB!N91*Scoring!$K$30,0)+C91*Scoring!$B$10*0.07+(C91-D91)*Scoring!$B$5</f>
        <v>217.33199999999999</v>
      </c>
    </row>
    <row r="91" spans="1:17" ht="14.25" customHeight="1" x14ac:dyDescent="0.3">
      <c r="B91" t="s">
        <v>472</v>
      </c>
      <c r="C91">
        <v>449.6</v>
      </c>
      <c r="D91">
        <v>284.5</v>
      </c>
      <c r="E91">
        <v>3058.3</v>
      </c>
      <c r="F91">
        <v>18</v>
      </c>
      <c r="G91">
        <v>10</v>
      </c>
      <c r="H91">
        <v>52.1</v>
      </c>
      <c r="I91">
        <v>256</v>
      </c>
      <c r="J91">
        <v>1.9</v>
      </c>
      <c r="K91">
        <v>2</v>
      </c>
      <c r="L91">
        <v>206.9</v>
      </c>
      <c r="M91" s="64">
        <f t="shared" si="2"/>
        <v>145.60410036496353</v>
      </c>
      <c r="N91" s="64">
        <f t="shared" si="3"/>
        <v>19.369056603773583</v>
      </c>
      <c r="O91" s="65"/>
      <c r="P91" s="65"/>
      <c r="Q91" s="65"/>
    </row>
    <row r="92" spans="1:17" ht="14.25" customHeight="1" x14ac:dyDescent="0.3">
      <c r="B92" t="s">
        <v>473</v>
      </c>
      <c r="C92">
        <v>419</v>
      </c>
      <c r="D92">
        <v>264</v>
      </c>
      <c r="E92">
        <v>2609</v>
      </c>
      <c r="F92">
        <v>14.2</v>
      </c>
      <c r="G92">
        <v>16</v>
      </c>
      <c r="H92">
        <v>48</v>
      </c>
      <c r="I92">
        <v>217</v>
      </c>
      <c r="J92">
        <v>1</v>
      </c>
      <c r="K92">
        <v>3.4</v>
      </c>
      <c r="L92">
        <v>187.5</v>
      </c>
      <c r="M92" s="64">
        <f t="shared" si="2"/>
        <v>124.21315693430658</v>
      </c>
      <c r="N92" s="64">
        <f t="shared" si="3"/>
        <v>16.418301886792452</v>
      </c>
      <c r="O92" s="65"/>
      <c r="P92" s="65"/>
      <c r="Q92" s="65"/>
    </row>
    <row r="93" spans="1:17" ht="14.25" customHeight="1" x14ac:dyDescent="0.3">
      <c r="A93" t="s">
        <v>532</v>
      </c>
      <c r="B93" t="s">
        <v>533</v>
      </c>
      <c r="C93">
        <v>337.5</v>
      </c>
      <c r="D93">
        <v>218.4</v>
      </c>
      <c r="E93">
        <v>2350.3000000000002</v>
      </c>
      <c r="F93">
        <v>13.2</v>
      </c>
      <c r="G93">
        <v>7.3</v>
      </c>
      <c r="H93">
        <v>17.3</v>
      </c>
      <c r="I93">
        <v>41.7</v>
      </c>
      <c r="J93">
        <v>0.1</v>
      </c>
      <c r="K93">
        <v>1.8</v>
      </c>
      <c r="L93">
        <v>140.5</v>
      </c>
      <c r="M93" s="64">
        <f t="shared" si="2"/>
        <v>111.89658211678832</v>
      </c>
      <c r="N93" s="64">
        <f t="shared" si="3"/>
        <v>3.1550377358490569</v>
      </c>
      <c r="O93" s="65">
        <f>MAX(QB!D95*Scoring!$B$30+QB!E95/Scoring!$C$30+QB!F95*Scoring!$D$30+QB!G95*Scoring!$E$30+QB!H95*Scoring!$F$30+QB!I95/Scoring!$G$30+QB!J95*Scoring!$H$30+QB!K95*Scoring!$I$30+M95*Scoring!$J$30+QB!N95*Scoring!$K$30,0)+C95*Scoring!$B$10*0.07+(C95-D95)*Scoring!$B$5</f>
        <v>119.916</v>
      </c>
      <c r="P93" s="65">
        <f>MAX(QB!D93*Scoring!$B$30+QB!E93/Scoring!$C$30+QB!F93*Scoring!$D$30+QB!G93*Scoring!$E$30+QB!H93*Scoring!$F$30+QB!I93/Scoring!$G$30+QB!J93*Scoring!$H$30+QB!K93*Scoring!$I$30+M93*Scoring!$J$30+QB!N93*Scoring!$K$30,0)+C93*Scoring!$B$10*0.07+(C93-D93)*Scoring!$B$5</f>
        <v>140.68199999999999</v>
      </c>
      <c r="Q93" s="65">
        <f>MAX(QB!D94*Scoring!$B$30+QB!E94/Scoring!$C$30+QB!F94*Scoring!$D$30+QB!G94*Scoring!$E$30+QB!H94*Scoring!$F$30+QB!I94/Scoring!$G$30+QB!J94*Scoring!$H$30+QB!K94*Scoring!$I$30+M94*Scoring!$J$30+QB!N94*Scoring!$K$30,0)+C94*Scoring!$B$10*0.07+(C94-D94)*Scoring!$B$5</f>
        <v>162.96</v>
      </c>
    </row>
    <row r="94" spans="1:17" ht="14.25" customHeight="1" x14ac:dyDescent="0.3">
      <c r="B94" t="s">
        <v>472</v>
      </c>
      <c r="C94">
        <v>369</v>
      </c>
      <c r="D94">
        <v>243</v>
      </c>
      <c r="E94">
        <v>2544</v>
      </c>
      <c r="F94">
        <v>16</v>
      </c>
      <c r="G94">
        <v>7</v>
      </c>
      <c r="H94">
        <v>18</v>
      </c>
      <c r="I94">
        <v>44</v>
      </c>
      <c r="J94">
        <v>0.3</v>
      </c>
      <c r="K94">
        <v>1</v>
      </c>
      <c r="L94">
        <v>166</v>
      </c>
      <c r="M94" s="64">
        <f t="shared" si="2"/>
        <v>121.11854014598541</v>
      </c>
      <c r="N94" s="64">
        <f t="shared" si="3"/>
        <v>3.3290566037735854</v>
      </c>
      <c r="O94" s="65"/>
      <c r="P94" s="65"/>
      <c r="Q94" s="65"/>
    </row>
    <row r="95" spans="1:17" ht="14.25" customHeight="1" x14ac:dyDescent="0.3">
      <c r="B95" t="s">
        <v>473</v>
      </c>
      <c r="C95">
        <v>301.60000000000002</v>
      </c>
      <c r="D95">
        <v>204.2</v>
      </c>
      <c r="E95">
        <v>2172.9</v>
      </c>
      <c r="F95">
        <v>10.5</v>
      </c>
      <c r="G95">
        <v>7.9</v>
      </c>
      <c r="H95">
        <v>15.9</v>
      </c>
      <c r="I95">
        <v>39</v>
      </c>
      <c r="J95">
        <v>0</v>
      </c>
      <c r="K95">
        <v>2.5</v>
      </c>
      <c r="L95">
        <v>115.3</v>
      </c>
      <c r="M95" s="64">
        <f t="shared" si="2"/>
        <v>103.4506587591241</v>
      </c>
      <c r="N95" s="64">
        <f t="shared" si="3"/>
        <v>2.9507547169811326</v>
      </c>
      <c r="O95" s="65"/>
      <c r="P95" s="65"/>
      <c r="Q95" s="65"/>
    </row>
    <row r="96" spans="1:17" ht="14.25" customHeight="1" x14ac:dyDescent="0.3">
      <c r="A96" t="s">
        <v>534</v>
      </c>
      <c r="B96" t="s">
        <v>535</v>
      </c>
      <c r="C96">
        <v>304.60000000000002</v>
      </c>
      <c r="D96">
        <v>187.2</v>
      </c>
      <c r="E96">
        <v>1994.3</v>
      </c>
      <c r="F96">
        <v>10.8</v>
      </c>
      <c r="G96">
        <v>7.5</v>
      </c>
      <c r="H96">
        <v>44.3</v>
      </c>
      <c r="I96">
        <v>191.7</v>
      </c>
      <c r="J96">
        <v>1.2</v>
      </c>
      <c r="K96">
        <v>3.3</v>
      </c>
      <c r="L96">
        <v>135.19999999999999</v>
      </c>
      <c r="M96" s="64">
        <f t="shared" si="2"/>
        <v>94.947604014598539</v>
      </c>
      <c r="N96" s="64">
        <f t="shared" si="3"/>
        <v>14.504094339622641</v>
      </c>
      <c r="O96" s="65">
        <f>MAX(QB!D98*Scoring!$B$30+QB!E98/Scoring!$C$30+QB!F98*Scoring!$D$30+QB!G98*Scoring!$E$30+QB!H98*Scoring!$F$30+QB!I98/Scoring!$G$30+QB!J98*Scoring!$H$30+QB!K98*Scoring!$I$30+M98*Scoring!$J$30+QB!N98*Scoring!$K$30,0)+C98*Scoring!$B$10*0.07+(C98-D98)*Scoring!$B$5</f>
        <v>68.486000000000004</v>
      </c>
      <c r="P96" s="65">
        <f>MAX(QB!D96*Scoring!$B$30+QB!E96/Scoring!$C$30+QB!F96*Scoring!$D$30+QB!G96*Scoring!$E$30+QB!H96*Scoring!$F$30+QB!I96/Scoring!$G$30+QB!J96*Scoring!$H$30+QB!K96*Scoring!$I$30+M96*Scoring!$J$30+QB!N96*Scoring!$K$30,0)+C96*Scoring!$B$10*0.07+(C96-D96)*Scoring!$B$5</f>
        <v>135.24199999999999</v>
      </c>
      <c r="Q96" s="65">
        <f>MAX(QB!D97*Scoring!$B$30+QB!E97/Scoring!$C$30+QB!F97*Scoring!$D$30+QB!G97*Scoring!$E$30+QB!H97*Scoring!$F$30+QB!I97/Scoring!$G$30+QB!J97*Scoring!$H$30+QB!K97*Scoring!$I$30+M97*Scoring!$J$30+QB!N97*Scoring!$K$30,0)+C97*Scoring!$B$10*0.07+(C97-D97)*Scoring!$B$5</f>
        <v>204.04</v>
      </c>
    </row>
    <row r="97" spans="1:17" ht="14.25" customHeight="1" x14ac:dyDescent="0.3">
      <c r="B97" t="s">
        <v>472</v>
      </c>
      <c r="C97">
        <v>430</v>
      </c>
      <c r="D97">
        <v>257</v>
      </c>
      <c r="E97">
        <v>2656</v>
      </c>
      <c r="F97">
        <v>17</v>
      </c>
      <c r="G97">
        <v>4.4000000000000004</v>
      </c>
      <c r="H97">
        <v>60</v>
      </c>
      <c r="I97">
        <v>256</v>
      </c>
      <c r="J97">
        <v>2</v>
      </c>
      <c r="K97">
        <v>1.7</v>
      </c>
      <c r="L97">
        <v>200</v>
      </c>
      <c r="M97" s="64">
        <f t="shared" si="2"/>
        <v>126.45080291970804</v>
      </c>
      <c r="N97" s="64">
        <f t="shared" si="3"/>
        <v>19.369056603773586</v>
      </c>
      <c r="O97" s="65"/>
      <c r="P97" s="65"/>
      <c r="Q97" s="65"/>
    </row>
    <row r="98" spans="1:17" ht="14.25" customHeight="1" x14ac:dyDescent="0.3">
      <c r="B98" t="s">
        <v>473</v>
      </c>
      <c r="C98">
        <v>195.7</v>
      </c>
      <c r="D98">
        <v>120.5</v>
      </c>
      <c r="E98">
        <v>1281.9000000000001</v>
      </c>
      <c r="F98">
        <v>5.4</v>
      </c>
      <c r="G98">
        <v>11</v>
      </c>
      <c r="H98">
        <v>25.9</v>
      </c>
      <c r="I98">
        <v>130.1</v>
      </c>
      <c r="J98">
        <v>0.6</v>
      </c>
      <c r="K98">
        <v>5</v>
      </c>
      <c r="L98">
        <v>78.2</v>
      </c>
      <c r="M98" s="64">
        <f t="shared" si="2"/>
        <v>61.030604014598545</v>
      </c>
      <c r="N98" s="64">
        <f t="shared" si="3"/>
        <v>9.8434150943396244</v>
      </c>
      <c r="O98" s="65"/>
      <c r="P98" s="65"/>
      <c r="Q98" s="65"/>
    </row>
    <row r="99" spans="1:17" ht="14.25" customHeight="1" x14ac:dyDescent="0.3">
      <c r="A99" t="s">
        <v>536</v>
      </c>
      <c r="B99" t="s">
        <v>535</v>
      </c>
      <c r="C99">
        <v>242</v>
      </c>
      <c r="D99">
        <v>147.1</v>
      </c>
      <c r="E99">
        <v>1632.3</v>
      </c>
      <c r="F99">
        <v>8.1</v>
      </c>
      <c r="G99">
        <v>6.5</v>
      </c>
      <c r="H99">
        <v>24.8</v>
      </c>
      <c r="I99">
        <v>143</v>
      </c>
      <c r="J99">
        <v>0.6</v>
      </c>
      <c r="K99">
        <v>1.5</v>
      </c>
      <c r="L99">
        <v>106.2</v>
      </c>
      <c r="M99" s="64">
        <f t="shared" si="2"/>
        <v>77.712968978102197</v>
      </c>
      <c r="N99" s="64">
        <f t="shared" si="3"/>
        <v>10.819433962264151</v>
      </c>
      <c r="O99" s="65">
        <f>MAX(QB!D101*Scoring!$B$30+QB!E101/Scoring!$C$30+QB!F101*Scoring!$D$30+QB!G101*Scoring!$E$30+QB!H101*Scoring!$F$30+QB!I101/Scoring!$G$30+QB!J101*Scoring!$H$30+QB!K101*Scoring!$I$30+M101*Scoring!$J$30+QB!N101*Scoring!$K$30,0)+C101*Scoring!$B$10*0.07+(C101-D101)*Scoring!$B$5</f>
        <v>36.36</v>
      </c>
      <c r="P99" s="65">
        <f>MAX(QB!D99*Scoring!$B$30+QB!E99/Scoring!$C$30+QB!F99*Scoring!$D$30+QB!G99*Scoring!$E$30+QB!H99*Scoring!$F$30+QB!I99/Scoring!$G$30+QB!J99*Scoring!$H$30+QB!K99*Scoring!$I$30+M99*Scoring!$J$30+QB!N99*Scoring!$K$30,0)+C99*Scoring!$B$10*0.07+(C99-D99)*Scoring!$B$5</f>
        <v>106.092</v>
      </c>
      <c r="Q99" s="65">
        <f>MAX(QB!D100*Scoring!$B$30+QB!E100/Scoring!$C$30+QB!F100*Scoring!$D$30+QB!G100*Scoring!$E$30+QB!H100*Scoring!$F$30+QB!I100/Scoring!$G$30+QB!J100*Scoring!$H$30+QB!K100*Scoring!$I$30+M100*Scoring!$J$30+QB!N100*Scoring!$K$30,0)+C100*Scoring!$B$10*0.07+(C100-D100)*Scoring!$B$5</f>
        <v>157.39599999999999</v>
      </c>
    </row>
    <row r="100" spans="1:17" ht="14.25" customHeight="1" x14ac:dyDescent="0.3">
      <c r="B100" t="s">
        <v>472</v>
      </c>
      <c r="C100">
        <v>351.1</v>
      </c>
      <c r="D100">
        <v>221.2</v>
      </c>
      <c r="E100">
        <v>2434.9</v>
      </c>
      <c r="F100">
        <v>10.199999999999999</v>
      </c>
      <c r="G100">
        <v>3</v>
      </c>
      <c r="H100">
        <v>32.5</v>
      </c>
      <c r="I100">
        <v>182</v>
      </c>
      <c r="J100">
        <v>1</v>
      </c>
      <c r="K100">
        <v>1</v>
      </c>
      <c r="L100">
        <v>142.6</v>
      </c>
      <c r="M100" s="64">
        <f t="shared" si="2"/>
        <v>115.92434489051095</v>
      </c>
      <c r="N100" s="64">
        <f t="shared" si="3"/>
        <v>13.770188679245283</v>
      </c>
      <c r="O100" s="65"/>
      <c r="P100" s="65"/>
      <c r="Q100" s="65"/>
    </row>
    <row r="101" spans="1:17" ht="14.25" customHeight="1" x14ac:dyDescent="0.3">
      <c r="B101" t="s">
        <v>473</v>
      </c>
      <c r="C101">
        <v>107</v>
      </c>
      <c r="D101">
        <v>64</v>
      </c>
      <c r="E101">
        <v>664</v>
      </c>
      <c r="F101">
        <v>4</v>
      </c>
      <c r="G101">
        <v>8.5</v>
      </c>
      <c r="H101">
        <v>10</v>
      </c>
      <c r="I101">
        <v>65</v>
      </c>
      <c r="J101">
        <v>0</v>
      </c>
      <c r="K101">
        <v>2.1</v>
      </c>
      <c r="L101">
        <v>36</v>
      </c>
      <c r="M101" s="64">
        <f t="shared" si="2"/>
        <v>31.61270072992701</v>
      </c>
      <c r="N101" s="64">
        <f t="shared" si="3"/>
        <v>4.9179245283018869</v>
      </c>
      <c r="O101" s="65"/>
      <c r="P101" s="65"/>
      <c r="Q101" s="65"/>
    </row>
    <row r="102" spans="1:17" ht="14.25" customHeight="1" x14ac:dyDescent="0.3">
      <c r="A102" t="s">
        <v>537</v>
      </c>
      <c r="B102" t="s">
        <v>533</v>
      </c>
      <c r="C102">
        <v>222.8</v>
      </c>
      <c r="D102">
        <v>138.80000000000001</v>
      </c>
      <c r="E102">
        <v>1564.8</v>
      </c>
      <c r="F102">
        <v>8.5</v>
      </c>
      <c r="G102">
        <v>4</v>
      </c>
      <c r="H102">
        <v>15.8</v>
      </c>
      <c r="I102">
        <v>53.5</v>
      </c>
      <c r="J102">
        <v>0.6</v>
      </c>
      <c r="K102">
        <v>1.5</v>
      </c>
      <c r="L102">
        <v>98.6</v>
      </c>
      <c r="M102" s="64">
        <f t="shared" si="2"/>
        <v>74.49932846715329</v>
      </c>
      <c r="N102" s="64">
        <f t="shared" si="3"/>
        <v>4.0478301886792458</v>
      </c>
      <c r="O102" s="65">
        <f>MAX(QB!D104*Scoring!$B$30+QB!E104/Scoring!$C$30+QB!F104*Scoring!$D$30+QB!G104*Scoring!$E$30+QB!H104*Scoring!$F$30+QB!I104/Scoring!$G$30+QB!J104*Scoring!$H$30+QB!K104*Scoring!$I$30+M104*Scoring!$J$30+QB!N104*Scoring!$K$30,0)+C104*Scoring!$B$10*0.07+(C104-D104)*Scoring!$B$5</f>
        <v>77.180000000000007</v>
      </c>
      <c r="P102" s="65">
        <f>MAX(QB!D102*Scoring!$B$30+QB!E102/Scoring!$C$30+QB!F102*Scoring!$D$30+QB!G102*Scoring!$E$30+QB!H102*Scoring!$F$30+QB!I102/Scoring!$G$30+QB!J102*Scoring!$H$30+QB!K102*Scoring!$I$30+M102*Scoring!$J$30+QB!N102*Scoring!$K$30,0)+C102*Scoring!$B$10*0.07+(C102-D102)*Scoring!$B$5</f>
        <v>98.541999999999987</v>
      </c>
      <c r="Q102" s="65">
        <f>MAX(QB!D103*Scoring!$B$30+QB!E103/Scoring!$C$30+QB!F103*Scoring!$D$30+QB!G103*Scoring!$E$30+QB!H103*Scoring!$F$30+QB!I103/Scoring!$G$30+QB!J103*Scoring!$H$30+QB!K103*Scoring!$I$30+M103*Scoring!$J$30+QB!N103*Scoring!$K$30,0)+C103*Scoring!$B$10*0.07+(C103-D103)*Scoring!$B$5</f>
        <v>121.56</v>
      </c>
    </row>
    <row r="103" spans="1:17" ht="14.25" customHeight="1" x14ac:dyDescent="0.3">
      <c r="B103" t="s">
        <v>472</v>
      </c>
      <c r="C103">
        <v>265.39999999999998</v>
      </c>
      <c r="D103">
        <v>168.3</v>
      </c>
      <c r="E103">
        <v>1882.5</v>
      </c>
      <c r="F103">
        <v>9.4</v>
      </c>
      <c r="G103">
        <v>3</v>
      </c>
      <c r="H103">
        <v>19.399999999999999</v>
      </c>
      <c r="I103">
        <v>76.599999999999994</v>
      </c>
      <c r="J103">
        <v>1</v>
      </c>
      <c r="K103">
        <v>1</v>
      </c>
      <c r="L103">
        <v>113.2</v>
      </c>
      <c r="M103" s="64">
        <f t="shared" si="2"/>
        <v>89.624863138686138</v>
      </c>
      <c r="N103" s="64">
        <f t="shared" si="3"/>
        <v>5.7955849056603777</v>
      </c>
      <c r="O103" s="65"/>
      <c r="P103" s="65"/>
      <c r="Q103" s="65"/>
    </row>
    <row r="104" spans="1:17" ht="14.25" customHeight="1" x14ac:dyDescent="0.3">
      <c r="B104" t="s">
        <v>473</v>
      </c>
      <c r="C104">
        <v>184</v>
      </c>
      <c r="D104">
        <v>112</v>
      </c>
      <c r="E104">
        <v>1257</v>
      </c>
      <c r="F104">
        <v>8</v>
      </c>
      <c r="G104">
        <v>5.0999999999999996</v>
      </c>
      <c r="H104">
        <v>13</v>
      </c>
      <c r="I104">
        <v>38</v>
      </c>
      <c r="J104">
        <v>0</v>
      </c>
      <c r="K104">
        <v>1.9</v>
      </c>
      <c r="L104">
        <v>87</v>
      </c>
      <c r="M104" s="64">
        <f t="shared" si="2"/>
        <v>59.845127737226292</v>
      </c>
      <c r="N104" s="64">
        <f t="shared" si="3"/>
        <v>2.8750943396226418</v>
      </c>
      <c r="O104" s="65"/>
      <c r="P104" s="65"/>
      <c r="Q104" s="65"/>
    </row>
    <row r="105" spans="1:17" ht="14.25" customHeight="1" x14ac:dyDescent="0.3">
      <c r="A105" t="s">
        <v>538</v>
      </c>
      <c r="B105" t="s">
        <v>531</v>
      </c>
      <c r="C105">
        <v>114.2</v>
      </c>
      <c r="D105">
        <v>74.2</v>
      </c>
      <c r="E105">
        <v>781.8</v>
      </c>
      <c r="F105">
        <v>5</v>
      </c>
      <c r="G105">
        <v>3.9</v>
      </c>
      <c r="H105">
        <v>5.2</v>
      </c>
      <c r="I105">
        <v>9</v>
      </c>
      <c r="J105">
        <v>0.1</v>
      </c>
      <c r="K105">
        <v>0.9</v>
      </c>
      <c r="L105">
        <v>47.1</v>
      </c>
      <c r="M105" s="64">
        <f t="shared" si="2"/>
        <v>37.221098540145981</v>
      </c>
      <c r="N105" s="64">
        <f t="shared" si="3"/>
        <v>0.68094339622641509</v>
      </c>
      <c r="O105" s="65">
        <f>MAX(QB!D107*Scoring!$B$30+QB!E107/Scoring!$C$30+QB!F107*Scoring!$D$30+QB!G107*Scoring!$E$30+QB!H107*Scoring!$F$30+QB!I107/Scoring!$G$30+QB!J107*Scoring!$H$30+QB!K107*Scoring!$I$30+M107*Scoring!$J$30+QB!N107*Scoring!$K$30,0)+C107*Scoring!$B$10*0.07+(C107-D107)*Scoring!$B$5</f>
        <v>36.86</v>
      </c>
      <c r="P105" s="65">
        <f>MAX(QB!D105*Scoring!$B$30+QB!E105/Scoring!$C$30+QB!F105*Scoring!$D$30+QB!G105*Scoring!$E$30+QB!H105*Scoring!$F$30+QB!I105/Scoring!$G$30+QB!J105*Scoring!$H$30+QB!K105*Scoring!$I$30+M105*Scoring!$J$30+QB!N105*Scoring!$K$30,0)+C105*Scoring!$B$10*0.07+(C105-D105)*Scoring!$B$5</f>
        <v>47.072000000000003</v>
      </c>
      <c r="Q105" s="65">
        <f>MAX(QB!D106*Scoring!$B$30+QB!E106/Scoring!$C$30+QB!F106*Scoring!$D$30+QB!G106*Scoring!$E$30+QB!H106*Scoring!$F$30+QB!I106/Scoring!$G$30+QB!J106*Scoring!$H$30+QB!K106*Scoring!$I$30+M106*Scoring!$J$30+QB!N106*Scoring!$K$30,0)+C106*Scoring!$B$10*0.07+(C106-D106)*Scoring!$B$5</f>
        <v>56.16</v>
      </c>
    </row>
    <row r="106" spans="1:17" ht="14.25" customHeight="1" x14ac:dyDescent="0.3">
      <c r="B106" t="s">
        <v>472</v>
      </c>
      <c r="C106">
        <v>121</v>
      </c>
      <c r="D106">
        <v>78.599999999999994</v>
      </c>
      <c r="E106">
        <v>844</v>
      </c>
      <c r="F106">
        <v>6</v>
      </c>
      <c r="G106">
        <v>2.7</v>
      </c>
      <c r="H106">
        <v>7</v>
      </c>
      <c r="I106">
        <v>11</v>
      </c>
      <c r="J106">
        <v>0.3</v>
      </c>
      <c r="K106">
        <v>0.9</v>
      </c>
      <c r="L106">
        <v>58.5</v>
      </c>
      <c r="M106" s="64">
        <f t="shared" si="2"/>
        <v>40.182408759124087</v>
      </c>
      <c r="N106" s="64">
        <f t="shared" si="3"/>
        <v>0.83226415094339634</v>
      </c>
      <c r="O106" s="65"/>
      <c r="P106" s="65"/>
      <c r="Q106" s="65"/>
    </row>
    <row r="107" spans="1:17" ht="14.25" customHeight="1" x14ac:dyDescent="0.3">
      <c r="B107" t="s">
        <v>473</v>
      </c>
      <c r="C107">
        <v>103</v>
      </c>
      <c r="D107">
        <v>69</v>
      </c>
      <c r="E107">
        <v>669</v>
      </c>
      <c r="F107">
        <v>4.0999999999999996</v>
      </c>
      <c r="G107">
        <v>5</v>
      </c>
      <c r="H107">
        <v>3</v>
      </c>
      <c r="I107">
        <v>7</v>
      </c>
      <c r="J107">
        <v>0</v>
      </c>
      <c r="K107">
        <v>1</v>
      </c>
      <c r="L107">
        <v>38</v>
      </c>
      <c r="M107" s="64">
        <f t="shared" si="2"/>
        <v>31.850748175182481</v>
      </c>
      <c r="N107" s="64">
        <f t="shared" si="3"/>
        <v>0.52962264150943406</v>
      </c>
      <c r="O107" s="65"/>
      <c r="P107" s="65"/>
      <c r="Q107" s="65"/>
    </row>
    <row r="108" spans="1:17" ht="14.25" customHeight="1" x14ac:dyDescent="0.3">
      <c r="A108" t="s">
        <v>540</v>
      </c>
      <c r="B108" t="s">
        <v>527</v>
      </c>
      <c r="C108">
        <v>64.599999999999994</v>
      </c>
      <c r="D108">
        <v>40.4</v>
      </c>
      <c r="E108">
        <v>449.8</v>
      </c>
      <c r="F108">
        <v>2.8</v>
      </c>
      <c r="G108">
        <v>1.8</v>
      </c>
      <c r="H108">
        <v>6.8</v>
      </c>
      <c r="I108">
        <v>26.7</v>
      </c>
      <c r="J108">
        <v>0.1</v>
      </c>
      <c r="K108">
        <v>0.5</v>
      </c>
      <c r="L108">
        <v>29.9</v>
      </c>
      <c r="M108" s="64">
        <f t="shared" si="2"/>
        <v>21.414748175182481</v>
      </c>
      <c r="N108" s="64">
        <f t="shared" si="3"/>
        <v>2.0201320754716985</v>
      </c>
      <c r="O108" s="65">
        <f>MAX(QB!D110*Scoring!$B$30+QB!E110/Scoring!$C$30+QB!F110*Scoring!$D$30+QB!G110*Scoring!$E$30+QB!H110*Scoring!$F$30+QB!I110/Scoring!$G$30+QB!J110*Scoring!$H$30+QB!K110*Scoring!$I$30+M110*Scoring!$J$30+QB!N110*Scoring!$K$30,0)+C110*Scoring!$B$10*0.07+(C110-D110)*Scoring!$B$5</f>
        <v>27.759999999999998</v>
      </c>
      <c r="P108" s="65">
        <f>MAX(QB!D108*Scoring!$B$30+QB!E108/Scoring!$C$30+QB!F108*Scoring!$D$30+QB!G108*Scoring!$E$30+QB!H108*Scoring!$F$30+QB!I108/Scoring!$G$30+QB!J108*Scoring!$H$30+QB!K108*Scoring!$I$30+M108*Scoring!$J$30+QB!N108*Scoring!$K$30,0)+C108*Scoring!$B$10*0.07+(C108-D108)*Scoring!$B$5</f>
        <v>29.661999999999999</v>
      </c>
      <c r="Q108" s="65">
        <f>MAX(QB!D109*Scoring!$B$30+QB!E109/Scoring!$C$30+QB!F109*Scoring!$D$30+QB!G109*Scoring!$E$30+QB!H109*Scoring!$F$30+QB!I109/Scoring!$G$30+QB!J109*Scoring!$H$30+QB!K109*Scoring!$I$30+M109*Scoring!$J$30+QB!N109*Scoring!$K$30,0)+C109*Scoring!$B$10*0.07+(C109-D109)*Scoring!$B$5</f>
        <v>32.264000000000003</v>
      </c>
    </row>
    <row r="109" spans="1:17" ht="14.25" customHeight="1" x14ac:dyDescent="0.3">
      <c r="B109" t="s">
        <v>472</v>
      </c>
      <c r="C109">
        <v>66.2</v>
      </c>
      <c r="D109">
        <v>40.799999999999997</v>
      </c>
      <c r="E109">
        <v>450.6</v>
      </c>
      <c r="F109">
        <v>3</v>
      </c>
      <c r="G109">
        <v>1.5</v>
      </c>
      <c r="H109">
        <v>7</v>
      </c>
      <c r="I109">
        <v>29.4</v>
      </c>
      <c r="J109">
        <v>0.3</v>
      </c>
      <c r="K109">
        <v>0.5</v>
      </c>
      <c r="L109">
        <v>32.4</v>
      </c>
      <c r="M109" s="64">
        <f t="shared" si="2"/>
        <v>21.452835766423362</v>
      </c>
      <c r="N109" s="64">
        <f t="shared" si="3"/>
        <v>2.2244150943396228</v>
      </c>
      <c r="O109" s="65"/>
      <c r="P109" s="65"/>
      <c r="Q109" s="65"/>
    </row>
    <row r="110" spans="1:17" ht="14.25" customHeight="1" x14ac:dyDescent="0.3">
      <c r="B110" t="s">
        <v>473</v>
      </c>
      <c r="C110">
        <v>63</v>
      </c>
      <c r="D110">
        <v>40</v>
      </c>
      <c r="E110">
        <v>449</v>
      </c>
      <c r="F110">
        <v>2.6</v>
      </c>
      <c r="G110">
        <v>2</v>
      </c>
      <c r="H110">
        <v>6.6</v>
      </c>
      <c r="I110">
        <v>24</v>
      </c>
      <c r="J110">
        <v>0</v>
      </c>
      <c r="K110">
        <v>0.5</v>
      </c>
      <c r="L110">
        <v>29.3</v>
      </c>
      <c r="M110" s="64">
        <f t="shared" si="2"/>
        <v>21.376660583941604</v>
      </c>
      <c r="N110" s="64">
        <f t="shared" si="3"/>
        <v>1.8158490566037739</v>
      </c>
      <c r="O110" s="65"/>
      <c r="P110" s="65"/>
      <c r="Q110" s="65"/>
    </row>
    <row r="111" spans="1:17" ht="14.25" customHeight="1" x14ac:dyDescent="0.3">
      <c r="A111" t="s">
        <v>539</v>
      </c>
      <c r="B111" t="s">
        <v>501</v>
      </c>
      <c r="C111">
        <v>33.6</v>
      </c>
      <c r="D111">
        <v>20.8</v>
      </c>
      <c r="E111">
        <v>242.8</v>
      </c>
      <c r="F111">
        <v>2.1</v>
      </c>
      <c r="G111">
        <v>0.5</v>
      </c>
      <c r="H111">
        <v>3</v>
      </c>
      <c r="I111">
        <v>13.9</v>
      </c>
      <c r="J111">
        <v>0</v>
      </c>
      <c r="K111">
        <v>0.1</v>
      </c>
      <c r="L111">
        <v>18.8</v>
      </c>
      <c r="M111" s="64">
        <f t="shared" si="2"/>
        <v>11.559583941605839</v>
      </c>
      <c r="N111" s="64">
        <f t="shared" si="3"/>
        <v>1.051679245283019</v>
      </c>
      <c r="O111" s="65">
        <f>MAX(QB!D113*Scoring!$B$30+QB!E113/Scoring!$C$30+QB!F113*Scoring!$D$30+QB!G113*Scoring!$E$30+QB!H113*Scoring!$F$30+QB!I113/Scoring!$G$30+QB!J113*Scoring!$H$30+QB!K113*Scoring!$I$30+M113*Scoring!$J$30+QB!N113*Scoring!$K$30,0)+C113*Scoring!$B$10*0.07+(C113-D113)*Scoring!$B$5</f>
        <v>8.3600000000000012</v>
      </c>
      <c r="P111" s="65">
        <f>MAX(QB!D111*Scoring!$B$30+QB!E111/Scoring!$C$30+QB!F111*Scoring!$D$30+QB!G111*Scoring!$E$30+QB!H111*Scoring!$F$30+QB!I111/Scoring!$G$30+QB!J111*Scoring!$H$30+QB!K111*Scoring!$I$30+M111*Scoring!$J$30+QB!N111*Scoring!$K$30,0)+C111*Scoring!$B$10*0.07+(C111-D111)*Scoring!$B$5</f>
        <v>18.802000000000003</v>
      </c>
      <c r="Q111" s="65">
        <f>MAX(QB!D112*Scoring!$B$30+QB!E112/Scoring!$C$30+QB!F112*Scoring!$D$30+QB!G112*Scoring!$E$30+QB!H112*Scoring!$F$30+QB!I112/Scoring!$G$30+QB!J112*Scoring!$H$30+QB!K112*Scoring!$I$30+M112*Scoring!$J$30+QB!N112*Scoring!$K$30,0)+C112*Scoring!$B$10*0.07+(C112-D112)*Scoring!$B$5</f>
        <v>37.800000000000004</v>
      </c>
    </row>
    <row r="112" spans="1:17" ht="14.25" customHeight="1" x14ac:dyDescent="0.3">
      <c r="B112" t="s">
        <v>472</v>
      </c>
      <c r="C112">
        <v>60</v>
      </c>
      <c r="D112">
        <v>38</v>
      </c>
      <c r="E112">
        <v>450</v>
      </c>
      <c r="F112">
        <v>4</v>
      </c>
      <c r="G112">
        <v>0</v>
      </c>
      <c r="H112">
        <v>7</v>
      </c>
      <c r="I112">
        <v>32</v>
      </c>
      <c r="J112">
        <v>0.1</v>
      </c>
      <c r="K112">
        <v>0</v>
      </c>
      <c r="L112">
        <v>34</v>
      </c>
      <c r="M112" s="64">
        <f t="shared" si="2"/>
        <v>21.424270072992698</v>
      </c>
      <c r="N112" s="64">
        <f t="shared" si="3"/>
        <v>2.4211320754716978</v>
      </c>
      <c r="O112" s="65"/>
      <c r="P112" s="65"/>
      <c r="Q112" s="65"/>
    </row>
    <row r="113" spans="1:17" ht="14.25" customHeight="1" x14ac:dyDescent="0.3">
      <c r="B113" t="s">
        <v>473</v>
      </c>
      <c r="C113">
        <v>19</v>
      </c>
      <c r="D113">
        <v>11</v>
      </c>
      <c r="E113">
        <v>132</v>
      </c>
      <c r="F113">
        <v>1</v>
      </c>
      <c r="G113">
        <v>1</v>
      </c>
      <c r="H113">
        <v>1</v>
      </c>
      <c r="I113">
        <v>4.8</v>
      </c>
      <c r="J113">
        <v>0</v>
      </c>
      <c r="K113">
        <v>0.2</v>
      </c>
      <c r="L113">
        <v>9.8000000000000007</v>
      </c>
      <c r="M113" s="64">
        <f t="shared" si="2"/>
        <v>6.2844525547445258</v>
      </c>
      <c r="N113" s="64">
        <f t="shared" si="3"/>
        <v>0.36316981132075477</v>
      </c>
      <c r="O113" s="65"/>
      <c r="P113" s="65"/>
      <c r="Q113" s="65"/>
    </row>
    <row r="114" spans="1:17" ht="14.25" customHeight="1" x14ac:dyDescent="0.3">
      <c r="A114" t="s">
        <v>542</v>
      </c>
      <c r="B114" t="s">
        <v>479</v>
      </c>
      <c r="C114">
        <v>34.299999999999997</v>
      </c>
      <c r="D114">
        <v>21.6</v>
      </c>
      <c r="E114">
        <v>253.9</v>
      </c>
      <c r="F114">
        <v>2</v>
      </c>
      <c r="G114">
        <v>0.8</v>
      </c>
      <c r="H114">
        <v>1.4</v>
      </c>
      <c r="I114">
        <v>7.9</v>
      </c>
      <c r="J114">
        <v>0</v>
      </c>
      <c r="K114">
        <v>0.1</v>
      </c>
      <c r="L114">
        <v>18</v>
      </c>
      <c r="M114" s="64">
        <f t="shared" si="2"/>
        <v>12.088049270072993</v>
      </c>
      <c r="N114" s="64">
        <f t="shared" si="3"/>
        <v>0.5977169811320755</v>
      </c>
      <c r="O114" s="65">
        <f>MAX(QB!D116*Scoring!$B$30+QB!E116/Scoring!$C$30+QB!F116*Scoring!$D$30+QB!G116*Scoring!$E$30+QB!H116*Scoring!$F$30+QB!I116/Scoring!$G$30+QB!J116*Scoring!$H$30+QB!K116*Scoring!$I$30+M116*Scoring!$J$30+QB!N116*Scoring!$K$30,0)+C116*Scoring!$B$10*0.07+(C116-D116)*Scoring!$B$5</f>
        <v>9.8359999999999985</v>
      </c>
      <c r="P114" s="65">
        <f>MAX(QB!D114*Scoring!$B$30+QB!E114/Scoring!$C$30+QB!F114*Scoring!$D$30+QB!G114*Scoring!$E$30+QB!H114*Scoring!$F$30+QB!I114/Scoring!$G$30+QB!J114*Scoring!$H$30+QB!K114*Scoring!$I$30+M114*Scoring!$J$30+QB!N114*Scoring!$K$30,0)+C114*Scoring!$B$10*0.07+(C114-D114)*Scoring!$B$5</f>
        <v>17.945999999999998</v>
      </c>
      <c r="Q114" s="65">
        <f>MAX(QB!D115*Scoring!$B$30+QB!E115/Scoring!$C$30+QB!F115*Scoring!$D$30+QB!G115*Scoring!$E$30+QB!H115*Scoring!$F$30+QB!I115/Scoring!$G$30+QB!J115*Scoring!$H$30+QB!K115*Scoring!$I$30+M115*Scoring!$J$30+QB!N115*Scoring!$K$30,0)+C115*Scoring!$B$10*0.07+(C115-D115)*Scoring!$B$5</f>
        <v>26.560000000000002</v>
      </c>
    </row>
    <row r="115" spans="1:17" ht="14.25" customHeight="1" x14ac:dyDescent="0.3">
      <c r="B115" t="s">
        <v>472</v>
      </c>
      <c r="C115">
        <v>46</v>
      </c>
      <c r="D115">
        <v>29</v>
      </c>
      <c r="E115">
        <v>342</v>
      </c>
      <c r="F115">
        <v>3</v>
      </c>
      <c r="G115">
        <v>0.7</v>
      </c>
      <c r="H115">
        <v>1.8</v>
      </c>
      <c r="I115">
        <v>9.8000000000000007</v>
      </c>
      <c r="J115">
        <v>0.1</v>
      </c>
      <c r="K115">
        <v>0</v>
      </c>
      <c r="L115">
        <v>21</v>
      </c>
      <c r="M115" s="64">
        <f t="shared" si="2"/>
        <v>16.282445255474453</v>
      </c>
      <c r="N115" s="64">
        <f t="shared" si="3"/>
        <v>0.74147169811320768</v>
      </c>
      <c r="O115" s="65"/>
      <c r="P115" s="65"/>
      <c r="Q115" s="65"/>
    </row>
    <row r="116" spans="1:17" ht="14.25" customHeight="1" x14ac:dyDescent="0.3">
      <c r="B116" t="s">
        <v>473</v>
      </c>
      <c r="C116">
        <v>22.6</v>
      </c>
      <c r="D116">
        <v>14.3</v>
      </c>
      <c r="E116">
        <v>165.9</v>
      </c>
      <c r="F116">
        <v>1</v>
      </c>
      <c r="G116">
        <v>1</v>
      </c>
      <c r="H116">
        <v>1</v>
      </c>
      <c r="I116">
        <v>6</v>
      </c>
      <c r="J116">
        <v>0</v>
      </c>
      <c r="K116">
        <v>0.2</v>
      </c>
      <c r="L116">
        <v>10.199999999999999</v>
      </c>
      <c r="M116" s="64">
        <f t="shared" si="2"/>
        <v>7.8984142335766423</v>
      </c>
      <c r="N116" s="64">
        <f t="shared" si="3"/>
        <v>0.45396226415094343</v>
      </c>
      <c r="O116" s="65"/>
      <c r="P116" s="65"/>
      <c r="Q116" s="65"/>
    </row>
    <row r="117" spans="1:17" ht="14.25" customHeight="1" x14ac:dyDescent="0.3">
      <c r="A117" t="s">
        <v>543</v>
      </c>
      <c r="B117" t="s">
        <v>511</v>
      </c>
      <c r="C117">
        <v>29.9</v>
      </c>
      <c r="D117">
        <v>18.8</v>
      </c>
      <c r="E117">
        <v>208.6</v>
      </c>
      <c r="F117">
        <v>1.4</v>
      </c>
      <c r="G117">
        <v>0.8</v>
      </c>
      <c r="H117">
        <v>1.6</v>
      </c>
      <c r="I117">
        <v>7.2</v>
      </c>
      <c r="J117">
        <v>0</v>
      </c>
      <c r="K117">
        <v>0.2</v>
      </c>
      <c r="L117">
        <v>13.8</v>
      </c>
      <c r="M117" s="64">
        <f t="shared" si="2"/>
        <v>9.9313394160583943</v>
      </c>
      <c r="N117" s="64">
        <f t="shared" si="3"/>
        <v>0.5447547169811322</v>
      </c>
      <c r="O117" s="65">
        <f>MAX(QB!D119*Scoring!$B$30+QB!E119/Scoring!$C$30+QB!F119*Scoring!$D$30+QB!G119*Scoring!$E$30+QB!H119*Scoring!$F$30+QB!I119/Scoring!$G$30+QB!J119*Scoring!$H$30+QB!K119*Scoring!$I$30+M119*Scoring!$J$30+QB!N119*Scoring!$K$30,0)+C119*Scoring!$B$10*0.07+(C119-D119)*Scoring!$B$5</f>
        <v>8.6679999999999975</v>
      </c>
      <c r="P117" s="65">
        <f>MAX(QB!D117*Scoring!$B$30+QB!E117/Scoring!$C$30+QB!F117*Scoring!$D$30+QB!G117*Scoring!$E$30+QB!H117*Scoring!$F$30+QB!I117/Scoring!$G$30+QB!J117*Scoring!$H$30+QB!K117*Scoring!$I$30+M117*Scoring!$J$30+QB!N117*Scoring!$K$30,0)+C117*Scoring!$B$10*0.07+(C117-D117)*Scoring!$B$5</f>
        <v>13.463999999999999</v>
      </c>
      <c r="Q117" s="65">
        <f>MAX(QB!D118*Scoring!$B$30+QB!E118/Scoring!$C$30+QB!F118*Scoring!$D$30+QB!G118*Scoring!$E$30+QB!H118*Scoring!$F$30+QB!I118/Scoring!$G$30+QB!J118*Scoring!$H$30+QB!K118*Scoring!$I$30+M118*Scoring!$J$30+QB!N118*Scoring!$K$30,0)+C118*Scoring!$B$10*0.07+(C118-D118)*Scoring!$B$5</f>
        <v>18.96</v>
      </c>
    </row>
    <row r="118" spans="1:17" ht="14.25" customHeight="1" x14ac:dyDescent="0.3">
      <c r="B118" t="s">
        <v>472</v>
      </c>
      <c r="C118">
        <v>37</v>
      </c>
      <c r="D118">
        <v>23</v>
      </c>
      <c r="E118">
        <v>259</v>
      </c>
      <c r="F118">
        <v>2</v>
      </c>
      <c r="G118">
        <v>0.5</v>
      </c>
      <c r="H118">
        <v>2</v>
      </c>
      <c r="I118">
        <v>9</v>
      </c>
      <c r="J118">
        <v>0.1</v>
      </c>
      <c r="K118">
        <v>0.2</v>
      </c>
      <c r="L118">
        <v>19.3</v>
      </c>
      <c r="M118" s="64">
        <f t="shared" si="2"/>
        <v>12.330857664233577</v>
      </c>
      <c r="N118" s="64">
        <f t="shared" si="3"/>
        <v>0.6809433962264152</v>
      </c>
      <c r="O118" s="65"/>
      <c r="P118" s="65"/>
      <c r="Q118" s="65"/>
    </row>
    <row r="119" spans="1:17" ht="14.25" customHeight="1" x14ac:dyDescent="0.3">
      <c r="B119" t="s">
        <v>473</v>
      </c>
      <c r="C119">
        <v>22.8</v>
      </c>
      <c r="D119">
        <v>14.6</v>
      </c>
      <c r="E119">
        <v>158.19999999999999</v>
      </c>
      <c r="F119">
        <v>0.8</v>
      </c>
      <c r="G119">
        <v>1</v>
      </c>
      <c r="H119">
        <v>1.2</v>
      </c>
      <c r="I119">
        <v>5.4</v>
      </c>
      <c r="J119">
        <v>0</v>
      </c>
      <c r="K119">
        <v>0.2</v>
      </c>
      <c r="L119">
        <v>9.4</v>
      </c>
      <c r="M119" s="64">
        <f t="shared" si="2"/>
        <v>7.5318211678832112</v>
      </c>
      <c r="N119" s="64">
        <f t="shared" si="3"/>
        <v>0.4085660377358491</v>
      </c>
      <c r="O119" s="65"/>
      <c r="P119" s="65"/>
      <c r="Q119" s="65"/>
    </row>
    <row r="120" spans="1:17" ht="14.25" customHeight="1" x14ac:dyDescent="0.3">
      <c r="A120" t="s">
        <v>558</v>
      </c>
      <c r="B120" t="s">
        <v>511</v>
      </c>
      <c r="C120">
        <v>22</v>
      </c>
      <c r="D120">
        <v>14</v>
      </c>
      <c r="E120">
        <v>161</v>
      </c>
      <c r="F120">
        <v>1</v>
      </c>
      <c r="G120">
        <v>0</v>
      </c>
      <c r="H120">
        <v>5</v>
      </c>
      <c r="I120">
        <v>20</v>
      </c>
      <c r="J120">
        <v>0</v>
      </c>
      <c r="K120">
        <v>0</v>
      </c>
      <c r="L120">
        <v>12.4</v>
      </c>
      <c r="M120" s="64">
        <f t="shared" si="2"/>
        <v>7.6651277372262774</v>
      </c>
      <c r="N120" s="64">
        <f t="shared" si="3"/>
        <v>1.5132075471698114</v>
      </c>
      <c r="O120" s="65">
        <f>MAX(QB!D122*Scoring!$B$30+QB!E122/Scoring!$C$30+QB!F122*Scoring!$D$30+QB!G122*Scoring!$E$30+QB!H122*Scoring!$F$30+QB!I122/Scoring!$G$30+QB!J122*Scoring!$H$30+QB!K122*Scoring!$I$30+M122*Scoring!$J$30+QB!N122*Scoring!$K$30,0)+C122*Scoring!$B$10*0.07+(C122-D122)*Scoring!$B$5</f>
        <v>12.440000000000001</v>
      </c>
      <c r="P120" s="65">
        <f>MAX(QB!D120*Scoring!$B$30+QB!E120/Scoring!$C$30+QB!F120*Scoring!$D$30+QB!G120*Scoring!$E$30+QB!H120*Scoring!$F$30+QB!I120/Scoring!$G$30+QB!J120*Scoring!$H$30+QB!K120*Scoring!$I$30+M120*Scoring!$J$30+QB!N120*Scoring!$K$30,0)+C120*Scoring!$B$10*0.07+(C120-D120)*Scoring!$B$5</f>
        <v>12.440000000000001</v>
      </c>
      <c r="Q120" s="65">
        <f>MAX(QB!D121*Scoring!$B$30+QB!E121/Scoring!$C$30+QB!F121*Scoring!$D$30+QB!G121*Scoring!$E$30+QB!H121*Scoring!$F$30+QB!I121/Scoring!$G$30+QB!J121*Scoring!$H$30+QB!K121*Scoring!$I$30+M121*Scoring!$J$30+QB!N121*Scoring!$K$30,0)+C121*Scoring!$B$10*0.07+(C121-D121)*Scoring!$B$5</f>
        <v>12.440000000000001</v>
      </c>
    </row>
    <row r="121" spans="1:17" ht="14.25" customHeight="1" x14ac:dyDescent="0.3">
      <c r="B121" t="s">
        <v>472</v>
      </c>
      <c r="C121">
        <v>22</v>
      </c>
      <c r="D121">
        <v>14</v>
      </c>
      <c r="E121">
        <v>161</v>
      </c>
      <c r="F121">
        <v>1</v>
      </c>
      <c r="G121">
        <v>0</v>
      </c>
      <c r="H121">
        <v>5</v>
      </c>
      <c r="I121">
        <v>20</v>
      </c>
      <c r="J121">
        <v>0</v>
      </c>
      <c r="K121">
        <v>0</v>
      </c>
      <c r="L121">
        <v>10</v>
      </c>
      <c r="M121" s="64">
        <f t="shared" si="2"/>
        <v>7.6651277372262774</v>
      </c>
      <c r="N121" s="64">
        <f t="shared" si="3"/>
        <v>1.5132075471698114</v>
      </c>
      <c r="O121" s="65"/>
      <c r="P121" s="65"/>
      <c r="Q121" s="65"/>
    </row>
    <row r="122" spans="1:17" ht="14.25" customHeight="1" x14ac:dyDescent="0.3">
      <c r="B122" t="s">
        <v>473</v>
      </c>
      <c r="C122">
        <v>22</v>
      </c>
      <c r="D122">
        <v>14</v>
      </c>
      <c r="E122">
        <v>161</v>
      </c>
      <c r="F122">
        <v>1</v>
      </c>
      <c r="G122">
        <v>0</v>
      </c>
      <c r="H122">
        <v>5</v>
      </c>
      <c r="I122">
        <v>20</v>
      </c>
      <c r="J122">
        <v>0</v>
      </c>
      <c r="K122">
        <v>0</v>
      </c>
      <c r="L122">
        <v>10</v>
      </c>
      <c r="M122" s="64">
        <f t="shared" si="2"/>
        <v>7.6651277372262774</v>
      </c>
      <c r="N122" s="64">
        <f t="shared" si="3"/>
        <v>1.5132075471698114</v>
      </c>
      <c r="O122" s="65"/>
      <c r="P122" s="65"/>
      <c r="Q122" s="65"/>
    </row>
    <row r="123" spans="1:17" ht="14.25" customHeight="1" x14ac:dyDescent="0.3">
      <c r="A123" t="s">
        <v>541</v>
      </c>
      <c r="B123" t="s">
        <v>509</v>
      </c>
      <c r="C123">
        <v>27.7</v>
      </c>
      <c r="D123">
        <v>16.899999999999999</v>
      </c>
      <c r="E123">
        <v>196</v>
      </c>
      <c r="F123">
        <v>1</v>
      </c>
      <c r="G123">
        <v>0.9</v>
      </c>
      <c r="H123">
        <v>3.1</v>
      </c>
      <c r="I123">
        <v>14.4</v>
      </c>
      <c r="J123">
        <v>0</v>
      </c>
      <c r="K123">
        <v>0.1</v>
      </c>
      <c r="L123">
        <v>12.3</v>
      </c>
      <c r="M123" s="64">
        <f t="shared" si="2"/>
        <v>9.3314598540145983</v>
      </c>
      <c r="N123" s="64">
        <f t="shared" si="3"/>
        <v>1.0895094339622644</v>
      </c>
      <c r="O123" s="65">
        <f>MAX(QB!D125*Scoring!$B$30+QB!E125/Scoring!$C$30+QB!F125*Scoring!$D$30+QB!G125*Scoring!$E$30+QB!H125*Scoring!$F$30+QB!I125/Scoring!$G$30+QB!J125*Scoring!$H$30+QB!K125*Scoring!$I$30+M125*Scoring!$J$30+QB!N125*Scoring!$K$30,0)+C125*Scoring!$B$10*0.07+(C125-D125)*Scoring!$B$5</f>
        <v>8.69</v>
      </c>
      <c r="P123" s="65">
        <f>MAX(QB!D123*Scoring!$B$30+QB!E123/Scoring!$C$30+QB!F123*Scoring!$D$30+QB!G123*Scoring!$E$30+QB!H123*Scoring!$F$30+QB!I123/Scoring!$G$30+QB!J123*Scoring!$H$30+QB!K123*Scoring!$I$30+M123*Scoring!$J$30+QB!N123*Scoring!$K$30,0)+C123*Scoring!$B$10*0.07+(C123-D123)*Scoring!$B$5</f>
        <v>12.18</v>
      </c>
      <c r="Q123" s="65">
        <f>MAX(QB!D124*Scoring!$B$30+QB!E124/Scoring!$C$30+QB!F124*Scoring!$D$30+QB!G124*Scoring!$E$30+QB!H124*Scoring!$F$30+QB!I124/Scoring!$G$30+QB!J124*Scoring!$H$30+QB!K124*Scoring!$I$30+M124*Scoring!$J$30+QB!N124*Scoring!$K$30,0)+C124*Scoring!$B$10*0.07+(C124-D124)*Scoring!$B$5</f>
        <v>17.240000000000002</v>
      </c>
    </row>
    <row r="124" spans="1:17" ht="14.25" customHeight="1" x14ac:dyDescent="0.3">
      <c r="B124" t="s">
        <v>472</v>
      </c>
      <c r="C124">
        <v>41</v>
      </c>
      <c r="D124">
        <v>24</v>
      </c>
      <c r="E124">
        <v>286</v>
      </c>
      <c r="F124">
        <v>1</v>
      </c>
      <c r="G124">
        <v>0.7</v>
      </c>
      <c r="H124">
        <v>4</v>
      </c>
      <c r="I124">
        <v>19</v>
      </c>
      <c r="J124">
        <v>0.1</v>
      </c>
      <c r="K124">
        <v>0</v>
      </c>
      <c r="L124">
        <v>17.2</v>
      </c>
      <c r="M124" s="64">
        <f t="shared" si="2"/>
        <v>13.616313868613137</v>
      </c>
      <c r="N124" s="64">
        <f t="shared" si="3"/>
        <v>1.4375471698113209</v>
      </c>
      <c r="O124" s="65"/>
      <c r="P124" s="65"/>
      <c r="Q124" s="65"/>
    </row>
    <row r="125" spans="1:17" ht="14.25" customHeight="1" x14ac:dyDescent="0.3">
      <c r="B125" t="s">
        <v>473</v>
      </c>
      <c r="C125">
        <v>19</v>
      </c>
      <c r="D125">
        <v>12</v>
      </c>
      <c r="E125">
        <v>137</v>
      </c>
      <c r="F125">
        <v>1</v>
      </c>
      <c r="G125">
        <v>1</v>
      </c>
      <c r="H125">
        <v>1.4</v>
      </c>
      <c r="I125">
        <v>6.1</v>
      </c>
      <c r="J125">
        <v>0</v>
      </c>
      <c r="K125">
        <v>0.2</v>
      </c>
      <c r="L125">
        <v>7</v>
      </c>
      <c r="M125" s="64">
        <f t="shared" si="2"/>
        <v>6.5224999999999991</v>
      </c>
      <c r="N125" s="64">
        <f t="shared" si="3"/>
        <v>0.46152830188679239</v>
      </c>
      <c r="O125" s="65"/>
      <c r="P125" s="65"/>
      <c r="Q125" s="65"/>
    </row>
    <row r="126" spans="1:17" ht="14.25" customHeight="1" x14ac:dyDescent="0.3">
      <c r="A126" t="s">
        <v>544</v>
      </c>
      <c r="B126" t="s">
        <v>493</v>
      </c>
      <c r="C126">
        <v>26.2</v>
      </c>
      <c r="D126">
        <v>16.3</v>
      </c>
      <c r="E126">
        <v>175.2</v>
      </c>
      <c r="F126">
        <v>1</v>
      </c>
      <c r="G126">
        <v>0.8</v>
      </c>
      <c r="H126">
        <v>3.6</v>
      </c>
      <c r="I126">
        <v>18.399999999999999</v>
      </c>
      <c r="J126">
        <v>0.1</v>
      </c>
      <c r="K126">
        <v>0.1</v>
      </c>
      <c r="L126">
        <v>12.1</v>
      </c>
      <c r="M126" s="64">
        <f t="shared" si="2"/>
        <v>8.3411824817518241</v>
      </c>
      <c r="N126" s="64">
        <f t="shared" si="3"/>
        <v>1.3921509433962265</v>
      </c>
      <c r="O126" s="65">
        <f>MAX(QB!D128*Scoring!$B$30+QB!E128/Scoring!$C$30+QB!F128*Scoring!$D$30+QB!G128*Scoring!$E$30+QB!H128*Scoring!$F$30+QB!I128/Scoring!$G$30+QB!J128*Scoring!$H$30+QB!K128*Scoring!$I$30+M128*Scoring!$J$30+QB!N128*Scoring!$K$30,0)+C128*Scoring!$B$10*0.07+(C128-D128)*Scoring!$B$5</f>
        <v>9.35</v>
      </c>
      <c r="P126" s="65">
        <f>MAX(QB!D126*Scoring!$B$30+QB!E126/Scoring!$C$30+QB!F126*Scoring!$D$30+QB!G126*Scoring!$E$30+QB!H126*Scoring!$F$30+QB!I126/Scoring!$G$30+QB!J126*Scoring!$H$30+QB!K126*Scoring!$I$30+M126*Scoring!$J$30+QB!N126*Scoring!$K$30,0)+C126*Scoring!$B$10*0.07+(C126-D126)*Scoring!$B$5</f>
        <v>12.447999999999999</v>
      </c>
      <c r="Q126" s="65">
        <f>MAX(QB!D127*Scoring!$B$30+QB!E127/Scoring!$C$30+QB!F127*Scoring!$D$30+QB!G127*Scoring!$E$30+QB!H127*Scoring!$F$30+QB!I127/Scoring!$G$30+QB!J127*Scoring!$H$30+QB!K127*Scoring!$I$30+M127*Scoring!$J$30+QB!N127*Scoring!$K$30,0)+C127*Scoring!$B$10*0.07+(C127-D127)*Scoring!$B$5</f>
        <v>16.38</v>
      </c>
    </row>
    <row r="127" spans="1:17" ht="14.25" customHeight="1" x14ac:dyDescent="0.3">
      <c r="B127" t="s">
        <v>472</v>
      </c>
      <c r="C127">
        <v>35</v>
      </c>
      <c r="D127">
        <v>22</v>
      </c>
      <c r="E127">
        <v>237</v>
      </c>
      <c r="F127">
        <v>1</v>
      </c>
      <c r="G127">
        <v>0.4</v>
      </c>
      <c r="H127">
        <v>4</v>
      </c>
      <c r="I127">
        <v>21</v>
      </c>
      <c r="J127">
        <v>0.2</v>
      </c>
      <c r="K127">
        <v>0</v>
      </c>
      <c r="L127">
        <v>15.4</v>
      </c>
      <c r="M127" s="64">
        <f t="shared" si="2"/>
        <v>11.28344890510949</v>
      </c>
      <c r="N127" s="64">
        <f t="shared" si="3"/>
        <v>1.5888679245283019</v>
      </c>
      <c r="O127" s="65"/>
      <c r="P127" s="65"/>
      <c r="Q127" s="65"/>
    </row>
    <row r="128" spans="1:17" ht="14.25" customHeight="1" x14ac:dyDescent="0.3">
      <c r="B128" t="s">
        <v>473</v>
      </c>
      <c r="C128">
        <v>20.6</v>
      </c>
      <c r="D128">
        <v>12.8</v>
      </c>
      <c r="E128">
        <v>140.5</v>
      </c>
      <c r="F128">
        <v>0.9</v>
      </c>
      <c r="G128">
        <v>1</v>
      </c>
      <c r="H128">
        <v>2.8</v>
      </c>
      <c r="I128">
        <v>15.3</v>
      </c>
      <c r="J128">
        <v>0</v>
      </c>
      <c r="K128">
        <v>0.2</v>
      </c>
      <c r="L128">
        <v>7</v>
      </c>
      <c r="M128" s="64">
        <f t="shared" si="2"/>
        <v>6.6891332116788336</v>
      </c>
      <c r="N128" s="64">
        <f t="shared" si="3"/>
        <v>1.1576037735849061</v>
      </c>
      <c r="O128" s="65"/>
      <c r="P128" s="65"/>
      <c r="Q128" s="65"/>
    </row>
    <row r="129" spans="1:17" ht="14.25" customHeight="1" x14ac:dyDescent="0.3">
      <c r="A129" t="s">
        <v>545</v>
      </c>
      <c r="B129" t="s">
        <v>485</v>
      </c>
      <c r="C129">
        <v>26.1</v>
      </c>
      <c r="D129">
        <v>15.5</v>
      </c>
      <c r="E129">
        <v>194.3</v>
      </c>
      <c r="F129">
        <v>1.3</v>
      </c>
      <c r="G129">
        <v>1.3</v>
      </c>
      <c r="H129">
        <v>2.6</v>
      </c>
      <c r="I129">
        <v>10.9</v>
      </c>
      <c r="J129">
        <v>0</v>
      </c>
      <c r="K129">
        <v>0.6</v>
      </c>
      <c r="L129">
        <v>11.7</v>
      </c>
      <c r="M129" s="64">
        <f t="shared" si="2"/>
        <v>9.2505237226277384</v>
      </c>
      <c r="N129" s="64">
        <f t="shared" si="3"/>
        <v>0.82469811320754738</v>
      </c>
      <c r="O129" s="65">
        <f>MAX(QB!D131*Scoring!$B$30+QB!E131/Scoring!$C$30+QB!F131*Scoring!$D$30+QB!G131*Scoring!$E$30+QB!H131*Scoring!$F$30+QB!I131/Scoring!$G$30+QB!J131*Scoring!$H$30+QB!K131*Scoring!$I$30+M131*Scoring!$J$30+QB!N131*Scoring!$K$30,0)+C131*Scoring!$B$10*0.07+(C131-D131)*Scoring!$B$5</f>
        <v>5.59</v>
      </c>
      <c r="P129" s="65">
        <f>MAX(QB!D129*Scoring!$B$30+QB!E129/Scoring!$C$30+QB!F129*Scoring!$D$30+QB!G129*Scoring!$E$30+QB!H129*Scoring!$F$30+QB!I129/Scoring!$G$30+QB!J129*Scoring!$H$30+QB!K129*Scoring!$I$30+M129*Scoring!$J$30+QB!N129*Scoring!$K$30,0)+C129*Scoring!$B$10*0.07+(C129-D129)*Scoring!$B$5</f>
        <v>11.562000000000001</v>
      </c>
      <c r="Q129" s="65">
        <f>MAX(QB!D130*Scoring!$B$30+QB!E130/Scoring!$C$30+QB!F130*Scoring!$D$30+QB!G130*Scoring!$E$30+QB!H130*Scoring!$F$30+QB!I130/Scoring!$G$30+QB!J130*Scoring!$H$30+QB!K130*Scoring!$I$30+M130*Scoring!$J$30+QB!N130*Scoring!$K$30,0)+C130*Scoring!$B$10*0.07+(C130-D130)*Scoring!$B$5</f>
        <v>19.98</v>
      </c>
    </row>
    <row r="130" spans="1:17" ht="14.25" customHeight="1" x14ac:dyDescent="0.3">
      <c r="B130" t="s">
        <v>472</v>
      </c>
      <c r="C130">
        <v>35</v>
      </c>
      <c r="D130">
        <v>20</v>
      </c>
      <c r="E130">
        <v>277</v>
      </c>
      <c r="F130">
        <v>2</v>
      </c>
      <c r="G130">
        <v>0.9</v>
      </c>
      <c r="H130">
        <v>5</v>
      </c>
      <c r="I130">
        <v>22</v>
      </c>
      <c r="J130">
        <v>0</v>
      </c>
      <c r="K130">
        <v>0.2</v>
      </c>
      <c r="L130">
        <v>19.899999999999999</v>
      </c>
      <c r="M130" s="64">
        <f t="shared" si="2"/>
        <v>13.187828467153285</v>
      </c>
      <c r="N130" s="64">
        <f t="shared" si="3"/>
        <v>1.6645283018867929</v>
      </c>
      <c r="O130" s="65"/>
      <c r="P130" s="65"/>
      <c r="Q130" s="65"/>
    </row>
    <row r="131" spans="1:17" ht="14.25" customHeight="1" x14ac:dyDescent="0.3">
      <c r="B131" t="s">
        <v>473</v>
      </c>
      <c r="C131">
        <v>21</v>
      </c>
      <c r="D131">
        <v>13</v>
      </c>
      <c r="E131">
        <v>143</v>
      </c>
      <c r="F131">
        <v>0.9</v>
      </c>
      <c r="G131">
        <v>2</v>
      </c>
      <c r="H131">
        <v>0.7</v>
      </c>
      <c r="I131">
        <v>2.7</v>
      </c>
      <c r="J131">
        <v>0</v>
      </c>
      <c r="K131">
        <v>1</v>
      </c>
      <c r="L131">
        <v>5</v>
      </c>
      <c r="M131" s="64">
        <f t="shared" ref="M131:M194" si="4">IFERROR(((E131/D131)/10.96)*0.5218*D131,0)</f>
        <v>6.8081569343065702</v>
      </c>
      <c r="N131" s="64">
        <f t="shared" ref="N131:N194" si="5">IFERROR((((I131/H131)/5.3)*0.401)*H131,0)</f>
        <v>0.20428301886792458</v>
      </c>
      <c r="O131" s="65"/>
      <c r="P131" s="65"/>
      <c r="Q131" s="65"/>
    </row>
    <row r="132" spans="1:17" ht="14.25" customHeight="1" x14ac:dyDescent="0.3">
      <c r="A132" t="s">
        <v>554</v>
      </c>
      <c r="B132" t="s">
        <v>477</v>
      </c>
      <c r="C132">
        <v>21.2</v>
      </c>
      <c r="D132">
        <v>13.8</v>
      </c>
      <c r="E132">
        <v>154</v>
      </c>
      <c r="F132">
        <v>1</v>
      </c>
      <c r="G132">
        <v>0.2</v>
      </c>
      <c r="H132">
        <v>3.4</v>
      </c>
      <c r="I132">
        <v>15.3</v>
      </c>
      <c r="J132">
        <v>0</v>
      </c>
      <c r="K132">
        <v>0.1</v>
      </c>
      <c r="L132">
        <v>11.5</v>
      </c>
      <c r="M132" s="64">
        <f t="shared" si="4"/>
        <v>7.3318613138686137</v>
      </c>
      <c r="N132" s="64">
        <f t="shared" si="5"/>
        <v>1.1576037735849058</v>
      </c>
      <c r="O132" s="65">
        <f>MAX(QB!D134*Scoring!$B$30+QB!E134/Scoring!$C$30+QB!F134*Scoring!$D$30+QB!G134*Scoring!$E$30+QB!H134*Scoring!$F$30+QB!I134/Scoring!$G$30+QB!J134*Scoring!$H$30+QB!K134*Scoring!$I$30+M134*Scoring!$J$30+QB!N134*Scoring!$K$30,0)+C134*Scoring!$B$10*0.07+(C134-D134)*Scoring!$B$5</f>
        <v>10.353999999999999</v>
      </c>
      <c r="P132" s="65">
        <f>MAX(QB!D132*Scoring!$B$30+QB!E132/Scoring!$C$30+QB!F132*Scoring!$D$30+QB!G132*Scoring!$E$30+QB!H132*Scoring!$F$30+QB!I132/Scoring!$G$30+QB!J132*Scoring!$H$30+QB!K132*Scoring!$I$30+M132*Scoring!$J$30+QB!N132*Scoring!$K$30,0)+C132*Scoring!$B$10*0.07+(C132-D132)*Scoring!$B$5</f>
        <v>11.290000000000001</v>
      </c>
      <c r="Q132" s="65">
        <f>MAX(QB!D133*Scoring!$B$30+QB!E133/Scoring!$C$30+QB!F133*Scoring!$D$30+QB!G133*Scoring!$E$30+QB!H133*Scoring!$F$30+QB!I133/Scoring!$G$30+QB!J133*Scoring!$H$30+QB!K133*Scoring!$I$30+M133*Scoring!$J$30+QB!N133*Scoring!$K$30,0)+C133*Scoring!$B$10*0.07+(C133-D133)*Scoring!$B$5</f>
        <v>13.02</v>
      </c>
    </row>
    <row r="133" spans="1:17" ht="14.25" customHeight="1" x14ac:dyDescent="0.3">
      <c r="B133" t="s">
        <v>472</v>
      </c>
      <c r="C133">
        <v>22.5</v>
      </c>
      <c r="D133">
        <v>14.7</v>
      </c>
      <c r="E133">
        <v>158</v>
      </c>
      <c r="F133">
        <v>1</v>
      </c>
      <c r="G133">
        <v>0</v>
      </c>
      <c r="H133">
        <v>5</v>
      </c>
      <c r="I133">
        <v>21</v>
      </c>
      <c r="J133">
        <v>0.1</v>
      </c>
      <c r="K133">
        <v>0</v>
      </c>
      <c r="L133">
        <v>10.3</v>
      </c>
      <c r="M133" s="64">
        <f t="shared" si="4"/>
        <v>7.5222992700729927</v>
      </c>
      <c r="N133" s="64">
        <f t="shared" si="5"/>
        <v>1.5888679245283022</v>
      </c>
      <c r="O133" s="65"/>
      <c r="P133" s="65"/>
      <c r="Q133" s="65"/>
    </row>
    <row r="134" spans="1:17" ht="14.25" customHeight="1" x14ac:dyDescent="0.3">
      <c r="B134" t="s">
        <v>473</v>
      </c>
      <c r="C134">
        <v>20</v>
      </c>
      <c r="D134">
        <v>13</v>
      </c>
      <c r="E134">
        <v>150.1</v>
      </c>
      <c r="F134">
        <v>1</v>
      </c>
      <c r="G134">
        <v>0.4</v>
      </c>
      <c r="H134">
        <v>1.9</v>
      </c>
      <c r="I134">
        <v>9.5</v>
      </c>
      <c r="J134">
        <v>0</v>
      </c>
      <c r="K134">
        <v>0.1</v>
      </c>
      <c r="L134">
        <v>9</v>
      </c>
      <c r="M134" s="64">
        <f t="shared" si="4"/>
        <v>7.1461843065693422</v>
      </c>
      <c r="N134" s="64">
        <f t="shared" si="5"/>
        <v>0.71877358490566035</v>
      </c>
      <c r="O134" s="65"/>
      <c r="P134" s="65"/>
      <c r="Q134" s="65"/>
    </row>
    <row r="135" spans="1:17" ht="14.25" customHeight="1" x14ac:dyDescent="0.3">
      <c r="A135" t="s">
        <v>547</v>
      </c>
      <c r="B135" t="s">
        <v>495</v>
      </c>
      <c r="C135">
        <v>23.1</v>
      </c>
      <c r="D135">
        <v>15.1</v>
      </c>
      <c r="E135">
        <v>169.9</v>
      </c>
      <c r="F135">
        <v>1</v>
      </c>
      <c r="G135">
        <v>0.2</v>
      </c>
      <c r="H135">
        <v>2.8</v>
      </c>
      <c r="I135">
        <v>8.6999999999999993</v>
      </c>
      <c r="J135">
        <v>0</v>
      </c>
      <c r="K135">
        <v>0.1</v>
      </c>
      <c r="L135">
        <v>11.5</v>
      </c>
      <c r="M135" s="64">
        <f t="shared" si="4"/>
        <v>8.0888521897810222</v>
      </c>
      <c r="N135" s="64">
        <f t="shared" si="5"/>
        <v>0.65824528301886798</v>
      </c>
      <c r="O135" s="65">
        <f>MAX(QB!D137*Scoring!$B$30+QB!E137/Scoring!$C$30+QB!F137*Scoring!$D$30+QB!G137*Scoring!$E$30+QB!H137*Scoring!$F$30+QB!I137/Scoring!$G$30+QB!J137*Scoring!$H$30+QB!K137*Scoring!$I$30+M137*Scoring!$J$30+QB!N137*Scoring!$K$30,0)+C137*Scoring!$B$10*0.07+(C137-D137)*Scoring!$B$5</f>
        <v>9.863999999999999</v>
      </c>
      <c r="P135" s="65">
        <f>MAX(QB!D135*Scoring!$B$30+QB!E135/Scoring!$C$30+QB!F135*Scoring!$D$30+QB!G135*Scoring!$E$30+QB!H135*Scoring!$F$30+QB!I135/Scoring!$G$30+QB!J135*Scoring!$H$30+QB!K135*Scoring!$I$30+M135*Scoring!$J$30+QB!N135*Scoring!$K$30,0)+C135*Scoring!$B$10*0.07+(C135-D135)*Scoring!$B$5</f>
        <v>11.266</v>
      </c>
      <c r="Q135" s="65">
        <f>MAX(QB!D136*Scoring!$B$30+QB!E136/Scoring!$C$30+QB!F136*Scoring!$D$30+QB!G136*Scoring!$E$30+QB!H136*Scoring!$F$30+QB!I136/Scoring!$G$30+QB!J136*Scoring!$H$30+QB!K136*Scoring!$I$30+M136*Scoring!$J$30+QB!N136*Scoring!$K$30,0)+C136*Scoring!$B$10*0.07+(C136-D136)*Scoring!$B$5</f>
        <v>13.8</v>
      </c>
    </row>
    <row r="136" spans="1:17" ht="14.25" customHeight="1" x14ac:dyDescent="0.3">
      <c r="B136" t="s">
        <v>472</v>
      </c>
      <c r="C136">
        <v>26</v>
      </c>
      <c r="D136">
        <v>17</v>
      </c>
      <c r="E136">
        <v>195</v>
      </c>
      <c r="F136">
        <v>1</v>
      </c>
      <c r="G136">
        <v>0</v>
      </c>
      <c r="H136">
        <v>5</v>
      </c>
      <c r="I136">
        <v>14</v>
      </c>
      <c r="J136">
        <v>0.1</v>
      </c>
      <c r="K136">
        <v>0</v>
      </c>
      <c r="L136">
        <v>12.4</v>
      </c>
      <c r="M136" s="64">
        <f t="shared" si="4"/>
        <v>9.283850364963504</v>
      </c>
      <c r="N136" s="64">
        <f t="shared" si="5"/>
        <v>1.0592452830188679</v>
      </c>
      <c r="O136" s="65"/>
      <c r="P136" s="65"/>
      <c r="Q136" s="65"/>
    </row>
    <row r="137" spans="1:17" ht="14.25" customHeight="1" x14ac:dyDescent="0.3">
      <c r="B137" t="s">
        <v>473</v>
      </c>
      <c r="C137">
        <v>21</v>
      </c>
      <c r="D137">
        <v>14</v>
      </c>
      <c r="E137">
        <v>156.6</v>
      </c>
      <c r="F137">
        <v>1</v>
      </c>
      <c r="G137">
        <v>0.6</v>
      </c>
      <c r="H137">
        <v>1.5</v>
      </c>
      <c r="I137">
        <v>6</v>
      </c>
      <c r="J137">
        <v>0</v>
      </c>
      <c r="K137">
        <v>0.2</v>
      </c>
      <c r="L137">
        <v>8</v>
      </c>
      <c r="M137" s="64">
        <f t="shared" si="4"/>
        <v>7.4556459854014596</v>
      </c>
      <c r="N137" s="64">
        <f t="shared" si="5"/>
        <v>0.45396226415094343</v>
      </c>
      <c r="O137" s="65"/>
      <c r="P137" s="65"/>
      <c r="Q137" s="65"/>
    </row>
    <row r="138" spans="1:17" ht="14.25" customHeight="1" x14ac:dyDescent="0.3">
      <c r="A138" t="s">
        <v>550</v>
      </c>
      <c r="B138" t="s">
        <v>499</v>
      </c>
      <c r="C138">
        <v>23.1</v>
      </c>
      <c r="D138">
        <v>14.4</v>
      </c>
      <c r="E138">
        <v>152.69999999999999</v>
      </c>
      <c r="F138">
        <v>1.1000000000000001</v>
      </c>
      <c r="G138">
        <v>0.3</v>
      </c>
      <c r="H138">
        <v>3.3</v>
      </c>
      <c r="I138">
        <v>12.9</v>
      </c>
      <c r="J138">
        <v>0</v>
      </c>
      <c r="K138">
        <v>0.1</v>
      </c>
      <c r="L138">
        <v>11.3</v>
      </c>
      <c r="M138" s="64">
        <f t="shared" si="4"/>
        <v>7.269968978102189</v>
      </c>
      <c r="N138" s="64">
        <f t="shared" si="5"/>
        <v>0.97601886792452852</v>
      </c>
      <c r="O138" s="65">
        <f>MAX(QB!D140*Scoring!$B$30+QB!E140/Scoring!$C$30+QB!F140*Scoring!$D$30+QB!G140*Scoring!$E$30+QB!H140*Scoring!$F$30+QB!I140/Scoring!$G$30+QB!J140*Scoring!$H$30+QB!K140*Scoring!$I$30+M140*Scoring!$J$30+QB!N140*Scoring!$K$30,0)+C140*Scoring!$B$10*0.07+(C140-D140)*Scoring!$B$5</f>
        <v>9.44</v>
      </c>
      <c r="P138" s="65">
        <f>MAX(QB!D138*Scoring!$B$30+QB!E138/Scoring!$C$30+QB!F138*Scoring!$D$30+QB!G138*Scoring!$E$30+QB!H138*Scoring!$F$30+QB!I138/Scoring!$G$30+QB!J138*Scoring!$H$30+QB!K138*Scoring!$I$30+M138*Scoring!$J$30+QB!N138*Scoring!$K$30,0)+C138*Scoring!$B$10*0.07+(C138-D138)*Scoring!$B$5</f>
        <v>11.297999999999998</v>
      </c>
      <c r="Q138" s="65">
        <f>MAX(QB!D139*Scoring!$B$30+QB!E139/Scoring!$C$30+QB!F139*Scoring!$D$30+QB!G139*Scoring!$E$30+QB!H139*Scoring!$F$30+QB!I139/Scoring!$G$30+QB!J139*Scoring!$H$30+QB!K139*Scoring!$I$30+M139*Scoring!$J$30+QB!N139*Scoring!$K$30,0)+C139*Scoring!$B$10*0.07+(C139-D139)*Scoring!$B$5</f>
        <v>13.356000000000002</v>
      </c>
    </row>
    <row r="139" spans="1:17" ht="14.25" customHeight="1" x14ac:dyDescent="0.3">
      <c r="B139" t="s">
        <v>472</v>
      </c>
      <c r="C139">
        <v>24</v>
      </c>
      <c r="D139">
        <v>15</v>
      </c>
      <c r="E139">
        <v>161.4</v>
      </c>
      <c r="F139">
        <v>1.1000000000000001</v>
      </c>
      <c r="G139">
        <v>0</v>
      </c>
      <c r="H139">
        <v>5</v>
      </c>
      <c r="I139">
        <v>19</v>
      </c>
      <c r="J139">
        <v>0.1</v>
      </c>
      <c r="K139">
        <v>0</v>
      </c>
      <c r="L139">
        <v>10.4</v>
      </c>
      <c r="M139" s="64">
        <f t="shared" si="4"/>
        <v>7.6841715328467144</v>
      </c>
      <c r="N139" s="64">
        <f t="shared" si="5"/>
        <v>1.4375471698113207</v>
      </c>
      <c r="O139" s="65"/>
      <c r="P139" s="65"/>
      <c r="Q139" s="65"/>
    </row>
    <row r="140" spans="1:17" ht="14.25" customHeight="1" x14ac:dyDescent="0.3">
      <c r="B140" t="s">
        <v>473</v>
      </c>
      <c r="C140">
        <v>22.2</v>
      </c>
      <c r="D140">
        <v>13.8</v>
      </c>
      <c r="E140">
        <v>144</v>
      </c>
      <c r="F140">
        <v>1</v>
      </c>
      <c r="G140">
        <v>0.6</v>
      </c>
      <c r="H140">
        <v>1.7</v>
      </c>
      <c r="I140">
        <v>6.8</v>
      </c>
      <c r="J140">
        <v>0</v>
      </c>
      <c r="K140">
        <v>0.2</v>
      </c>
      <c r="L140">
        <v>9</v>
      </c>
      <c r="M140" s="64">
        <f t="shared" si="4"/>
        <v>6.8557664233576645</v>
      </c>
      <c r="N140" s="64">
        <f t="shared" si="5"/>
        <v>0.51449056603773591</v>
      </c>
      <c r="O140" s="65"/>
      <c r="P140" s="65"/>
      <c r="Q140" s="65"/>
    </row>
    <row r="141" spans="1:17" ht="14.25" customHeight="1" x14ac:dyDescent="0.3">
      <c r="A141" t="s">
        <v>551</v>
      </c>
      <c r="B141" t="s">
        <v>519</v>
      </c>
      <c r="C141">
        <v>26.2</v>
      </c>
      <c r="D141">
        <v>16</v>
      </c>
      <c r="E141">
        <v>175.8</v>
      </c>
      <c r="F141">
        <v>0.9</v>
      </c>
      <c r="G141">
        <v>0.5</v>
      </c>
      <c r="H141">
        <v>2.7</v>
      </c>
      <c r="I141">
        <v>9</v>
      </c>
      <c r="J141">
        <v>0</v>
      </c>
      <c r="K141">
        <v>0.1</v>
      </c>
      <c r="L141">
        <v>11.1</v>
      </c>
      <c r="M141" s="64">
        <f t="shared" si="4"/>
        <v>8.3697481751824814</v>
      </c>
      <c r="N141" s="64">
        <f t="shared" si="5"/>
        <v>0.68094339622641509</v>
      </c>
      <c r="O141" s="65">
        <f>MAX(QB!D143*Scoring!$B$30+QB!E143/Scoring!$C$30+QB!F143*Scoring!$D$30+QB!G143*Scoring!$E$30+QB!H143*Scoring!$F$30+QB!I143/Scoring!$G$30+QB!J143*Scoring!$H$30+QB!K143*Scoring!$I$30+M143*Scoring!$J$30+QB!N143*Scoring!$K$30,0)+C143*Scoring!$B$10*0.07+(C143-D143)*Scoring!$B$5</f>
        <v>8.2500000000000018</v>
      </c>
      <c r="P141" s="65">
        <f>MAX(QB!D141*Scoring!$B$30+QB!E141/Scoring!$C$30+QB!F141*Scoring!$D$30+QB!G141*Scoring!$E$30+QB!H141*Scoring!$F$30+QB!I141/Scoring!$G$30+QB!J141*Scoring!$H$30+QB!K141*Scoring!$I$30+M141*Scoring!$J$30+QB!N141*Scoring!$K$30,0)+C141*Scoring!$B$10*0.07+(C141-D141)*Scoring!$B$5</f>
        <v>10.832000000000001</v>
      </c>
      <c r="Q141" s="65">
        <f>MAX(QB!D142*Scoring!$B$30+QB!E142/Scoring!$C$30+QB!F142*Scoring!$D$30+QB!G142*Scoring!$E$30+QB!H142*Scoring!$F$30+QB!I142/Scoring!$G$30+QB!J142*Scoring!$H$30+QB!K142*Scoring!$I$30+M142*Scoring!$J$30+QB!N142*Scoring!$K$30,0)+C142*Scoring!$B$10*0.07+(C142-D142)*Scoring!$B$5</f>
        <v>14.74</v>
      </c>
    </row>
    <row r="142" spans="1:17" ht="14.25" customHeight="1" x14ac:dyDescent="0.3">
      <c r="B142" t="s">
        <v>472</v>
      </c>
      <c r="C142">
        <v>32</v>
      </c>
      <c r="D142">
        <v>20</v>
      </c>
      <c r="E142">
        <v>221</v>
      </c>
      <c r="F142">
        <v>1</v>
      </c>
      <c r="G142">
        <v>0</v>
      </c>
      <c r="H142">
        <v>5</v>
      </c>
      <c r="I142">
        <v>19</v>
      </c>
      <c r="J142">
        <v>0</v>
      </c>
      <c r="K142">
        <v>0</v>
      </c>
      <c r="L142">
        <v>13.2</v>
      </c>
      <c r="M142" s="64">
        <f t="shared" si="4"/>
        <v>10.521697080291972</v>
      </c>
      <c r="N142" s="64">
        <f t="shared" si="5"/>
        <v>1.4375471698113207</v>
      </c>
      <c r="O142" s="65"/>
      <c r="P142" s="65"/>
      <c r="Q142" s="65"/>
    </row>
    <row r="143" spans="1:17" ht="14.25" customHeight="1" x14ac:dyDescent="0.3">
      <c r="B143" t="s">
        <v>473</v>
      </c>
      <c r="C143">
        <v>23</v>
      </c>
      <c r="D143">
        <v>14</v>
      </c>
      <c r="E143">
        <v>146.5</v>
      </c>
      <c r="F143">
        <v>0.8</v>
      </c>
      <c r="G143">
        <v>1</v>
      </c>
      <c r="H143">
        <v>1</v>
      </c>
      <c r="I143">
        <v>3.9</v>
      </c>
      <c r="J143">
        <v>0</v>
      </c>
      <c r="K143">
        <v>0.1</v>
      </c>
      <c r="L143">
        <v>8.4</v>
      </c>
      <c r="M143" s="64">
        <f t="shared" si="4"/>
        <v>6.9747901459854011</v>
      </c>
      <c r="N143" s="64">
        <f t="shared" si="5"/>
        <v>0.29507547169811327</v>
      </c>
      <c r="O143" s="65"/>
      <c r="P143" s="65"/>
      <c r="Q143" s="65"/>
    </row>
    <row r="144" spans="1:17" ht="14.25" customHeight="1" x14ac:dyDescent="0.3">
      <c r="A144" t="s">
        <v>552</v>
      </c>
      <c r="B144" t="s">
        <v>515</v>
      </c>
      <c r="C144">
        <v>19.7</v>
      </c>
      <c r="D144">
        <v>13</v>
      </c>
      <c r="E144">
        <v>143.80000000000001</v>
      </c>
      <c r="F144">
        <v>0.9</v>
      </c>
      <c r="G144">
        <v>0.3</v>
      </c>
      <c r="H144">
        <v>3.7</v>
      </c>
      <c r="I144">
        <v>16.8</v>
      </c>
      <c r="J144">
        <v>0</v>
      </c>
      <c r="K144">
        <v>0.1</v>
      </c>
      <c r="L144">
        <v>11</v>
      </c>
      <c r="M144" s="64">
        <f t="shared" si="4"/>
        <v>6.846244525547446</v>
      </c>
      <c r="N144" s="64">
        <f t="shared" si="5"/>
        <v>1.2710943396226415</v>
      </c>
      <c r="O144" s="65">
        <f>MAX(QB!D146*Scoring!$B$30+QB!E146/Scoring!$C$30+QB!F146*Scoring!$D$30+QB!G146*Scoring!$E$30+QB!H146*Scoring!$F$30+QB!I146/Scoring!$G$30+QB!J146*Scoring!$H$30+QB!K146*Scoring!$I$30+M146*Scoring!$J$30+QB!N146*Scoring!$K$30,0)+C146*Scoring!$B$10*0.07+(C146-D146)*Scoring!$B$5</f>
        <v>9.4639999999999986</v>
      </c>
      <c r="P144" s="65">
        <f>MAX(QB!D144*Scoring!$B$30+QB!E144/Scoring!$C$30+QB!F144*Scoring!$D$30+QB!G144*Scoring!$E$30+QB!H144*Scoring!$F$30+QB!I144/Scoring!$G$30+QB!J144*Scoring!$H$30+QB!K144*Scoring!$I$30+M144*Scoring!$J$30+QB!N144*Scoring!$K$30,0)+C144*Scoring!$B$10*0.07+(C144-D144)*Scoring!$B$5</f>
        <v>10.532</v>
      </c>
      <c r="Q144" s="65">
        <f>MAX(QB!D145*Scoring!$B$30+QB!E145/Scoring!$C$30+QB!F145*Scoring!$D$30+QB!G145*Scoring!$E$30+QB!H145*Scoring!$F$30+QB!I145/Scoring!$G$30+QB!J145*Scoring!$H$30+QB!K145*Scoring!$I$30+M145*Scoring!$J$30+QB!N145*Scoring!$K$30,0)+C145*Scoring!$B$10*0.07+(C145-D145)*Scoring!$B$5</f>
        <v>12.7</v>
      </c>
    </row>
    <row r="145" spans="1:17" ht="14.25" customHeight="1" x14ac:dyDescent="0.3">
      <c r="B145" t="s">
        <v>472</v>
      </c>
      <c r="C145">
        <v>20.3</v>
      </c>
      <c r="D145">
        <v>13</v>
      </c>
      <c r="E145">
        <v>150</v>
      </c>
      <c r="F145">
        <v>1</v>
      </c>
      <c r="G145">
        <v>0</v>
      </c>
      <c r="H145">
        <v>5</v>
      </c>
      <c r="I145">
        <v>21</v>
      </c>
      <c r="J145">
        <v>0.1</v>
      </c>
      <c r="K145">
        <v>0</v>
      </c>
      <c r="L145">
        <v>9.5</v>
      </c>
      <c r="M145" s="64">
        <f t="shared" si="4"/>
        <v>7.1414233576642339</v>
      </c>
      <c r="N145" s="64">
        <f t="shared" si="5"/>
        <v>1.5888679245283022</v>
      </c>
      <c r="O145" s="65"/>
      <c r="P145" s="65"/>
      <c r="Q145" s="65"/>
    </row>
    <row r="146" spans="1:17" ht="14.25" customHeight="1" x14ac:dyDescent="0.3">
      <c r="B146" t="s">
        <v>473</v>
      </c>
      <c r="C146">
        <v>19</v>
      </c>
      <c r="D146">
        <v>13</v>
      </c>
      <c r="E146">
        <v>137.6</v>
      </c>
      <c r="F146">
        <v>0.9</v>
      </c>
      <c r="G146">
        <v>0.5</v>
      </c>
      <c r="H146">
        <v>2.2999999999999998</v>
      </c>
      <c r="I146">
        <v>12.6</v>
      </c>
      <c r="J146">
        <v>0</v>
      </c>
      <c r="K146">
        <v>0.2</v>
      </c>
      <c r="L146">
        <v>9</v>
      </c>
      <c r="M146" s="64">
        <f t="shared" si="4"/>
        <v>6.5510656934306573</v>
      </c>
      <c r="N146" s="64">
        <f t="shared" si="5"/>
        <v>0.95332075471698119</v>
      </c>
      <c r="O146" s="65"/>
      <c r="P146" s="65"/>
      <c r="Q146" s="65"/>
    </row>
    <row r="147" spans="1:17" ht="14.25" customHeight="1" x14ac:dyDescent="0.3">
      <c r="A147" t="s">
        <v>553</v>
      </c>
      <c r="B147" t="s">
        <v>503</v>
      </c>
      <c r="C147">
        <v>21.7</v>
      </c>
      <c r="D147">
        <v>14.8</v>
      </c>
      <c r="E147">
        <v>156.5</v>
      </c>
      <c r="F147">
        <v>1</v>
      </c>
      <c r="G147">
        <v>0.3</v>
      </c>
      <c r="H147">
        <v>3.3</v>
      </c>
      <c r="I147">
        <v>7.9</v>
      </c>
      <c r="J147">
        <v>0</v>
      </c>
      <c r="K147">
        <v>0.1</v>
      </c>
      <c r="L147">
        <v>10.6</v>
      </c>
      <c r="M147" s="64">
        <f t="shared" si="4"/>
        <v>7.4508850364963521</v>
      </c>
      <c r="N147" s="64">
        <f t="shared" si="5"/>
        <v>0.5977169811320755</v>
      </c>
      <c r="O147" s="65">
        <f>MAX(QB!D149*Scoring!$B$30+QB!E149/Scoring!$C$30+QB!F149*Scoring!$D$30+QB!G149*Scoring!$E$30+QB!H149*Scoring!$F$30+QB!I149/Scoring!$G$30+QB!J149*Scoring!$H$30+QB!K149*Scoring!$I$30+M149*Scoring!$J$30+QB!N149*Scoring!$K$30,0)+C149*Scoring!$B$10*0.07+(C149-D149)*Scoring!$B$5</f>
        <v>8.6039999999999992</v>
      </c>
      <c r="P147" s="65">
        <f>MAX(QB!D147*Scoring!$B$30+QB!E147/Scoring!$C$30+QB!F147*Scoring!$D$30+QB!G147*Scoring!$E$30+QB!H147*Scoring!$F$30+QB!I147/Scoring!$G$30+QB!J147*Scoring!$H$30+QB!K147*Scoring!$I$30+M147*Scoring!$J$30+QB!N147*Scoring!$K$30,0)+C147*Scoring!$B$10*0.07+(C147-D147)*Scoring!$B$5</f>
        <v>10.55</v>
      </c>
      <c r="Q147" s="65">
        <f>MAX(QB!D148*Scoring!$B$30+QB!E148/Scoring!$C$30+QB!F148*Scoring!$D$30+QB!G148*Scoring!$E$30+QB!H148*Scoring!$F$30+QB!I148/Scoring!$G$30+QB!J148*Scoring!$H$30+QB!K148*Scoring!$I$30+M148*Scoring!$J$30+QB!N148*Scoring!$K$30,0)+C148*Scoring!$B$10*0.07+(C148-D148)*Scoring!$B$5</f>
        <v>12.7</v>
      </c>
    </row>
    <row r="148" spans="1:17" ht="14.25" customHeight="1" x14ac:dyDescent="0.3">
      <c r="B148" t="s">
        <v>472</v>
      </c>
      <c r="C148">
        <v>22</v>
      </c>
      <c r="D148">
        <v>16</v>
      </c>
      <c r="E148">
        <v>180</v>
      </c>
      <c r="F148">
        <v>1</v>
      </c>
      <c r="G148">
        <v>0</v>
      </c>
      <c r="H148">
        <v>5</v>
      </c>
      <c r="I148">
        <v>9</v>
      </c>
      <c r="J148">
        <v>0.1</v>
      </c>
      <c r="K148">
        <v>0</v>
      </c>
      <c r="L148">
        <v>8.6999999999999993</v>
      </c>
      <c r="M148" s="64">
        <f t="shared" si="4"/>
        <v>8.5697080291970789</v>
      </c>
      <c r="N148" s="64">
        <f t="shared" si="5"/>
        <v>0.68094339622641531</v>
      </c>
      <c r="O148" s="65"/>
      <c r="P148" s="65"/>
      <c r="Q148" s="65"/>
    </row>
    <row r="149" spans="1:17" ht="14.25" customHeight="1" x14ac:dyDescent="0.3">
      <c r="B149" t="s">
        <v>473</v>
      </c>
      <c r="C149">
        <v>21.3</v>
      </c>
      <c r="D149">
        <v>13.5</v>
      </c>
      <c r="E149">
        <v>133.1</v>
      </c>
      <c r="F149">
        <v>0.9</v>
      </c>
      <c r="G149">
        <v>0.6</v>
      </c>
      <c r="H149">
        <v>1.5</v>
      </c>
      <c r="I149">
        <v>6.8</v>
      </c>
      <c r="J149">
        <v>0</v>
      </c>
      <c r="K149">
        <v>0.2</v>
      </c>
      <c r="L149">
        <v>8</v>
      </c>
      <c r="M149" s="64">
        <f t="shared" si="4"/>
        <v>6.3368229927007302</v>
      </c>
      <c r="N149" s="64">
        <f t="shared" si="5"/>
        <v>0.51449056603773591</v>
      </c>
      <c r="O149" s="65"/>
      <c r="P149" s="65"/>
      <c r="Q149" s="65"/>
    </row>
    <row r="150" spans="1:17" ht="14.25" customHeight="1" x14ac:dyDescent="0.3">
      <c r="A150" t="s">
        <v>555</v>
      </c>
      <c r="B150" t="s">
        <v>475</v>
      </c>
      <c r="C150">
        <v>18.3</v>
      </c>
      <c r="D150">
        <v>11.8</v>
      </c>
      <c r="E150">
        <v>130.80000000000001</v>
      </c>
      <c r="F150">
        <v>0.9</v>
      </c>
      <c r="G150">
        <v>0.3</v>
      </c>
      <c r="H150">
        <v>3.5</v>
      </c>
      <c r="I150">
        <v>18.7</v>
      </c>
      <c r="J150">
        <v>0</v>
      </c>
      <c r="K150">
        <v>0.1</v>
      </c>
      <c r="L150">
        <v>10.6</v>
      </c>
      <c r="M150" s="64">
        <f t="shared" si="4"/>
        <v>6.2273211678832121</v>
      </c>
      <c r="N150" s="64">
        <f t="shared" si="5"/>
        <v>1.4148490566037739</v>
      </c>
      <c r="O150" s="65">
        <f>MAX(QB!D152*Scoring!$B$30+QB!E152/Scoring!$C$30+QB!F152*Scoring!$D$30+QB!G152*Scoring!$E$30+QB!H152*Scoring!$F$30+QB!I152/Scoring!$G$30+QB!J152*Scoring!$H$30+QB!K152*Scoring!$I$30+M152*Scoring!$J$30+QB!N152*Scoring!$K$30,0)+C152*Scoring!$B$10*0.07+(C152-D152)*Scoring!$B$5</f>
        <v>8.9939999999999998</v>
      </c>
      <c r="P150" s="65">
        <f>MAX(QB!D150*Scoring!$B$30+QB!E150/Scoring!$C$30+QB!F150*Scoring!$D$30+QB!G150*Scoring!$E$30+QB!H150*Scoring!$F$30+QB!I150/Scoring!$G$30+QB!J150*Scoring!$H$30+QB!K150*Scoring!$I$30+M150*Scoring!$J$30+QB!N150*Scoring!$K$30,0)+C150*Scoring!$B$10*0.07+(C150-D150)*Scoring!$B$5</f>
        <v>10.202</v>
      </c>
      <c r="Q150" s="65">
        <f>MAX(QB!D151*Scoring!$B$30+QB!E151/Scoring!$C$30+QB!F151*Scoring!$D$30+QB!G151*Scoring!$E$30+QB!H151*Scoring!$F$30+QB!I151/Scoring!$G$30+QB!J151*Scoring!$H$30+QB!K151*Scoring!$I$30+M151*Scoring!$J$30+QB!N151*Scoring!$K$30,0)+C151*Scoring!$B$10*0.07+(C151-D151)*Scoring!$B$5</f>
        <v>12.72</v>
      </c>
    </row>
    <row r="151" spans="1:17" ht="14.25" customHeight="1" x14ac:dyDescent="0.3">
      <c r="B151" t="s">
        <v>472</v>
      </c>
      <c r="C151">
        <v>19.5</v>
      </c>
      <c r="D151">
        <v>12.6</v>
      </c>
      <c r="E151">
        <v>133</v>
      </c>
      <c r="F151">
        <v>1</v>
      </c>
      <c r="G151">
        <v>0</v>
      </c>
      <c r="H151">
        <v>5</v>
      </c>
      <c r="I151">
        <v>28</v>
      </c>
      <c r="J151">
        <v>0.1</v>
      </c>
      <c r="K151">
        <v>0</v>
      </c>
      <c r="L151">
        <v>9</v>
      </c>
      <c r="M151" s="64">
        <f t="shared" si="4"/>
        <v>6.332062043795621</v>
      </c>
      <c r="N151" s="64">
        <f t="shared" si="5"/>
        <v>2.1184905660377358</v>
      </c>
      <c r="O151" s="65"/>
      <c r="P151" s="65"/>
      <c r="Q151" s="65"/>
    </row>
    <row r="152" spans="1:17" ht="14.25" customHeight="1" x14ac:dyDescent="0.3">
      <c r="B152" t="s">
        <v>473</v>
      </c>
      <c r="C152">
        <v>17</v>
      </c>
      <c r="D152">
        <v>11</v>
      </c>
      <c r="E152">
        <v>128.6</v>
      </c>
      <c r="F152">
        <v>0.9</v>
      </c>
      <c r="G152">
        <v>0.5</v>
      </c>
      <c r="H152">
        <v>2</v>
      </c>
      <c r="I152">
        <v>9.5</v>
      </c>
      <c r="J152">
        <v>0</v>
      </c>
      <c r="K152">
        <v>0.1</v>
      </c>
      <c r="L152">
        <v>8.6</v>
      </c>
      <c r="M152" s="64">
        <f t="shared" si="4"/>
        <v>6.1225802919708023</v>
      </c>
      <c r="N152" s="64">
        <f t="shared" si="5"/>
        <v>0.71877358490566046</v>
      </c>
      <c r="O152" s="65"/>
      <c r="P152" s="65"/>
      <c r="Q152" s="65"/>
    </row>
    <row r="153" spans="1:17" ht="14.25" customHeight="1" x14ac:dyDescent="0.3">
      <c r="A153" t="s">
        <v>546</v>
      </c>
      <c r="B153" t="s">
        <v>489</v>
      </c>
      <c r="C153">
        <v>22.8</v>
      </c>
      <c r="D153">
        <v>13.9</v>
      </c>
      <c r="E153">
        <v>157.9</v>
      </c>
      <c r="F153">
        <v>1</v>
      </c>
      <c r="G153">
        <v>0.8</v>
      </c>
      <c r="H153">
        <v>3</v>
      </c>
      <c r="I153">
        <v>11.6</v>
      </c>
      <c r="J153">
        <v>0</v>
      </c>
      <c r="K153">
        <v>0.1</v>
      </c>
      <c r="L153">
        <v>10.5</v>
      </c>
      <c r="M153" s="64">
        <f t="shared" si="4"/>
        <v>7.5175383211678835</v>
      </c>
      <c r="N153" s="64">
        <f t="shared" si="5"/>
        <v>0.87766037735849056</v>
      </c>
      <c r="O153" s="65">
        <f>MAX(QB!D155*Scoring!$B$30+QB!E155/Scoring!$C$30+QB!F155*Scoring!$D$30+QB!G155*Scoring!$E$30+QB!H155*Scoring!$F$30+QB!I155/Scoring!$G$30+QB!J155*Scoring!$H$30+QB!K155*Scoring!$I$30+M155*Scoring!$J$30+QB!N155*Scoring!$K$30,0)+C155*Scoring!$B$10*0.07+(C155-D155)*Scoring!$B$5</f>
        <v>9.1000000000000014</v>
      </c>
      <c r="P153" s="65">
        <f>MAX(QB!D153*Scoring!$B$30+QB!E153/Scoring!$C$30+QB!F153*Scoring!$D$30+QB!G153*Scoring!$E$30+QB!H153*Scoring!$F$30+QB!I153/Scoring!$G$30+QB!J153*Scoring!$H$30+QB!K153*Scoring!$I$30+M153*Scoring!$J$30+QB!N153*Scoring!$K$30,0)+C153*Scoring!$B$10*0.07+(C153-D153)*Scoring!$B$5</f>
        <v>10.475999999999999</v>
      </c>
      <c r="Q153" s="65">
        <f>MAX(QB!D154*Scoring!$B$30+QB!E154/Scoring!$C$30+QB!F154*Scoring!$D$30+QB!G154*Scoring!$E$30+QB!H154*Scoring!$F$30+QB!I154/Scoring!$G$30+QB!J154*Scoring!$H$30+QB!K154*Scoring!$I$30+M154*Scoring!$J$30+QB!N154*Scoring!$K$30,0)+C154*Scoring!$B$10*0.07+(C154-D154)*Scoring!$B$5</f>
        <v>11.652000000000001</v>
      </c>
    </row>
    <row r="154" spans="1:17" ht="14.25" customHeight="1" x14ac:dyDescent="0.3">
      <c r="B154" t="s">
        <v>472</v>
      </c>
      <c r="C154">
        <v>23.5</v>
      </c>
      <c r="D154">
        <v>14.7</v>
      </c>
      <c r="E154">
        <v>158.80000000000001</v>
      </c>
      <c r="F154">
        <v>1</v>
      </c>
      <c r="G154">
        <v>0.6</v>
      </c>
      <c r="H154">
        <v>5</v>
      </c>
      <c r="I154">
        <v>19</v>
      </c>
      <c r="J154">
        <v>0</v>
      </c>
      <c r="K154">
        <v>0</v>
      </c>
      <c r="L154">
        <v>9.4</v>
      </c>
      <c r="M154" s="64">
        <f t="shared" si="4"/>
        <v>7.5603868613138685</v>
      </c>
      <c r="N154" s="64">
        <f t="shared" si="5"/>
        <v>1.4375471698113207</v>
      </c>
      <c r="O154" s="65"/>
      <c r="P154" s="65"/>
      <c r="Q154" s="65"/>
    </row>
    <row r="155" spans="1:17" ht="14.25" customHeight="1" x14ac:dyDescent="0.3">
      <c r="B155" t="s">
        <v>473</v>
      </c>
      <c r="C155">
        <v>22</v>
      </c>
      <c r="D155">
        <v>13</v>
      </c>
      <c r="E155">
        <v>157</v>
      </c>
      <c r="F155">
        <v>1</v>
      </c>
      <c r="G155">
        <v>1</v>
      </c>
      <c r="H155">
        <v>1</v>
      </c>
      <c r="I155">
        <v>4.2</v>
      </c>
      <c r="J155">
        <v>0</v>
      </c>
      <c r="K155">
        <v>0.3</v>
      </c>
      <c r="L155">
        <v>7</v>
      </c>
      <c r="M155" s="64">
        <f t="shared" si="4"/>
        <v>7.4746897810218984</v>
      </c>
      <c r="N155" s="64">
        <f t="shared" si="5"/>
        <v>0.31777358490566043</v>
      </c>
      <c r="O155" s="65"/>
      <c r="P155" s="65"/>
      <c r="Q155" s="65"/>
    </row>
    <row r="156" spans="1:17" ht="14.25" customHeight="1" x14ac:dyDescent="0.3">
      <c r="A156" t="s">
        <v>556</v>
      </c>
      <c r="B156" t="s">
        <v>487</v>
      </c>
      <c r="C156">
        <v>22.5</v>
      </c>
      <c r="D156">
        <v>14.9</v>
      </c>
      <c r="E156">
        <v>160.19999999999999</v>
      </c>
      <c r="F156">
        <v>1</v>
      </c>
      <c r="G156">
        <v>0.5</v>
      </c>
      <c r="H156">
        <v>2.7</v>
      </c>
      <c r="I156">
        <v>8.4</v>
      </c>
      <c r="J156">
        <v>0</v>
      </c>
      <c r="K156">
        <v>0.1</v>
      </c>
      <c r="L156">
        <v>10.5</v>
      </c>
      <c r="M156" s="64">
        <f t="shared" si="4"/>
        <v>7.6270401459854016</v>
      </c>
      <c r="N156" s="64">
        <f t="shared" si="5"/>
        <v>0.63554716981132087</v>
      </c>
      <c r="O156" s="65">
        <f>MAX(QB!D158*Scoring!$B$30+QB!E158/Scoring!$C$30+QB!F158*Scoring!$D$30+QB!G158*Scoring!$E$30+QB!H158*Scoring!$F$30+QB!I158/Scoring!$G$30+QB!J158*Scoring!$H$30+QB!K158*Scoring!$I$30+M158*Scoring!$J$30+QB!N158*Scoring!$K$30,0)+C158*Scoring!$B$10*0.07+(C158-D158)*Scoring!$B$5</f>
        <v>8.4440000000000008</v>
      </c>
      <c r="P156" s="65">
        <f>MAX(QB!D156*Scoring!$B$30+QB!E156/Scoring!$C$30+QB!F156*Scoring!$D$30+QB!G156*Scoring!$E$30+QB!H156*Scoring!$F$30+QB!I156/Scoring!$G$30+QB!J156*Scoring!$H$30+QB!K156*Scoring!$I$30+M156*Scoring!$J$30+QB!N156*Scoring!$K$30,0)+C156*Scoring!$B$10*0.07+(C156-D156)*Scoring!$B$5</f>
        <v>10.548</v>
      </c>
      <c r="Q156" s="65">
        <f>MAX(QB!D157*Scoring!$B$30+QB!E157/Scoring!$C$30+QB!F157*Scoring!$D$30+QB!G157*Scoring!$E$30+QB!H157*Scoring!$F$30+QB!I157/Scoring!$G$30+QB!J157*Scoring!$H$30+QB!K157*Scoring!$I$30+M157*Scoring!$J$30+QB!N157*Scoring!$K$30,0)+C157*Scoring!$B$10*0.07+(C157-D157)*Scoring!$B$5</f>
        <v>12.52</v>
      </c>
    </row>
    <row r="157" spans="1:17" ht="14.25" customHeight="1" x14ac:dyDescent="0.3">
      <c r="B157" t="s">
        <v>472</v>
      </c>
      <c r="C157">
        <v>23</v>
      </c>
      <c r="D157">
        <v>15</v>
      </c>
      <c r="E157">
        <v>168</v>
      </c>
      <c r="F157">
        <v>1</v>
      </c>
      <c r="G157">
        <v>0</v>
      </c>
      <c r="H157">
        <v>5</v>
      </c>
      <c r="I157">
        <v>18</v>
      </c>
      <c r="J157">
        <v>0</v>
      </c>
      <c r="K157">
        <v>0</v>
      </c>
      <c r="L157">
        <v>11.2</v>
      </c>
      <c r="M157" s="64">
        <f t="shared" si="4"/>
        <v>7.9983941605839401</v>
      </c>
      <c r="N157" s="64">
        <f t="shared" si="5"/>
        <v>1.3618867924528306</v>
      </c>
      <c r="O157" s="65"/>
      <c r="P157" s="65"/>
      <c r="Q157" s="65"/>
    </row>
    <row r="158" spans="1:17" ht="14.25" customHeight="1" x14ac:dyDescent="0.3">
      <c r="B158" t="s">
        <v>473</v>
      </c>
      <c r="C158">
        <v>22</v>
      </c>
      <c r="D158">
        <v>14.7</v>
      </c>
      <c r="E158">
        <v>145.6</v>
      </c>
      <c r="F158">
        <v>0.9</v>
      </c>
      <c r="G158">
        <v>1</v>
      </c>
      <c r="H158">
        <v>1</v>
      </c>
      <c r="I158">
        <v>2.2000000000000002</v>
      </c>
      <c r="J158">
        <v>0</v>
      </c>
      <c r="K158">
        <v>0.1</v>
      </c>
      <c r="L158">
        <v>7</v>
      </c>
      <c r="M158" s="64">
        <f t="shared" si="4"/>
        <v>6.9319416058394161</v>
      </c>
      <c r="N158" s="64">
        <f t="shared" si="5"/>
        <v>0.16645283018867929</v>
      </c>
      <c r="O158" s="65"/>
      <c r="P158" s="65"/>
      <c r="Q158" s="65"/>
    </row>
    <row r="159" spans="1:17" ht="14.25" customHeight="1" x14ac:dyDescent="0.3">
      <c r="A159" t="s">
        <v>557</v>
      </c>
      <c r="B159" t="s">
        <v>497</v>
      </c>
      <c r="C159">
        <v>22.2</v>
      </c>
      <c r="D159">
        <v>13.6</v>
      </c>
      <c r="E159">
        <v>148.19999999999999</v>
      </c>
      <c r="F159">
        <v>1</v>
      </c>
      <c r="G159">
        <v>0.8</v>
      </c>
      <c r="H159">
        <v>3.2</v>
      </c>
      <c r="I159">
        <v>12.9</v>
      </c>
      <c r="J159">
        <v>0</v>
      </c>
      <c r="K159">
        <v>0.1</v>
      </c>
      <c r="L159">
        <v>10.4</v>
      </c>
      <c r="M159" s="64">
        <f t="shared" si="4"/>
        <v>7.055726277372262</v>
      </c>
      <c r="N159" s="64">
        <f t="shared" si="5"/>
        <v>0.97601886792452852</v>
      </c>
      <c r="O159" s="65">
        <f>MAX(QB!D161*Scoring!$B$30+QB!E161/Scoring!$C$30+QB!F161*Scoring!$D$30+QB!G161*Scoring!$E$30+QB!H161*Scoring!$F$30+QB!I161/Scoring!$G$30+QB!J161*Scoring!$H$30+QB!K161*Scoring!$I$30+M161*Scoring!$J$30+QB!N161*Scoring!$K$30,0)+C161*Scoring!$B$10*0.07+(C161-D161)*Scoring!$B$5</f>
        <v>9.3800000000000008</v>
      </c>
      <c r="P159" s="65">
        <f>MAX(QB!D159*Scoring!$B$30+QB!E159/Scoring!$C$30+QB!F159*Scoring!$D$30+QB!G159*Scoring!$E$30+QB!H159*Scoring!$F$30+QB!I159/Scoring!$G$30+QB!J159*Scoring!$H$30+QB!K159*Scoring!$I$30+M159*Scoring!$J$30+QB!N159*Scoring!$K$30,0)+C159*Scoring!$B$10*0.07+(C159-D159)*Scoring!$B$5</f>
        <v>10.218</v>
      </c>
      <c r="Q159" s="65">
        <f>MAX(QB!D160*Scoring!$B$30+QB!E160/Scoring!$C$30+QB!F160*Scoring!$D$30+QB!G160*Scoring!$E$30+QB!H160*Scoring!$F$30+QB!I160/Scoring!$G$30+QB!J160*Scoring!$H$30+QB!K160*Scoring!$I$30+M160*Scoring!$J$30+QB!N160*Scoring!$K$30,0)+C160*Scoring!$B$10*0.07+(C160-D160)*Scoring!$B$5</f>
        <v>11.860000000000001</v>
      </c>
    </row>
    <row r="160" spans="1:17" ht="14.25" customHeight="1" x14ac:dyDescent="0.3">
      <c r="B160" t="s">
        <v>472</v>
      </c>
      <c r="C160">
        <v>22.4</v>
      </c>
      <c r="D160">
        <v>14</v>
      </c>
      <c r="E160">
        <v>149</v>
      </c>
      <c r="F160">
        <v>1</v>
      </c>
      <c r="G160">
        <v>0.6</v>
      </c>
      <c r="H160">
        <v>5</v>
      </c>
      <c r="I160">
        <v>19</v>
      </c>
      <c r="J160">
        <v>0.1</v>
      </c>
      <c r="K160">
        <v>0</v>
      </c>
      <c r="L160">
        <v>9.4</v>
      </c>
      <c r="M160" s="64">
        <f t="shared" si="4"/>
        <v>7.0938138686131378</v>
      </c>
      <c r="N160" s="64">
        <f t="shared" si="5"/>
        <v>1.4375471698113207</v>
      </c>
      <c r="O160" s="65"/>
      <c r="P160" s="65"/>
      <c r="Q160" s="65"/>
    </row>
    <row r="161" spans="1:17" ht="14.25" customHeight="1" x14ac:dyDescent="0.3">
      <c r="B161" t="s">
        <v>473</v>
      </c>
      <c r="C161">
        <v>22</v>
      </c>
      <c r="D161">
        <v>13.2</v>
      </c>
      <c r="E161">
        <v>147.5</v>
      </c>
      <c r="F161">
        <v>1</v>
      </c>
      <c r="G161">
        <v>1</v>
      </c>
      <c r="H161">
        <v>1.5</v>
      </c>
      <c r="I161">
        <v>6.8</v>
      </c>
      <c r="J161">
        <v>0</v>
      </c>
      <c r="K161">
        <v>0.1</v>
      </c>
      <c r="L161">
        <v>7</v>
      </c>
      <c r="M161" s="64">
        <f t="shared" si="4"/>
        <v>7.0223996350364972</v>
      </c>
      <c r="N161" s="64">
        <f t="shared" si="5"/>
        <v>0.51449056603773591</v>
      </c>
      <c r="O161" s="65"/>
      <c r="P161" s="65"/>
      <c r="Q161" s="65"/>
    </row>
    <row r="162" spans="1:17" ht="14.25" customHeight="1" x14ac:dyDescent="0.3">
      <c r="A162" t="s">
        <v>560</v>
      </c>
      <c r="B162" t="s">
        <v>481</v>
      </c>
      <c r="C162">
        <v>20.3</v>
      </c>
      <c r="D162">
        <v>12.8</v>
      </c>
      <c r="E162">
        <v>141</v>
      </c>
      <c r="F162">
        <v>1</v>
      </c>
      <c r="G162">
        <v>0.2</v>
      </c>
      <c r="H162">
        <v>3</v>
      </c>
      <c r="I162">
        <v>9.9</v>
      </c>
      <c r="J162">
        <v>0</v>
      </c>
      <c r="K162">
        <v>0</v>
      </c>
      <c r="L162">
        <v>10.3</v>
      </c>
      <c r="M162" s="64">
        <f t="shared" si="4"/>
        <v>6.7129379562043798</v>
      </c>
      <c r="N162" s="64">
        <f t="shared" si="5"/>
        <v>0.74903773584905675</v>
      </c>
      <c r="O162" s="65">
        <f>MAX(QB!D164*Scoring!$B$30+QB!E164/Scoring!$C$30+QB!F164*Scoring!$D$30+QB!G164*Scoring!$E$30+QB!H164*Scoring!$F$30+QB!I164/Scoring!$G$30+QB!J164*Scoring!$H$30+QB!K164*Scoring!$I$30+M164*Scoring!$J$30+QB!N164*Scoring!$K$30,0)+C164*Scoring!$B$10*0.07+(C164-D164)*Scoring!$B$5</f>
        <v>8.83</v>
      </c>
      <c r="P162" s="65">
        <f>MAX(QB!D162*Scoring!$B$30+QB!E162/Scoring!$C$30+QB!F162*Scoring!$D$30+QB!G162*Scoring!$E$30+QB!H162*Scoring!$F$30+QB!I162/Scoring!$G$30+QB!J162*Scoring!$H$30+QB!K162*Scoring!$I$30+M162*Scoring!$J$30+QB!N162*Scoring!$K$30,0)+C162*Scoring!$B$10*0.07+(C162-D162)*Scoring!$B$5</f>
        <v>10.430000000000001</v>
      </c>
      <c r="Q162" s="65">
        <f>MAX(QB!D163*Scoring!$B$30+QB!E163/Scoring!$C$30+QB!F163*Scoring!$D$30+QB!G163*Scoring!$E$30+QB!H163*Scoring!$F$30+QB!I163/Scoring!$G$30+QB!J163*Scoring!$H$30+QB!K163*Scoring!$I$30+M163*Scoring!$J$30+QB!N163*Scoring!$K$30,0)+C163*Scoring!$B$10*0.07+(C163-D163)*Scoring!$B$5</f>
        <v>11.72</v>
      </c>
    </row>
    <row r="163" spans="1:17" ht="14.25" customHeight="1" x14ac:dyDescent="0.3">
      <c r="B163" t="s">
        <v>472</v>
      </c>
      <c r="C163">
        <v>21.7</v>
      </c>
      <c r="D163">
        <v>13.7</v>
      </c>
      <c r="E163">
        <v>153</v>
      </c>
      <c r="F163">
        <v>1</v>
      </c>
      <c r="G163">
        <v>0</v>
      </c>
      <c r="H163">
        <v>5</v>
      </c>
      <c r="I163">
        <v>16</v>
      </c>
      <c r="J163">
        <v>0</v>
      </c>
      <c r="K163">
        <v>0</v>
      </c>
      <c r="L163">
        <v>9.5</v>
      </c>
      <c r="M163" s="64">
        <f t="shared" si="4"/>
        <v>7.2842518248175168</v>
      </c>
      <c r="N163" s="64">
        <f t="shared" si="5"/>
        <v>1.2105660377358494</v>
      </c>
      <c r="O163" s="65"/>
      <c r="P163" s="65"/>
      <c r="Q163" s="65"/>
    </row>
    <row r="164" spans="1:17" ht="14.25" customHeight="1" x14ac:dyDescent="0.3">
      <c r="B164" t="s">
        <v>473</v>
      </c>
      <c r="C164">
        <v>19</v>
      </c>
      <c r="D164">
        <v>12</v>
      </c>
      <c r="E164">
        <v>129</v>
      </c>
      <c r="F164">
        <v>1</v>
      </c>
      <c r="G164">
        <v>0.5</v>
      </c>
      <c r="H164">
        <v>1</v>
      </c>
      <c r="I164">
        <v>3.7</v>
      </c>
      <c r="J164">
        <v>0</v>
      </c>
      <c r="K164">
        <v>0.1</v>
      </c>
      <c r="L164">
        <v>8</v>
      </c>
      <c r="M164" s="64">
        <f t="shared" si="4"/>
        <v>6.1416240875912411</v>
      </c>
      <c r="N164" s="64">
        <f t="shared" si="5"/>
        <v>0.27994339622641512</v>
      </c>
      <c r="O164" s="65"/>
      <c r="P164" s="65"/>
      <c r="Q164" s="65"/>
    </row>
    <row r="165" spans="1:17" ht="14.25" customHeight="1" x14ac:dyDescent="0.3">
      <c r="A165" t="s">
        <v>559</v>
      </c>
      <c r="B165" t="s">
        <v>483</v>
      </c>
      <c r="C165">
        <v>24.9</v>
      </c>
      <c r="D165">
        <v>16.100000000000001</v>
      </c>
      <c r="E165">
        <v>169.4</v>
      </c>
      <c r="F165">
        <v>1.2</v>
      </c>
      <c r="G165">
        <v>0.8</v>
      </c>
      <c r="H165">
        <v>2.2000000000000002</v>
      </c>
      <c r="I165">
        <v>8.6</v>
      </c>
      <c r="J165">
        <v>0</v>
      </c>
      <c r="K165">
        <v>0.6</v>
      </c>
      <c r="L165">
        <v>10.3</v>
      </c>
      <c r="M165" s="64">
        <f t="shared" si="4"/>
        <v>8.065047445255475</v>
      </c>
      <c r="N165" s="64">
        <f t="shared" si="5"/>
        <v>0.6506792452830189</v>
      </c>
      <c r="O165" s="65">
        <f>MAX(QB!D167*Scoring!$B$30+QB!E167/Scoring!$C$30+QB!F167*Scoring!$D$30+QB!G167*Scoring!$E$30+QB!H167*Scoring!$F$30+QB!I167/Scoring!$G$30+QB!J167*Scoring!$H$30+QB!K167*Scoring!$I$30+M167*Scoring!$J$30+QB!N167*Scoring!$K$30,0)+C167*Scoring!$B$10*0.07+(C167-D167)*Scoring!$B$5</f>
        <v>7.7119999999999997</v>
      </c>
      <c r="P165" s="65">
        <f>MAX(QB!D165*Scoring!$B$30+QB!E165/Scoring!$C$30+QB!F165*Scoring!$D$30+QB!G165*Scoring!$E$30+QB!H165*Scoring!$F$30+QB!I165/Scoring!$G$30+QB!J165*Scoring!$H$30+QB!K165*Scoring!$I$30+M165*Scoring!$J$30+QB!N165*Scoring!$K$30,0)+C165*Scoring!$B$10*0.07+(C165-D165)*Scoring!$B$5</f>
        <v>10.436</v>
      </c>
      <c r="Q165" s="65">
        <f>MAX(QB!D166*Scoring!$B$30+QB!E166/Scoring!$C$30+QB!F166*Scoring!$D$30+QB!G166*Scoring!$E$30+QB!H166*Scoring!$F$30+QB!I166/Scoring!$G$30+QB!J166*Scoring!$H$30+QB!K166*Scoring!$I$30+M166*Scoring!$J$30+QB!N166*Scoring!$K$30,0)+C166*Scoring!$B$10*0.07+(C166-D166)*Scoring!$B$5</f>
        <v>12.66</v>
      </c>
    </row>
    <row r="166" spans="1:17" ht="14.25" customHeight="1" x14ac:dyDescent="0.3">
      <c r="B166" t="s">
        <v>472</v>
      </c>
      <c r="C166">
        <v>25</v>
      </c>
      <c r="D166">
        <v>17</v>
      </c>
      <c r="E166">
        <v>174</v>
      </c>
      <c r="F166">
        <v>1.3</v>
      </c>
      <c r="G166">
        <v>0.7</v>
      </c>
      <c r="H166">
        <v>4</v>
      </c>
      <c r="I166">
        <v>16</v>
      </c>
      <c r="J166">
        <v>0</v>
      </c>
      <c r="K166">
        <v>0.2</v>
      </c>
      <c r="L166">
        <v>10.5</v>
      </c>
      <c r="M166" s="64">
        <f t="shared" si="4"/>
        <v>8.2840510948905095</v>
      </c>
      <c r="N166" s="64">
        <f t="shared" si="5"/>
        <v>1.2105660377358491</v>
      </c>
      <c r="O166" s="65"/>
      <c r="P166" s="65"/>
      <c r="Q166" s="65"/>
    </row>
    <row r="167" spans="1:17" ht="14.25" customHeight="1" x14ac:dyDescent="0.3">
      <c r="B167" t="s">
        <v>473</v>
      </c>
      <c r="C167">
        <v>24.8</v>
      </c>
      <c r="D167">
        <v>15.3</v>
      </c>
      <c r="E167">
        <v>164.8</v>
      </c>
      <c r="F167">
        <v>1</v>
      </c>
      <c r="G167">
        <v>1</v>
      </c>
      <c r="H167">
        <v>0.4</v>
      </c>
      <c r="I167">
        <v>1.2</v>
      </c>
      <c r="J167">
        <v>0</v>
      </c>
      <c r="K167">
        <v>1</v>
      </c>
      <c r="L167">
        <v>4</v>
      </c>
      <c r="M167" s="64">
        <f t="shared" si="4"/>
        <v>7.8460437956204396</v>
      </c>
      <c r="N167" s="64">
        <f t="shared" si="5"/>
        <v>9.0792452830188691E-2</v>
      </c>
      <c r="O167" s="65"/>
      <c r="P167" s="65"/>
      <c r="Q167" s="65"/>
    </row>
    <row r="168" spans="1:17" ht="14.25" customHeight="1" x14ac:dyDescent="0.3">
      <c r="A168" t="s">
        <v>561</v>
      </c>
      <c r="B168" t="s">
        <v>521</v>
      </c>
      <c r="C168">
        <v>22.8</v>
      </c>
      <c r="D168">
        <v>14.4</v>
      </c>
      <c r="E168">
        <v>157.80000000000001</v>
      </c>
      <c r="F168">
        <v>1</v>
      </c>
      <c r="G168">
        <v>0.8</v>
      </c>
      <c r="H168">
        <v>2.8</v>
      </c>
      <c r="I168">
        <v>10.6</v>
      </c>
      <c r="J168">
        <v>0</v>
      </c>
      <c r="K168">
        <v>0.1</v>
      </c>
      <c r="L168">
        <v>10.3</v>
      </c>
      <c r="M168" s="64">
        <f t="shared" si="4"/>
        <v>7.5127773722627751</v>
      </c>
      <c r="N168" s="64">
        <f t="shared" si="5"/>
        <v>0.80200000000000005</v>
      </c>
      <c r="O168" s="65">
        <f>MAX(QB!D170*Scoring!$B$30+QB!E170/Scoring!$C$30+QB!F170*Scoring!$D$30+QB!G170*Scoring!$E$30+QB!H170*Scoring!$F$30+QB!I170/Scoring!$G$30+QB!J170*Scoring!$H$30+QB!K170*Scoring!$I$30+M170*Scoring!$J$30+QB!N170*Scoring!$K$30,0)+C170*Scoring!$B$10*0.07+(C170-D170)*Scoring!$B$5</f>
        <v>7.9699999999999989</v>
      </c>
      <c r="P168" s="65">
        <f>MAX(QB!D168*Scoring!$B$30+QB!E168/Scoring!$C$30+QB!F168*Scoring!$D$30+QB!G168*Scoring!$E$30+QB!H168*Scoring!$F$30+QB!I168/Scoring!$G$30+QB!J168*Scoring!$H$30+QB!K168*Scoring!$I$30+M168*Scoring!$J$30+QB!N168*Scoring!$K$30,0)+C168*Scoring!$B$10*0.07+(C168-D168)*Scoring!$B$5</f>
        <v>10.372000000000002</v>
      </c>
      <c r="Q168" s="65">
        <f>MAX(QB!D169*Scoring!$B$30+QB!E169/Scoring!$C$30+QB!F169*Scoring!$D$30+QB!G169*Scoring!$E$30+QB!H169*Scoring!$F$30+QB!I169/Scoring!$G$30+QB!J169*Scoring!$H$30+QB!K169*Scoring!$I$30+M169*Scoring!$J$30+QB!N169*Scoring!$K$30,0)+C169*Scoring!$B$10*0.07+(C169-D169)*Scoring!$B$5</f>
        <v>13.100000000000001</v>
      </c>
    </row>
    <row r="169" spans="1:17" ht="14.25" customHeight="1" x14ac:dyDescent="0.3">
      <c r="B169" t="s">
        <v>472</v>
      </c>
      <c r="C169">
        <v>25</v>
      </c>
      <c r="D169">
        <v>16</v>
      </c>
      <c r="E169">
        <v>185</v>
      </c>
      <c r="F169">
        <v>1</v>
      </c>
      <c r="G169">
        <v>0.5</v>
      </c>
      <c r="H169">
        <v>4</v>
      </c>
      <c r="I169">
        <v>22</v>
      </c>
      <c r="J169">
        <v>0</v>
      </c>
      <c r="K169">
        <v>0</v>
      </c>
      <c r="L169">
        <v>12</v>
      </c>
      <c r="M169" s="64">
        <f t="shared" si="4"/>
        <v>8.8077554744525557</v>
      </c>
      <c r="N169" s="64">
        <f t="shared" si="5"/>
        <v>1.6645283018867925</v>
      </c>
      <c r="O169" s="65"/>
      <c r="P169" s="65"/>
      <c r="Q169" s="65"/>
    </row>
    <row r="170" spans="1:17" ht="14.25" customHeight="1" x14ac:dyDescent="0.3">
      <c r="B170" t="s">
        <v>473</v>
      </c>
      <c r="C170">
        <v>21</v>
      </c>
      <c r="D170">
        <v>13</v>
      </c>
      <c r="E170">
        <v>135</v>
      </c>
      <c r="F170">
        <v>0.9</v>
      </c>
      <c r="G170">
        <v>1</v>
      </c>
      <c r="H170">
        <v>1.3</v>
      </c>
      <c r="I170">
        <v>3.7</v>
      </c>
      <c r="J170">
        <v>0</v>
      </c>
      <c r="K170">
        <v>0.2</v>
      </c>
      <c r="L170">
        <v>7</v>
      </c>
      <c r="M170" s="64">
        <f t="shared" si="4"/>
        <v>6.4272810218978105</v>
      </c>
      <c r="N170" s="64">
        <f t="shared" si="5"/>
        <v>0.27994339622641512</v>
      </c>
      <c r="O170" s="65"/>
      <c r="P170" s="65"/>
      <c r="Q170" s="65"/>
    </row>
    <row r="171" spans="1:17" ht="14.25" customHeight="1" x14ac:dyDescent="0.3">
      <c r="A171" t="s">
        <v>1456</v>
      </c>
      <c r="B171" t="s">
        <v>507</v>
      </c>
      <c r="C171">
        <v>19.7</v>
      </c>
      <c r="D171">
        <v>12.8</v>
      </c>
      <c r="E171">
        <v>140.1</v>
      </c>
      <c r="F171">
        <v>1</v>
      </c>
      <c r="G171">
        <v>0.2</v>
      </c>
      <c r="H171">
        <v>1.6</v>
      </c>
      <c r="I171">
        <v>7.8</v>
      </c>
      <c r="J171">
        <v>0</v>
      </c>
      <c r="K171">
        <v>0.1</v>
      </c>
      <c r="L171">
        <v>10.3</v>
      </c>
      <c r="M171" s="64">
        <f t="shared" si="4"/>
        <v>6.670089416058393</v>
      </c>
      <c r="N171" s="64">
        <f t="shared" si="5"/>
        <v>0.59015094339622653</v>
      </c>
      <c r="O171" s="65">
        <f>MAX(QB!D173*Scoring!$B$30+QB!E173/Scoring!$C$30+QB!F173*Scoring!$D$30+QB!G173*Scoring!$E$30+QB!H173*Scoring!$F$30+QB!I173/Scoring!$G$30+QB!J173*Scoring!$H$30+QB!K173*Scoring!$I$30+M173*Scoring!$J$30+QB!N173*Scoring!$K$30,0)+C173*Scoring!$B$10*0.07+(C173-D173)*Scoring!$B$5</f>
        <v>8.4500000000000011</v>
      </c>
      <c r="P171" s="65">
        <f>MAX(QB!D171*Scoring!$B$30+QB!E171/Scoring!$C$30+QB!F171*Scoring!$D$30+QB!G171*Scoring!$E$30+QB!H171*Scoring!$F$30+QB!I171/Scoring!$G$30+QB!J171*Scoring!$H$30+QB!K171*Scoring!$I$30+M171*Scoring!$J$30+QB!N171*Scoring!$K$30,0)+C171*Scoring!$B$10*0.07+(C171-D171)*Scoring!$B$5</f>
        <v>9.984</v>
      </c>
      <c r="Q171" s="65">
        <f>MAX(QB!D172*Scoring!$B$30+QB!E172/Scoring!$C$30+QB!F172*Scoring!$D$30+QB!G172*Scoring!$E$30+QB!H172*Scoring!$F$30+QB!I172/Scoring!$G$30+QB!J172*Scoring!$H$30+QB!K172*Scoring!$I$30+M172*Scoring!$J$30+QB!N172*Scoring!$K$30,0)+C172*Scoring!$B$10*0.07+(C172-D172)*Scoring!$B$5</f>
        <v>12.007999999999999</v>
      </c>
    </row>
    <row r="172" spans="1:17" ht="14.25" customHeight="1" x14ac:dyDescent="0.3">
      <c r="B172" t="s">
        <v>472</v>
      </c>
      <c r="C172">
        <v>22.3</v>
      </c>
      <c r="D172">
        <v>14.5</v>
      </c>
      <c r="E172">
        <v>160.19999999999999</v>
      </c>
      <c r="F172">
        <v>1</v>
      </c>
      <c r="G172">
        <v>0</v>
      </c>
      <c r="H172">
        <v>2</v>
      </c>
      <c r="I172">
        <v>10</v>
      </c>
      <c r="J172">
        <v>0.1</v>
      </c>
      <c r="K172">
        <v>0</v>
      </c>
      <c r="L172">
        <v>10.5</v>
      </c>
      <c r="M172" s="64">
        <f t="shared" si="4"/>
        <v>7.6270401459853998</v>
      </c>
      <c r="N172" s="64">
        <f t="shared" si="5"/>
        <v>0.75660377358490571</v>
      </c>
      <c r="O172" s="65"/>
      <c r="P172" s="65"/>
      <c r="Q172" s="65"/>
    </row>
    <row r="173" spans="1:17" ht="14.25" customHeight="1" x14ac:dyDescent="0.3">
      <c r="B173" t="s">
        <v>473</v>
      </c>
      <c r="C173">
        <v>17</v>
      </c>
      <c r="D173">
        <v>11</v>
      </c>
      <c r="E173">
        <v>120</v>
      </c>
      <c r="F173">
        <v>1</v>
      </c>
      <c r="G173">
        <v>0.5</v>
      </c>
      <c r="H173">
        <v>1.3</v>
      </c>
      <c r="I173">
        <v>5.5</v>
      </c>
      <c r="J173">
        <v>0</v>
      </c>
      <c r="K173">
        <v>0.2</v>
      </c>
      <c r="L173">
        <v>8</v>
      </c>
      <c r="M173" s="64">
        <f t="shared" si="4"/>
        <v>5.7131386861313862</v>
      </c>
      <c r="N173" s="64">
        <f t="shared" si="5"/>
        <v>0.41613207547169817</v>
      </c>
      <c r="O173" s="65"/>
      <c r="P173" s="65"/>
      <c r="Q173" s="65"/>
    </row>
    <row r="174" spans="1:17" ht="14.25" customHeight="1" x14ac:dyDescent="0.3">
      <c r="A174" t="s">
        <v>562</v>
      </c>
      <c r="B174" t="s">
        <v>505</v>
      </c>
      <c r="C174">
        <v>22.9</v>
      </c>
      <c r="D174">
        <v>14.9</v>
      </c>
      <c r="E174">
        <v>156.69999999999999</v>
      </c>
      <c r="F174">
        <v>0.9</v>
      </c>
      <c r="G174">
        <v>0.8</v>
      </c>
      <c r="H174">
        <v>2.7</v>
      </c>
      <c r="I174">
        <v>12.1</v>
      </c>
      <c r="J174">
        <v>0</v>
      </c>
      <c r="K174">
        <v>0.1</v>
      </c>
      <c r="L174">
        <v>10.199999999999999</v>
      </c>
      <c r="M174" s="64">
        <f t="shared" si="4"/>
        <v>7.4604069343065689</v>
      </c>
      <c r="N174" s="64">
        <f t="shared" si="5"/>
        <v>0.91549056603773582</v>
      </c>
      <c r="O174" s="65">
        <f>MAX(QB!D176*Scoring!$B$30+QB!E176/Scoring!$C$30+QB!F176*Scoring!$D$30+QB!G176*Scoring!$E$30+QB!H176*Scoring!$F$30+QB!I176/Scoring!$G$30+QB!J176*Scoring!$H$30+QB!K176*Scoring!$I$30+M176*Scoring!$J$30+QB!N176*Scoring!$K$30,0)+C176*Scoring!$B$10*0.07+(C176-D176)*Scoring!$B$5</f>
        <v>8.645999999999999</v>
      </c>
      <c r="P174" s="65">
        <f>MAX(QB!D174*Scoring!$B$30+QB!E174/Scoring!$C$30+QB!F174*Scoring!$D$30+QB!G174*Scoring!$E$30+QB!H174*Scoring!$F$30+QB!I174/Scoring!$G$30+QB!J174*Scoring!$H$30+QB!K174*Scoring!$I$30+M174*Scoring!$J$30+QB!N174*Scoring!$K$30,0)+C174*Scoring!$B$10*0.07+(C174-D174)*Scoring!$B$5</f>
        <v>10.077999999999999</v>
      </c>
      <c r="Q174" s="65">
        <f>MAX(QB!D175*Scoring!$B$30+QB!E175/Scoring!$C$30+QB!F175*Scoring!$D$30+QB!G175*Scoring!$E$30+QB!H175*Scoring!$F$30+QB!I175/Scoring!$G$30+QB!J175*Scoring!$H$30+QB!K175*Scoring!$I$30+M175*Scoring!$J$30+QB!N175*Scoring!$K$30,0)+C175*Scoring!$B$10*0.07+(C175-D175)*Scoring!$B$5</f>
        <v>11.6</v>
      </c>
    </row>
    <row r="175" spans="1:17" ht="14.25" customHeight="1" x14ac:dyDescent="0.3">
      <c r="B175" t="s">
        <v>472</v>
      </c>
      <c r="C175">
        <v>23</v>
      </c>
      <c r="D175">
        <v>15</v>
      </c>
      <c r="E175">
        <v>160</v>
      </c>
      <c r="F175">
        <v>1</v>
      </c>
      <c r="G175">
        <v>0.5</v>
      </c>
      <c r="H175">
        <v>4</v>
      </c>
      <c r="I175">
        <v>17</v>
      </c>
      <c r="J175">
        <v>0</v>
      </c>
      <c r="K175">
        <v>0</v>
      </c>
      <c r="L175">
        <v>9</v>
      </c>
      <c r="M175" s="64">
        <f t="shared" si="4"/>
        <v>7.6175182481751831</v>
      </c>
      <c r="N175" s="64">
        <f t="shared" si="5"/>
        <v>1.2862264150943397</v>
      </c>
      <c r="O175" s="65"/>
      <c r="P175" s="65"/>
      <c r="Q175" s="65"/>
    </row>
    <row r="176" spans="1:17" ht="14.25" customHeight="1" x14ac:dyDescent="0.3">
      <c r="B176" t="s">
        <v>473</v>
      </c>
      <c r="C176">
        <v>22.8</v>
      </c>
      <c r="D176">
        <v>14.9</v>
      </c>
      <c r="E176">
        <v>153.4</v>
      </c>
      <c r="F176">
        <v>0.8</v>
      </c>
      <c r="G176">
        <v>1</v>
      </c>
      <c r="H176">
        <v>1.3</v>
      </c>
      <c r="I176">
        <v>7.1</v>
      </c>
      <c r="J176">
        <v>0</v>
      </c>
      <c r="K176">
        <v>0.2</v>
      </c>
      <c r="L176">
        <v>7</v>
      </c>
      <c r="M176" s="64">
        <f t="shared" si="4"/>
        <v>7.3032956204379573</v>
      </c>
      <c r="N176" s="64">
        <f t="shared" si="5"/>
        <v>0.53718867924528302</v>
      </c>
      <c r="O176" s="65"/>
      <c r="P176" s="65"/>
      <c r="Q176" s="65"/>
    </row>
    <row r="177" spans="1:17" ht="14.25" customHeight="1" x14ac:dyDescent="0.3">
      <c r="A177" t="s">
        <v>563</v>
      </c>
      <c r="B177" t="s">
        <v>491</v>
      </c>
      <c r="C177">
        <v>21.9</v>
      </c>
      <c r="D177">
        <v>13.8</v>
      </c>
      <c r="E177">
        <v>144.30000000000001</v>
      </c>
      <c r="F177">
        <v>1</v>
      </c>
      <c r="G177">
        <v>0.7</v>
      </c>
      <c r="H177">
        <v>1.3</v>
      </c>
      <c r="I177">
        <v>6.9</v>
      </c>
      <c r="J177">
        <v>0.1</v>
      </c>
      <c r="K177">
        <v>0.1</v>
      </c>
      <c r="L177">
        <v>10.199999999999999</v>
      </c>
      <c r="M177" s="64">
        <f t="shared" si="4"/>
        <v>6.8700492700729932</v>
      </c>
      <c r="N177" s="64">
        <f t="shared" si="5"/>
        <v>0.52205660377358498</v>
      </c>
      <c r="O177" s="65">
        <f>MAX(QB!D179*Scoring!$B$30+QB!E179/Scoring!$C$30+QB!F179*Scoring!$D$30+QB!G179*Scoring!$E$30+QB!H179*Scoring!$F$30+QB!I179/Scoring!$G$30+QB!J179*Scoring!$H$30+QB!K179*Scoring!$I$30+M179*Scoring!$J$30+QB!N179*Scoring!$K$30,0)+C179*Scoring!$B$10*0.07+(C179-D179)*Scoring!$B$5</f>
        <v>10.162000000000001</v>
      </c>
      <c r="P177" s="65">
        <f>MAX(QB!D177*Scoring!$B$30+QB!E177/Scoring!$C$30+QB!F177*Scoring!$D$30+QB!G177*Scoring!$E$30+QB!H177*Scoring!$F$30+QB!I177/Scoring!$G$30+QB!J177*Scoring!$H$30+QB!K177*Scoring!$I$30+M177*Scoring!$J$30+QB!N177*Scoring!$K$30,0)+C177*Scoring!$B$10*0.07+(C177-D177)*Scoring!$B$5</f>
        <v>10.162000000000001</v>
      </c>
      <c r="Q177" s="65">
        <f>MAX(QB!D178*Scoring!$B$30+QB!E178/Scoring!$C$30+QB!F178*Scoring!$D$30+QB!G178*Scoring!$E$30+QB!H178*Scoring!$F$30+QB!I178/Scoring!$G$30+QB!J178*Scoring!$H$30+QB!K178*Scoring!$I$30+M178*Scoring!$J$30+QB!N178*Scoring!$K$30,0)+C178*Scoring!$B$10*0.07+(C178-D178)*Scoring!$B$5</f>
        <v>10.162000000000001</v>
      </c>
    </row>
    <row r="178" spans="1:17" ht="14.25" customHeight="1" x14ac:dyDescent="0.3">
      <c r="B178" t="s">
        <v>472</v>
      </c>
      <c r="C178">
        <v>21.9</v>
      </c>
      <c r="D178">
        <v>13.8</v>
      </c>
      <c r="E178">
        <v>144.30000000000001</v>
      </c>
      <c r="F178">
        <v>1</v>
      </c>
      <c r="G178">
        <v>0.7</v>
      </c>
      <c r="H178">
        <v>1.3</v>
      </c>
      <c r="I178">
        <v>6.9</v>
      </c>
      <c r="J178">
        <v>0.1</v>
      </c>
      <c r="K178">
        <v>0.1</v>
      </c>
      <c r="L178">
        <v>9.5</v>
      </c>
      <c r="M178" s="64">
        <f t="shared" si="4"/>
        <v>6.8700492700729932</v>
      </c>
      <c r="N178" s="64">
        <f t="shared" si="5"/>
        <v>0.52205660377358498</v>
      </c>
      <c r="O178" s="65"/>
      <c r="P178" s="65"/>
      <c r="Q178" s="65"/>
    </row>
    <row r="179" spans="1:17" ht="14.25" customHeight="1" x14ac:dyDescent="0.3">
      <c r="B179" t="s">
        <v>473</v>
      </c>
      <c r="C179">
        <v>21.9</v>
      </c>
      <c r="D179">
        <v>13.8</v>
      </c>
      <c r="E179">
        <v>144.30000000000001</v>
      </c>
      <c r="F179">
        <v>1</v>
      </c>
      <c r="G179">
        <v>0.7</v>
      </c>
      <c r="H179">
        <v>1.3</v>
      </c>
      <c r="I179">
        <v>6.9</v>
      </c>
      <c r="J179">
        <v>0.1</v>
      </c>
      <c r="K179">
        <v>0.1</v>
      </c>
      <c r="L179">
        <v>9.5</v>
      </c>
      <c r="M179" s="64">
        <f t="shared" si="4"/>
        <v>6.8700492700729932</v>
      </c>
      <c r="N179" s="64">
        <f t="shared" si="5"/>
        <v>0.52205660377358498</v>
      </c>
      <c r="O179" s="65"/>
      <c r="P179" s="65"/>
      <c r="Q179" s="65"/>
    </row>
    <row r="180" spans="1:17" ht="14.25" customHeight="1" x14ac:dyDescent="0.3">
      <c r="A180" t="s">
        <v>564</v>
      </c>
      <c r="B180" t="s">
        <v>517</v>
      </c>
      <c r="C180">
        <v>20.6</v>
      </c>
      <c r="D180">
        <v>13</v>
      </c>
      <c r="E180">
        <v>146.6</v>
      </c>
      <c r="F180">
        <v>0.9</v>
      </c>
      <c r="G180">
        <v>0.8</v>
      </c>
      <c r="H180">
        <v>3.1</v>
      </c>
      <c r="I180">
        <v>13.1</v>
      </c>
      <c r="J180">
        <v>0</v>
      </c>
      <c r="K180">
        <v>0.1</v>
      </c>
      <c r="L180">
        <v>10</v>
      </c>
      <c r="M180" s="64">
        <f t="shared" si="4"/>
        <v>6.9795510948905104</v>
      </c>
      <c r="N180" s="64">
        <f t="shared" si="5"/>
        <v>0.99115094339622656</v>
      </c>
      <c r="O180" s="65">
        <f>MAX(QB!D182*Scoring!$B$30+QB!E182/Scoring!$C$30+QB!F182*Scoring!$D$30+QB!G182*Scoring!$E$30+QB!H182*Scoring!$F$30+QB!I182/Scoring!$G$30+QB!J182*Scoring!$H$30+QB!K182*Scoring!$I$30+M182*Scoring!$J$30+QB!N182*Scoring!$K$30,0)+C182*Scoring!$B$10*0.07+(C182-D182)*Scoring!$B$5</f>
        <v>7.6920000000000002</v>
      </c>
      <c r="P180" s="65">
        <f>MAX(QB!D180*Scoring!$B$30+QB!E180/Scoring!$C$30+QB!F180*Scoring!$D$30+QB!G180*Scoring!$E$30+QB!H180*Scoring!$F$30+QB!I180/Scoring!$G$30+QB!J180*Scoring!$H$30+QB!K180*Scoring!$I$30+M180*Scoring!$J$30+QB!N180*Scoring!$K$30,0)+C180*Scoring!$B$10*0.07+(C180-D180)*Scoring!$B$5</f>
        <v>9.7740000000000009</v>
      </c>
      <c r="Q180" s="65">
        <f>MAX(QB!D181*Scoring!$B$30+QB!E181/Scoring!$C$30+QB!F181*Scoring!$D$30+QB!G181*Scoring!$E$30+QB!H181*Scoring!$F$30+QB!I181/Scoring!$G$30+QB!J181*Scoring!$H$30+QB!K181*Scoring!$I$30+M181*Scoring!$J$30+QB!N181*Scoring!$K$30,0)+C181*Scoring!$B$10*0.07+(C181-D181)*Scoring!$B$5</f>
        <v>12.459999999999999</v>
      </c>
    </row>
    <row r="181" spans="1:17" ht="14.25" customHeight="1" x14ac:dyDescent="0.3">
      <c r="B181" t="s">
        <v>472</v>
      </c>
      <c r="C181">
        <v>21.2</v>
      </c>
      <c r="D181">
        <v>13</v>
      </c>
      <c r="E181">
        <v>159</v>
      </c>
      <c r="F181">
        <v>1</v>
      </c>
      <c r="G181">
        <v>0.6</v>
      </c>
      <c r="H181">
        <v>5</v>
      </c>
      <c r="I181">
        <v>21</v>
      </c>
      <c r="J181">
        <v>0.1</v>
      </c>
      <c r="K181">
        <v>0</v>
      </c>
      <c r="L181">
        <v>8</v>
      </c>
      <c r="M181" s="64">
        <f t="shared" si="4"/>
        <v>7.569908759124087</v>
      </c>
      <c r="N181" s="64">
        <f t="shared" si="5"/>
        <v>1.5888679245283022</v>
      </c>
      <c r="O181" s="65"/>
      <c r="P181" s="65"/>
      <c r="Q181" s="65"/>
    </row>
    <row r="182" spans="1:17" ht="14.25" customHeight="1" x14ac:dyDescent="0.3">
      <c r="B182" t="s">
        <v>473</v>
      </c>
      <c r="C182">
        <v>20</v>
      </c>
      <c r="D182">
        <v>12.9</v>
      </c>
      <c r="E182">
        <v>134.30000000000001</v>
      </c>
      <c r="F182">
        <v>0.8</v>
      </c>
      <c r="G182">
        <v>1</v>
      </c>
      <c r="H182">
        <v>1.2</v>
      </c>
      <c r="I182">
        <v>5.2</v>
      </c>
      <c r="J182">
        <v>0</v>
      </c>
      <c r="K182">
        <v>0.2</v>
      </c>
      <c r="L182">
        <v>7</v>
      </c>
      <c r="M182" s="64">
        <f t="shared" si="4"/>
        <v>6.3939543795620439</v>
      </c>
      <c r="N182" s="64">
        <f t="shared" si="5"/>
        <v>0.393433962264151</v>
      </c>
      <c r="O182" s="65"/>
      <c r="P182" s="65"/>
      <c r="Q182" s="65"/>
    </row>
    <row r="183" spans="1:17" ht="14.25" customHeight="1" x14ac:dyDescent="0.3">
      <c r="A183" t="s">
        <v>565</v>
      </c>
      <c r="B183" t="s">
        <v>481</v>
      </c>
      <c r="C183">
        <v>19</v>
      </c>
      <c r="D183">
        <v>13</v>
      </c>
      <c r="E183">
        <v>140</v>
      </c>
      <c r="F183">
        <v>1</v>
      </c>
      <c r="G183">
        <v>0</v>
      </c>
      <c r="H183">
        <v>5</v>
      </c>
      <c r="I183">
        <v>23</v>
      </c>
      <c r="J183">
        <v>0</v>
      </c>
      <c r="K183">
        <v>1</v>
      </c>
      <c r="L183">
        <v>9.9</v>
      </c>
      <c r="M183" s="64">
        <f t="shared" si="4"/>
        <v>6.6653284671532846</v>
      </c>
      <c r="N183" s="64">
        <f t="shared" si="5"/>
        <v>1.740188679245283</v>
      </c>
      <c r="O183" s="65">
        <f>MAX(QB!D185*Scoring!$B$30+QB!E185/Scoring!$C$30+QB!F185*Scoring!$D$30+QB!G185*Scoring!$E$30+QB!H185*Scoring!$F$30+QB!I185/Scoring!$G$30+QB!J185*Scoring!$H$30+QB!K185*Scoring!$I$30+M185*Scoring!$J$30+QB!N185*Scoring!$K$30,0)+C185*Scoring!$B$10*0.07+(C185-D185)*Scoring!$B$5</f>
        <v>9.8999999999999986</v>
      </c>
      <c r="P183" s="65">
        <f>MAX(QB!D183*Scoring!$B$30+QB!E183/Scoring!$C$30+QB!F183*Scoring!$D$30+QB!G183*Scoring!$E$30+QB!H183*Scoring!$F$30+QB!I183/Scoring!$G$30+QB!J183*Scoring!$H$30+QB!K183*Scoring!$I$30+M183*Scoring!$J$30+QB!N183*Scoring!$K$30,0)+C183*Scoring!$B$10*0.07+(C183-D183)*Scoring!$B$5</f>
        <v>9.8999999999999986</v>
      </c>
      <c r="Q183" s="65">
        <f>MAX(QB!D184*Scoring!$B$30+QB!E184/Scoring!$C$30+QB!F184*Scoring!$D$30+QB!G184*Scoring!$E$30+QB!H184*Scoring!$F$30+QB!I184/Scoring!$G$30+QB!J184*Scoring!$H$30+QB!K184*Scoring!$I$30+M184*Scoring!$J$30+QB!N184*Scoring!$K$30,0)+C184*Scoring!$B$10*0.07+(C184-D184)*Scoring!$B$5</f>
        <v>9.8999999999999986</v>
      </c>
    </row>
    <row r="184" spans="1:17" ht="14.25" customHeight="1" x14ac:dyDescent="0.3">
      <c r="B184" t="s">
        <v>472</v>
      </c>
      <c r="C184">
        <v>19</v>
      </c>
      <c r="D184">
        <v>13</v>
      </c>
      <c r="E184">
        <v>140</v>
      </c>
      <c r="F184">
        <v>1</v>
      </c>
      <c r="G184">
        <v>0</v>
      </c>
      <c r="H184">
        <v>5</v>
      </c>
      <c r="I184">
        <v>23</v>
      </c>
      <c r="J184">
        <v>0</v>
      </c>
      <c r="K184">
        <v>1</v>
      </c>
      <c r="L184">
        <v>7</v>
      </c>
      <c r="M184" s="64">
        <f t="shared" si="4"/>
        <v>6.6653284671532846</v>
      </c>
      <c r="N184" s="64">
        <f t="shared" si="5"/>
        <v>1.740188679245283</v>
      </c>
      <c r="O184" s="65"/>
      <c r="P184" s="65"/>
      <c r="Q184" s="65"/>
    </row>
    <row r="185" spans="1:17" ht="14.25" customHeight="1" x14ac:dyDescent="0.3">
      <c r="B185" t="s">
        <v>473</v>
      </c>
      <c r="C185">
        <v>19</v>
      </c>
      <c r="D185">
        <v>13</v>
      </c>
      <c r="E185">
        <v>140</v>
      </c>
      <c r="F185">
        <v>1</v>
      </c>
      <c r="G185">
        <v>0</v>
      </c>
      <c r="H185">
        <v>5</v>
      </c>
      <c r="I185">
        <v>23</v>
      </c>
      <c r="J185">
        <v>0</v>
      </c>
      <c r="K185">
        <v>1</v>
      </c>
      <c r="L185">
        <v>7</v>
      </c>
      <c r="M185" s="64">
        <f t="shared" si="4"/>
        <v>6.6653284671532846</v>
      </c>
      <c r="N185" s="64">
        <f t="shared" si="5"/>
        <v>1.740188679245283</v>
      </c>
      <c r="O185" s="65"/>
      <c r="P185" s="65"/>
      <c r="Q185" s="65"/>
    </row>
    <row r="186" spans="1:17" ht="14.25" customHeight="1" x14ac:dyDescent="0.3">
      <c r="A186" t="s">
        <v>570</v>
      </c>
      <c r="B186" t="s">
        <v>529</v>
      </c>
      <c r="C186">
        <v>23</v>
      </c>
      <c r="D186">
        <v>14.9</v>
      </c>
      <c r="E186">
        <v>160.19999999999999</v>
      </c>
      <c r="F186">
        <v>0.9</v>
      </c>
      <c r="G186">
        <v>0.5</v>
      </c>
      <c r="H186">
        <v>1.3</v>
      </c>
      <c r="I186">
        <v>5.7</v>
      </c>
      <c r="J186">
        <v>0.1</v>
      </c>
      <c r="K186">
        <v>0.2</v>
      </c>
      <c r="L186">
        <v>9.9</v>
      </c>
      <c r="M186" s="64">
        <f t="shared" si="4"/>
        <v>7.6270401459854016</v>
      </c>
      <c r="N186" s="64">
        <f t="shared" si="5"/>
        <v>0.43126415094339632</v>
      </c>
      <c r="O186" s="65">
        <f>MAX(QB!D188*Scoring!$B$30+QB!E188/Scoring!$C$30+QB!F188*Scoring!$D$30+QB!G188*Scoring!$E$30+QB!H188*Scoring!$F$30+QB!I188/Scoring!$G$30+QB!J188*Scoring!$H$30+QB!K188*Scoring!$I$30+M188*Scoring!$J$30+QB!N188*Scoring!$K$30,0)+C188*Scoring!$B$10*0.07+(C188-D188)*Scoring!$B$5</f>
        <v>10.277999999999999</v>
      </c>
      <c r="P186" s="65">
        <f>MAX(QB!D186*Scoring!$B$30+QB!E186/Scoring!$C$30+QB!F186*Scoring!$D$30+QB!G186*Scoring!$E$30+QB!H186*Scoring!$F$30+QB!I186/Scoring!$G$30+QB!J186*Scoring!$H$30+QB!K186*Scoring!$I$30+M186*Scoring!$J$30+QB!N186*Scoring!$K$30,0)+C186*Scoring!$B$10*0.07+(C186-D186)*Scoring!$B$5</f>
        <v>10.277999999999999</v>
      </c>
      <c r="Q186" s="65">
        <f>MAX(QB!D187*Scoring!$B$30+QB!E187/Scoring!$C$30+QB!F187*Scoring!$D$30+QB!G187*Scoring!$E$30+QB!H187*Scoring!$F$30+QB!I187/Scoring!$G$30+QB!J187*Scoring!$H$30+QB!K187*Scoring!$I$30+M187*Scoring!$J$30+QB!N187*Scoring!$K$30,0)+C187*Scoring!$B$10*0.07+(C187-D187)*Scoring!$B$5</f>
        <v>10.277999999999999</v>
      </c>
    </row>
    <row r="187" spans="1:17" ht="14.25" customHeight="1" x14ac:dyDescent="0.3">
      <c r="B187" t="s">
        <v>472</v>
      </c>
      <c r="C187">
        <v>23</v>
      </c>
      <c r="D187">
        <v>14.9</v>
      </c>
      <c r="E187">
        <v>160.19999999999999</v>
      </c>
      <c r="F187">
        <v>0.9</v>
      </c>
      <c r="G187">
        <v>0.5</v>
      </c>
      <c r="H187">
        <v>1.3</v>
      </c>
      <c r="I187">
        <v>5.7</v>
      </c>
      <c r="J187">
        <v>0.1</v>
      </c>
      <c r="K187">
        <v>0.2</v>
      </c>
      <c r="L187">
        <v>9.5</v>
      </c>
      <c r="M187" s="64">
        <f t="shared" si="4"/>
        <v>7.6270401459854016</v>
      </c>
      <c r="N187" s="64">
        <f t="shared" si="5"/>
        <v>0.43126415094339632</v>
      </c>
      <c r="O187" s="65"/>
      <c r="P187" s="65"/>
      <c r="Q187" s="65"/>
    </row>
    <row r="188" spans="1:17" ht="14.25" customHeight="1" x14ac:dyDescent="0.3">
      <c r="B188" t="s">
        <v>473</v>
      </c>
      <c r="C188">
        <v>23</v>
      </c>
      <c r="D188">
        <v>14.9</v>
      </c>
      <c r="E188">
        <v>160.19999999999999</v>
      </c>
      <c r="F188">
        <v>0.9</v>
      </c>
      <c r="G188">
        <v>0.5</v>
      </c>
      <c r="H188">
        <v>1.3</v>
      </c>
      <c r="I188">
        <v>5.7</v>
      </c>
      <c r="J188">
        <v>0.1</v>
      </c>
      <c r="K188">
        <v>0.2</v>
      </c>
      <c r="L188">
        <v>9.5</v>
      </c>
      <c r="M188" s="64">
        <f t="shared" si="4"/>
        <v>7.6270401459854016</v>
      </c>
      <c r="N188" s="64">
        <f t="shared" si="5"/>
        <v>0.43126415094339632</v>
      </c>
      <c r="O188" s="65"/>
      <c r="P188" s="65"/>
      <c r="Q188" s="65"/>
    </row>
    <row r="189" spans="1:17" ht="14.25" customHeight="1" x14ac:dyDescent="0.3">
      <c r="A189" t="s">
        <v>567</v>
      </c>
      <c r="B189" t="s">
        <v>527</v>
      </c>
      <c r="C189">
        <v>22.9</v>
      </c>
      <c r="D189">
        <v>14.3</v>
      </c>
      <c r="E189">
        <v>147.80000000000001</v>
      </c>
      <c r="F189">
        <v>0.8</v>
      </c>
      <c r="G189">
        <v>0.3</v>
      </c>
      <c r="H189">
        <v>2.4</v>
      </c>
      <c r="I189">
        <v>8.8000000000000007</v>
      </c>
      <c r="J189">
        <v>0</v>
      </c>
      <c r="K189">
        <v>0.1</v>
      </c>
      <c r="L189">
        <v>9.6999999999999993</v>
      </c>
      <c r="M189" s="64">
        <f t="shared" si="4"/>
        <v>7.0366824817518259</v>
      </c>
      <c r="N189" s="64">
        <f t="shared" si="5"/>
        <v>0.66581132075471705</v>
      </c>
      <c r="O189" s="65">
        <f>MAX(QB!D191*Scoring!$B$30+QB!E191/Scoring!$C$30+QB!F191*Scoring!$D$30+QB!G191*Scoring!$E$30+QB!H191*Scoring!$F$30+QB!I191/Scoring!$G$30+QB!J191*Scoring!$H$30+QB!K191*Scoring!$I$30+M191*Scoring!$J$30+QB!N191*Scoring!$K$30,0)+C191*Scoring!$B$10*0.07+(C191-D191)*Scoring!$B$5</f>
        <v>7.32</v>
      </c>
      <c r="P189" s="65">
        <f>MAX(QB!D189*Scoring!$B$30+QB!E189/Scoring!$C$30+QB!F189*Scoring!$D$30+QB!G189*Scoring!$E$30+QB!H189*Scoring!$F$30+QB!I189/Scoring!$G$30+QB!J189*Scoring!$H$30+QB!K189*Scoring!$I$30+M189*Scoring!$J$30+QB!N189*Scoring!$K$30,0)+C189*Scoring!$B$10*0.07+(C189-D189)*Scoring!$B$5</f>
        <v>9.4920000000000027</v>
      </c>
      <c r="Q189" s="65">
        <f>MAX(QB!D190*Scoring!$B$30+QB!E190/Scoring!$C$30+QB!F190*Scoring!$D$30+QB!G190*Scoring!$E$30+QB!H190*Scoring!$F$30+QB!I190/Scoring!$G$30+QB!J190*Scoring!$H$30+QB!K190*Scoring!$I$30+M190*Scoring!$J$30+QB!N190*Scoring!$K$30,0)+C190*Scoring!$B$10*0.07+(C190-D190)*Scoring!$B$5</f>
        <v>11.66</v>
      </c>
    </row>
    <row r="190" spans="1:17" ht="14.25" customHeight="1" x14ac:dyDescent="0.3">
      <c r="B190" t="s">
        <v>472</v>
      </c>
      <c r="C190">
        <v>24</v>
      </c>
      <c r="D190">
        <v>15</v>
      </c>
      <c r="E190">
        <v>154</v>
      </c>
      <c r="F190">
        <v>1</v>
      </c>
      <c r="G190">
        <v>0</v>
      </c>
      <c r="H190">
        <v>4</v>
      </c>
      <c r="I190">
        <v>15</v>
      </c>
      <c r="J190">
        <v>0</v>
      </c>
      <c r="K190">
        <v>0</v>
      </c>
      <c r="L190">
        <v>8</v>
      </c>
      <c r="M190" s="64">
        <f t="shared" si="4"/>
        <v>7.3318613138686137</v>
      </c>
      <c r="N190" s="64">
        <f t="shared" si="5"/>
        <v>1.1349056603773586</v>
      </c>
      <c r="O190" s="65"/>
      <c r="P190" s="65"/>
      <c r="Q190" s="65"/>
    </row>
    <row r="191" spans="1:17" ht="14.25" customHeight="1" x14ac:dyDescent="0.3">
      <c r="B191" t="s">
        <v>473</v>
      </c>
      <c r="C191">
        <v>21.7</v>
      </c>
      <c r="D191">
        <v>13.6</v>
      </c>
      <c r="E191">
        <v>141.5</v>
      </c>
      <c r="F191">
        <v>0.6</v>
      </c>
      <c r="G191">
        <v>0.6</v>
      </c>
      <c r="H191">
        <v>0.9</v>
      </c>
      <c r="I191">
        <v>2.6</v>
      </c>
      <c r="J191">
        <v>0</v>
      </c>
      <c r="K191">
        <v>0.2</v>
      </c>
      <c r="L191">
        <v>7.1</v>
      </c>
      <c r="M191" s="64">
        <f t="shared" si="4"/>
        <v>6.7367427007299261</v>
      </c>
      <c r="N191" s="64">
        <f t="shared" si="5"/>
        <v>0.19671698113207553</v>
      </c>
      <c r="O191" s="65"/>
      <c r="P191" s="65"/>
      <c r="Q191" s="65"/>
    </row>
    <row r="192" spans="1:17" ht="14.25" customHeight="1" x14ac:dyDescent="0.3">
      <c r="A192" t="s">
        <v>569</v>
      </c>
      <c r="B192" t="s">
        <v>523</v>
      </c>
      <c r="C192">
        <v>20.6</v>
      </c>
      <c r="D192">
        <v>13.1</v>
      </c>
      <c r="E192">
        <v>136.9</v>
      </c>
      <c r="F192">
        <v>0.9</v>
      </c>
      <c r="G192">
        <v>0.6</v>
      </c>
      <c r="H192">
        <v>1.8</v>
      </c>
      <c r="I192">
        <v>8.1999999999999993</v>
      </c>
      <c r="J192">
        <v>0</v>
      </c>
      <c r="K192">
        <v>0.1</v>
      </c>
      <c r="L192">
        <v>9.4</v>
      </c>
      <c r="M192" s="64">
        <f t="shared" si="4"/>
        <v>6.5177390510948907</v>
      </c>
      <c r="N192" s="64">
        <f t="shared" si="5"/>
        <v>0.62041509433962261</v>
      </c>
      <c r="O192" s="65">
        <f>MAX(QB!D194*Scoring!$B$30+QB!E194/Scoring!$C$30+QB!F194*Scoring!$D$30+QB!G194*Scoring!$E$30+QB!H194*Scoring!$F$30+QB!I194/Scoring!$G$30+QB!J194*Scoring!$H$30+QB!K194*Scoring!$I$30+M194*Scoring!$J$30+QB!N194*Scoring!$K$30,0)+C194*Scoring!$B$10*0.07+(C194-D194)*Scoring!$B$5</f>
        <v>6.07</v>
      </c>
      <c r="P192" s="65">
        <f>MAX(QB!D192*Scoring!$B$30+QB!E192/Scoring!$C$30+QB!F192*Scoring!$D$30+QB!G192*Scoring!$E$30+QB!H192*Scoring!$F$30+QB!I192/Scoring!$G$30+QB!J192*Scoring!$H$30+QB!K192*Scoring!$I$30+M192*Scoring!$J$30+QB!N192*Scoring!$K$30,0)+C192*Scoring!$B$10*0.07+(C192-D192)*Scoring!$B$5</f>
        <v>9.0960000000000019</v>
      </c>
      <c r="Q192" s="65">
        <f>MAX(QB!D193*Scoring!$B$30+QB!E193/Scoring!$C$30+QB!F193*Scoring!$D$30+QB!G193*Scoring!$E$30+QB!H193*Scoring!$F$30+QB!I193/Scoring!$G$30+QB!J193*Scoring!$H$30+QB!K193*Scoring!$I$30+M193*Scoring!$J$30+QB!N193*Scoring!$K$30,0)+C193*Scoring!$B$10*0.07+(C193-D193)*Scoring!$B$5</f>
        <v>12.58</v>
      </c>
    </row>
    <row r="193" spans="1:17" ht="14.25" customHeight="1" x14ac:dyDescent="0.3">
      <c r="B193" t="s">
        <v>472</v>
      </c>
      <c r="C193">
        <v>25</v>
      </c>
      <c r="D193">
        <v>16</v>
      </c>
      <c r="E193">
        <v>177</v>
      </c>
      <c r="F193">
        <v>1</v>
      </c>
      <c r="G193">
        <v>0</v>
      </c>
      <c r="H193">
        <v>2</v>
      </c>
      <c r="I193">
        <v>9</v>
      </c>
      <c r="J193">
        <v>0.1</v>
      </c>
      <c r="K193">
        <v>0</v>
      </c>
      <c r="L193">
        <v>12</v>
      </c>
      <c r="M193" s="64">
        <f t="shared" si="4"/>
        <v>8.426879562043796</v>
      </c>
      <c r="N193" s="64">
        <f t="shared" si="5"/>
        <v>0.6809433962264152</v>
      </c>
      <c r="O193" s="65"/>
      <c r="P193" s="65"/>
      <c r="Q193" s="65"/>
    </row>
    <row r="194" spans="1:17" ht="14.25" customHeight="1" x14ac:dyDescent="0.3">
      <c r="B194" t="s">
        <v>473</v>
      </c>
      <c r="C194">
        <v>15</v>
      </c>
      <c r="D194">
        <v>10</v>
      </c>
      <c r="E194">
        <v>90</v>
      </c>
      <c r="F194">
        <v>0.8</v>
      </c>
      <c r="G194">
        <v>1</v>
      </c>
      <c r="H194">
        <v>1.5</v>
      </c>
      <c r="I194">
        <v>6.7</v>
      </c>
      <c r="J194">
        <v>0</v>
      </c>
      <c r="K194">
        <v>0.2</v>
      </c>
      <c r="L194">
        <v>7</v>
      </c>
      <c r="M194" s="64">
        <f t="shared" si="4"/>
        <v>4.2848540145985403</v>
      </c>
      <c r="N194" s="64">
        <f t="shared" si="5"/>
        <v>0.50692452830188683</v>
      </c>
      <c r="O194" s="65"/>
      <c r="P194" s="65"/>
      <c r="Q194" s="65"/>
    </row>
    <row r="195" spans="1:17" ht="14.25" customHeight="1" x14ac:dyDescent="0.3">
      <c r="A195" t="s">
        <v>572</v>
      </c>
      <c r="B195" t="s">
        <v>481</v>
      </c>
      <c r="C195">
        <v>14</v>
      </c>
      <c r="D195">
        <v>9</v>
      </c>
      <c r="E195">
        <v>105</v>
      </c>
      <c r="F195">
        <v>1</v>
      </c>
      <c r="G195">
        <v>0</v>
      </c>
      <c r="H195">
        <v>2</v>
      </c>
      <c r="I195">
        <v>10</v>
      </c>
      <c r="J195">
        <v>0</v>
      </c>
      <c r="K195">
        <v>0</v>
      </c>
      <c r="L195">
        <v>9.1999999999999993</v>
      </c>
      <c r="M195" s="64">
        <f t="shared" ref="M195:M258" si="6">IFERROR(((E195/D195)/10.96)*0.5218*D195,0)</f>
        <v>4.9989963503649628</v>
      </c>
      <c r="N195" s="64">
        <f t="shared" ref="N195:N258" si="7">IFERROR((((I195/H195)/5.3)*0.401)*H195,0)</f>
        <v>0.75660377358490571</v>
      </c>
      <c r="O195" s="65">
        <f>MAX(QB!D197*Scoring!$B$30+QB!E197/Scoring!$C$30+QB!F197*Scoring!$D$30+QB!G197*Scoring!$E$30+QB!H197*Scoring!$F$30+QB!I197/Scoring!$G$30+QB!J197*Scoring!$H$30+QB!K197*Scoring!$I$30+M197*Scoring!$J$30+QB!N197*Scoring!$K$30,0)+C197*Scoring!$B$10*0.07+(C197-D197)*Scoring!$B$5</f>
        <v>9.1999999999999993</v>
      </c>
      <c r="P195" s="65">
        <f>MAX(QB!D195*Scoring!$B$30+QB!E195/Scoring!$C$30+QB!F195*Scoring!$D$30+QB!G195*Scoring!$E$30+QB!H195*Scoring!$F$30+QB!I195/Scoring!$G$30+QB!J195*Scoring!$H$30+QB!K195*Scoring!$I$30+M195*Scoring!$J$30+QB!N195*Scoring!$K$30,0)+C195*Scoring!$B$10*0.07+(C195-D195)*Scoring!$B$5</f>
        <v>9.1999999999999993</v>
      </c>
      <c r="Q195" s="65">
        <f>MAX(QB!D196*Scoring!$B$30+QB!E196/Scoring!$C$30+QB!F196*Scoring!$D$30+QB!G196*Scoring!$E$30+QB!H196*Scoring!$F$30+QB!I196/Scoring!$G$30+QB!J196*Scoring!$H$30+QB!K196*Scoring!$I$30+M196*Scoring!$J$30+QB!N196*Scoring!$K$30,0)+C196*Scoring!$B$10*0.07+(C196-D196)*Scoring!$B$5</f>
        <v>9.1999999999999993</v>
      </c>
    </row>
    <row r="196" spans="1:17" ht="14.25" customHeight="1" x14ac:dyDescent="0.3">
      <c r="B196" t="s">
        <v>472</v>
      </c>
      <c r="C196">
        <v>14</v>
      </c>
      <c r="D196">
        <v>9</v>
      </c>
      <c r="E196">
        <v>105</v>
      </c>
      <c r="F196">
        <v>1</v>
      </c>
      <c r="G196">
        <v>0</v>
      </c>
      <c r="H196">
        <v>2</v>
      </c>
      <c r="I196">
        <v>10</v>
      </c>
      <c r="J196">
        <v>0</v>
      </c>
      <c r="K196">
        <v>0</v>
      </c>
      <c r="L196">
        <v>8</v>
      </c>
      <c r="M196" s="64">
        <f t="shared" si="6"/>
        <v>4.9989963503649628</v>
      </c>
      <c r="N196" s="64">
        <f t="shared" si="7"/>
        <v>0.75660377358490571</v>
      </c>
      <c r="O196" s="65"/>
      <c r="P196" s="65"/>
      <c r="Q196" s="65"/>
    </row>
    <row r="197" spans="1:17" ht="14.25" customHeight="1" x14ac:dyDescent="0.3">
      <c r="B197" t="s">
        <v>473</v>
      </c>
      <c r="C197">
        <v>14</v>
      </c>
      <c r="D197">
        <v>9</v>
      </c>
      <c r="E197">
        <v>105</v>
      </c>
      <c r="F197">
        <v>1</v>
      </c>
      <c r="G197">
        <v>0</v>
      </c>
      <c r="H197">
        <v>2</v>
      </c>
      <c r="I197">
        <v>10</v>
      </c>
      <c r="J197">
        <v>0</v>
      </c>
      <c r="K197">
        <v>0</v>
      </c>
      <c r="L197">
        <v>8</v>
      </c>
      <c r="M197" s="64">
        <f t="shared" si="6"/>
        <v>4.9989963503649628</v>
      </c>
      <c r="N197" s="64">
        <f t="shared" si="7"/>
        <v>0.75660377358490571</v>
      </c>
      <c r="O197" s="65"/>
      <c r="P197" s="65"/>
      <c r="Q197" s="65"/>
    </row>
    <row r="198" spans="1:17" ht="14.25" customHeight="1" x14ac:dyDescent="0.3">
      <c r="A198" t="s">
        <v>574</v>
      </c>
      <c r="B198" t="s">
        <v>471</v>
      </c>
      <c r="C198">
        <v>21</v>
      </c>
      <c r="D198">
        <v>12.4</v>
      </c>
      <c r="E198">
        <v>138.4</v>
      </c>
      <c r="F198">
        <v>1</v>
      </c>
      <c r="G198">
        <v>0.6</v>
      </c>
      <c r="H198">
        <v>2</v>
      </c>
      <c r="I198">
        <v>3.6</v>
      </c>
      <c r="J198">
        <v>0</v>
      </c>
      <c r="K198">
        <v>0.1</v>
      </c>
      <c r="L198">
        <v>9.1</v>
      </c>
      <c r="M198" s="64">
        <f t="shared" si="6"/>
        <v>6.5891532846715339</v>
      </c>
      <c r="N198" s="64">
        <f t="shared" si="7"/>
        <v>0.2723773584905661</v>
      </c>
      <c r="O198" s="65">
        <f>MAX(QB!D200*Scoring!$B$30+QB!E200/Scoring!$C$30+QB!F200*Scoring!$D$30+QB!G200*Scoring!$E$30+QB!H200*Scoring!$F$30+QB!I200/Scoring!$G$30+QB!J200*Scoring!$H$30+QB!K200*Scoring!$I$30+M200*Scoring!$J$30+QB!N200*Scoring!$K$30,0)+C200*Scoring!$B$10*0.07+(C200-D200)*Scoring!$B$5</f>
        <v>6.2399999999999993</v>
      </c>
      <c r="P198" s="65">
        <f>MAX(QB!D198*Scoring!$B$30+QB!E198/Scoring!$C$30+QB!F198*Scoring!$D$30+QB!G198*Scoring!$E$30+QB!H198*Scoring!$F$30+QB!I198/Scoring!$G$30+QB!J198*Scoring!$H$30+QB!K198*Scoring!$I$30+M198*Scoring!$J$30+QB!N198*Scoring!$K$30,0)+C198*Scoring!$B$10*0.07+(C198-D198)*Scoring!$B$5</f>
        <v>9.0960000000000019</v>
      </c>
      <c r="Q198" s="65">
        <f>MAX(QB!D199*Scoring!$B$30+QB!E199/Scoring!$C$30+QB!F199*Scoring!$D$30+QB!G199*Scoring!$E$30+QB!H199*Scoring!$F$30+QB!I199/Scoring!$G$30+QB!J199*Scoring!$H$30+QB!K199*Scoring!$I$30+M199*Scoring!$J$30+QB!N199*Scoring!$K$30,0)+C199*Scoring!$B$10*0.07+(C199-D199)*Scoring!$B$5</f>
        <v>11.84</v>
      </c>
    </row>
    <row r="199" spans="1:17" ht="14.25" customHeight="1" x14ac:dyDescent="0.3">
      <c r="B199" t="s">
        <v>472</v>
      </c>
      <c r="C199">
        <v>26</v>
      </c>
      <c r="D199">
        <v>16</v>
      </c>
      <c r="E199">
        <v>181</v>
      </c>
      <c r="F199">
        <v>1</v>
      </c>
      <c r="G199">
        <v>0</v>
      </c>
      <c r="H199">
        <v>3</v>
      </c>
      <c r="I199">
        <v>6</v>
      </c>
      <c r="J199">
        <v>0</v>
      </c>
      <c r="K199">
        <v>0</v>
      </c>
      <c r="L199">
        <v>11.8</v>
      </c>
      <c r="M199" s="64">
        <f t="shared" si="6"/>
        <v>8.6173175182481749</v>
      </c>
      <c r="N199" s="64">
        <f t="shared" si="7"/>
        <v>0.45396226415094343</v>
      </c>
      <c r="O199" s="65"/>
      <c r="P199" s="65"/>
      <c r="Q199" s="65"/>
    </row>
    <row r="200" spans="1:17" ht="14.25" customHeight="1" x14ac:dyDescent="0.3">
      <c r="B200" t="s">
        <v>473</v>
      </c>
      <c r="C200">
        <v>15</v>
      </c>
      <c r="D200">
        <v>8</v>
      </c>
      <c r="E200">
        <v>96</v>
      </c>
      <c r="F200">
        <v>0.9</v>
      </c>
      <c r="G200">
        <v>1</v>
      </c>
      <c r="H200">
        <v>1.1000000000000001</v>
      </c>
      <c r="I200">
        <v>2</v>
      </c>
      <c r="J200">
        <v>0</v>
      </c>
      <c r="K200">
        <v>0.2</v>
      </c>
      <c r="L200">
        <v>7</v>
      </c>
      <c r="M200" s="64">
        <f t="shared" si="6"/>
        <v>4.5705109489051097</v>
      </c>
      <c r="N200" s="64">
        <f t="shared" si="7"/>
        <v>0.15132075471698114</v>
      </c>
      <c r="O200" s="65"/>
      <c r="P200" s="65"/>
      <c r="Q200" s="65"/>
    </row>
    <row r="201" spans="1:17" ht="14.25" customHeight="1" x14ac:dyDescent="0.3">
      <c r="A201" t="s">
        <v>575</v>
      </c>
      <c r="B201" t="s">
        <v>525</v>
      </c>
      <c r="C201">
        <v>21.5</v>
      </c>
      <c r="D201">
        <v>13</v>
      </c>
      <c r="E201">
        <v>137</v>
      </c>
      <c r="F201">
        <v>0.9</v>
      </c>
      <c r="G201">
        <v>0.6</v>
      </c>
      <c r="H201">
        <v>2.4</v>
      </c>
      <c r="I201">
        <v>5.8</v>
      </c>
      <c r="J201">
        <v>0</v>
      </c>
      <c r="K201">
        <v>0.1</v>
      </c>
      <c r="L201">
        <v>9</v>
      </c>
      <c r="M201" s="64">
        <f t="shared" si="6"/>
        <v>6.5225</v>
      </c>
      <c r="N201" s="64">
        <f t="shared" si="7"/>
        <v>0.43883018867924534</v>
      </c>
      <c r="O201" s="65">
        <f>MAX(QB!D203*Scoring!$B$30+QB!E203/Scoring!$C$30+QB!F203*Scoring!$D$30+QB!G203*Scoring!$E$30+QB!H203*Scoring!$F$30+QB!I203/Scoring!$G$30+QB!J203*Scoring!$H$30+QB!K203*Scoring!$I$30+M203*Scoring!$J$30+QB!N203*Scoring!$K$30,0)+C203*Scoring!$B$10*0.07+(C203-D203)*Scoring!$B$5</f>
        <v>6.77</v>
      </c>
      <c r="P201" s="65">
        <f>MAX(QB!D201*Scoring!$B$30+QB!E201/Scoring!$C$30+QB!F201*Scoring!$D$30+QB!G201*Scoring!$E$30+QB!H201*Scoring!$F$30+QB!I201/Scoring!$G$30+QB!J201*Scoring!$H$30+QB!K201*Scoring!$I$30+M201*Scoring!$J$30+QB!N201*Scoring!$K$30,0)+C201*Scoring!$B$10*0.07+(C201-D201)*Scoring!$B$5</f>
        <v>8.8600000000000012</v>
      </c>
      <c r="Q201" s="65">
        <f>MAX(QB!D202*Scoring!$B$30+QB!E202/Scoring!$C$30+QB!F202*Scoring!$D$30+QB!G202*Scoring!$E$30+QB!H202*Scoring!$F$30+QB!I202/Scoring!$G$30+QB!J202*Scoring!$H$30+QB!K202*Scoring!$I$30+M202*Scoring!$J$30+QB!N202*Scoring!$K$30,0)+C202*Scoring!$B$10*0.07+(C202-D202)*Scoring!$B$5</f>
        <v>11.564</v>
      </c>
    </row>
    <row r="202" spans="1:17" ht="14.25" customHeight="1" x14ac:dyDescent="0.3">
      <c r="B202" t="s">
        <v>472</v>
      </c>
      <c r="C202">
        <v>23.6</v>
      </c>
      <c r="D202">
        <v>15</v>
      </c>
      <c r="E202">
        <v>154.1</v>
      </c>
      <c r="F202">
        <v>1</v>
      </c>
      <c r="G202">
        <v>0</v>
      </c>
      <c r="H202">
        <v>4</v>
      </c>
      <c r="I202">
        <v>8</v>
      </c>
      <c r="J202">
        <v>0.1</v>
      </c>
      <c r="K202">
        <v>0</v>
      </c>
      <c r="L202">
        <v>10.199999999999999</v>
      </c>
      <c r="M202" s="64">
        <f t="shared" si="6"/>
        <v>7.3366222627737221</v>
      </c>
      <c r="N202" s="64">
        <f t="shared" si="7"/>
        <v>0.60528301886792457</v>
      </c>
      <c r="O202" s="65"/>
      <c r="P202" s="65"/>
      <c r="Q202" s="65"/>
    </row>
    <row r="203" spans="1:17" ht="14.25" customHeight="1" x14ac:dyDescent="0.3">
      <c r="B203" t="s">
        <v>473</v>
      </c>
      <c r="C203">
        <v>18</v>
      </c>
      <c r="D203">
        <v>12</v>
      </c>
      <c r="E203">
        <v>123</v>
      </c>
      <c r="F203">
        <v>0.7</v>
      </c>
      <c r="G203">
        <v>1</v>
      </c>
      <c r="H203">
        <v>1.1000000000000001</v>
      </c>
      <c r="I203">
        <v>2.5</v>
      </c>
      <c r="J203">
        <v>0</v>
      </c>
      <c r="K203">
        <v>0.1</v>
      </c>
      <c r="L203">
        <v>7.8</v>
      </c>
      <c r="M203" s="64">
        <f t="shared" si="6"/>
        <v>5.8559671532846718</v>
      </c>
      <c r="N203" s="64">
        <f t="shared" si="7"/>
        <v>0.18915094339622643</v>
      </c>
      <c r="O203" s="65"/>
      <c r="P203" s="65"/>
      <c r="Q203" s="65"/>
    </row>
    <row r="204" spans="1:17" ht="14.25" customHeight="1" x14ac:dyDescent="0.3">
      <c r="A204" t="s">
        <v>573</v>
      </c>
      <c r="B204" t="s">
        <v>517</v>
      </c>
      <c r="C204">
        <v>11</v>
      </c>
      <c r="D204">
        <v>7</v>
      </c>
      <c r="E204">
        <v>89</v>
      </c>
      <c r="F204">
        <v>1</v>
      </c>
      <c r="G204">
        <v>0</v>
      </c>
      <c r="H204">
        <v>5</v>
      </c>
      <c r="I204">
        <v>14</v>
      </c>
      <c r="J204">
        <v>0</v>
      </c>
      <c r="K204">
        <v>0</v>
      </c>
      <c r="L204">
        <v>9</v>
      </c>
      <c r="M204" s="64">
        <f t="shared" si="6"/>
        <v>4.2372445255474451</v>
      </c>
      <c r="N204" s="64">
        <f t="shared" si="7"/>
        <v>1.0592452830188679</v>
      </c>
      <c r="O204" s="65">
        <f>MAX(QB!D206*Scoring!$B$30+QB!E206/Scoring!$C$30+QB!F206*Scoring!$D$30+QB!G206*Scoring!$E$30+QB!H206*Scoring!$F$30+QB!I206/Scoring!$G$30+QB!J206*Scoring!$H$30+QB!K206*Scoring!$I$30+M206*Scoring!$J$30+QB!N206*Scoring!$K$30,0)+C206*Scoring!$B$10*0.07+(C206-D206)*Scoring!$B$5</f>
        <v>8.9600000000000009</v>
      </c>
      <c r="P204" s="65">
        <f>MAX(QB!D204*Scoring!$B$30+QB!E204/Scoring!$C$30+QB!F204*Scoring!$D$30+QB!G204*Scoring!$E$30+QB!H204*Scoring!$F$30+QB!I204/Scoring!$G$30+QB!J204*Scoring!$H$30+QB!K204*Scoring!$I$30+M204*Scoring!$J$30+QB!N204*Scoring!$K$30,0)+C204*Scoring!$B$10*0.07+(C204-D204)*Scoring!$B$5</f>
        <v>8.9600000000000009</v>
      </c>
      <c r="Q204" s="65">
        <f>MAX(QB!D205*Scoring!$B$30+QB!E205/Scoring!$C$30+QB!F205*Scoring!$D$30+QB!G205*Scoring!$E$30+QB!H205*Scoring!$F$30+QB!I205/Scoring!$G$30+QB!J205*Scoring!$H$30+QB!K205*Scoring!$I$30+M205*Scoring!$J$30+QB!N205*Scoring!$K$30,0)+C205*Scoring!$B$10*0.07+(C205-D205)*Scoring!$B$5</f>
        <v>8.9600000000000009</v>
      </c>
    </row>
    <row r="205" spans="1:17" ht="14.25" customHeight="1" x14ac:dyDescent="0.3">
      <c r="B205" t="s">
        <v>472</v>
      </c>
      <c r="C205">
        <v>11</v>
      </c>
      <c r="D205">
        <v>7</v>
      </c>
      <c r="E205">
        <v>89</v>
      </c>
      <c r="F205">
        <v>1</v>
      </c>
      <c r="G205">
        <v>0</v>
      </c>
      <c r="H205">
        <v>5</v>
      </c>
      <c r="I205">
        <v>14</v>
      </c>
      <c r="J205">
        <v>0</v>
      </c>
      <c r="K205">
        <v>0</v>
      </c>
      <c r="L205">
        <v>7</v>
      </c>
      <c r="M205" s="64">
        <f t="shared" si="6"/>
        <v>4.2372445255474451</v>
      </c>
      <c r="N205" s="64">
        <f t="shared" si="7"/>
        <v>1.0592452830188679</v>
      </c>
      <c r="O205" s="65"/>
      <c r="P205" s="65"/>
      <c r="Q205" s="65"/>
    </row>
    <row r="206" spans="1:17" ht="14.25" customHeight="1" x14ac:dyDescent="0.3">
      <c r="B206" t="s">
        <v>473</v>
      </c>
      <c r="C206">
        <v>11</v>
      </c>
      <c r="D206">
        <v>7</v>
      </c>
      <c r="E206">
        <v>89</v>
      </c>
      <c r="F206">
        <v>1</v>
      </c>
      <c r="G206">
        <v>0</v>
      </c>
      <c r="H206">
        <v>5</v>
      </c>
      <c r="I206">
        <v>14</v>
      </c>
      <c r="J206">
        <v>0</v>
      </c>
      <c r="K206">
        <v>0</v>
      </c>
      <c r="L206">
        <v>7</v>
      </c>
      <c r="M206" s="64">
        <f t="shared" si="6"/>
        <v>4.2372445255474451</v>
      </c>
      <c r="N206" s="64">
        <f t="shared" si="7"/>
        <v>1.0592452830188679</v>
      </c>
      <c r="O206" s="65"/>
      <c r="P206" s="65"/>
      <c r="Q206" s="65"/>
    </row>
    <row r="207" spans="1:17" ht="14.25" customHeight="1" x14ac:dyDescent="0.3">
      <c r="A207" t="s">
        <v>1813</v>
      </c>
      <c r="B207" t="s">
        <v>513</v>
      </c>
      <c r="C207">
        <v>18.100000000000001</v>
      </c>
      <c r="D207">
        <v>11.7</v>
      </c>
      <c r="E207">
        <v>123.9</v>
      </c>
      <c r="F207">
        <v>0.8</v>
      </c>
      <c r="G207">
        <v>0.8</v>
      </c>
      <c r="H207">
        <v>1.6</v>
      </c>
      <c r="I207">
        <v>6.8</v>
      </c>
      <c r="J207">
        <v>0</v>
      </c>
      <c r="K207">
        <v>0.1</v>
      </c>
      <c r="L207">
        <v>8</v>
      </c>
      <c r="M207" s="64">
        <f t="shared" si="6"/>
        <v>5.8988156934306568</v>
      </c>
      <c r="N207" s="64">
        <f t="shared" si="7"/>
        <v>0.51449056603773591</v>
      </c>
      <c r="O207" s="65">
        <f>MAX(QB!D209*Scoring!$B$30+QB!E209/Scoring!$C$30+QB!F209*Scoring!$D$30+QB!G209*Scoring!$E$30+QB!H209*Scoring!$F$30+QB!I209/Scoring!$G$30+QB!J209*Scoring!$H$30+QB!K209*Scoring!$I$30+M209*Scoring!$J$30+QB!N209*Scoring!$K$30,0)+C209*Scoring!$B$10*0.07+(C209-D209)*Scoring!$B$5</f>
        <v>5.27</v>
      </c>
      <c r="P207" s="65">
        <f>MAX(QB!D207*Scoring!$B$30+QB!E207/Scoring!$C$30+QB!F207*Scoring!$D$30+QB!G207*Scoring!$E$30+QB!H207*Scoring!$F$30+QB!I207/Scoring!$G$30+QB!J207*Scoring!$H$30+QB!K207*Scoring!$I$30+M207*Scoring!$J$30+QB!N207*Scoring!$K$30,0)+C207*Scoring!$B$10*0.07+(C207-D207)*Scoring!$B$5</f>
        <v>7.8360000000000012</v>
      </c>
      <c r="Q207" s="65">
        <f>MAX(QB!D208*Scoring!$B$30+QB!E208/Scoring!$C$30+QB!F208*Scoring!$D$30+QB!G208*Scoring!$E$30+QB!H208*Scoring!$F$30+QB!I208/Scoring!$G$30+QB!J208*Scoring!$H$30+QB!K208*Scoring!$I$30+M208*Scoring!$J$30+QB!N208*Scoring!$K$30,0)+C208*Scoring!$B$10*0.07+(C208-D208)*Scoring!$B$5</f>
        <v>10.496000000000002</v>
      </c>
    </row>
    <row r="208" spans="1:17" ht="14.25" customHeight="1" x14ac:dyDescent="0.3">
      <c r="B208" t="s">
        <v>472</v>
      </c>
      <c r="C208">
        <v>22.3</v>
      </c>
      <c r="D208">
        <v>14.3</v>
      </c>
      <c r="E208">
        <v>154.9</v>
      </c>
      <c r="F208">
        <v>1</v>
      </c>
      <c r="G208">
        <v>0.5</v>
      </c>
      <c r="H208">
        <v>2</v>
      </c>
      <c r="I208">
        <v>8</v>
      </c>
      <c r="J208">
        <v>0</v>
      </c>
      <c r="K208">
        <v>0</v>
      </c>
      <c r="L208">
        <v>8</v>
      </c>
      <c r="M208" s="64">
        <f t="shared" si="6"/>
        <v>7.3747098540145979</v>
      </c>
      <c r="N208" s="64">
        <f t="shared" si="7"/>
        <v>0.60528301886792457</v>
      </c>
      <c r="O208" s="65"/>
      <c r="P208" s="65"/>
      <c r="Q208" s="65"/>
    </row>
    <row r="209" spans="1:17" ht="14.25" customHeight="1" x14ac:dyDescent="0.3">
      <c r="B209" t="s">
        <v>473</v>
      </c>
      <c r="C209">
        <v>14</v>
      </c>
      <c r="D209">
        <v>9</v>
      </c>
      <c r="E209">
        <v>93</v>
      </c>
      <c r="F209">
        <v>0.6</v>
      </c>
      <c r="G209">
        <v>1</v>
      </c>
      <c r="H209">
        <v>1.3</v>
      </c>
      <c r="I209">
        <v>5.5</v>
      </c>
      <c r="J209">
        <v>0</v>
      </c>
      <c r="K209">
        <v>0.2</v>
      </c>
      <c r="L209">
        <v>5</v>
      </c>
      <c r="M209" s="64">
        <f t="shared" si="6"/>
        <v>4.427682481751825</v>
      </c>
      <c r="N209" s="64">
        <f t="shared" si="7"/>
        <v>0.41613207547169817</v>
      </c>
      <c r="O209" s="65"/>
      <c r="P209" s="65"/>
      <c r="Q209" s="65"/>
    </row>
    <row r="210" spans="1:17" ht="14.25" customHeight="1" x14ac:dyDescent="0.3">
      <c r="A210" t="s">
        <v>576</v>
      </c>
      <c r="B210" t="s">
        <v>491</v>
      </c>
      <c r="C210">
        <v>12</v>
      </c>
      <c r="D210">
        <v>7.5</v>
      </c>
      <c r="E210">
        <v>88.5</v>
      </c>
      <c r="F210">
        <v>0.5</v>
      </c>
      <c r="G210">
        <v>0.5</v>
      </c>
      <c r="H210">
        <v>2</v>
      </c>
      <c r="I210">
        <v>11</v>
      </c>
      <c r="J210">
        <v>0</v>
      </c>
      <c r="K210">
        <v>0</v>
      </c>
      <c r="L210">
        <v>6.1</v>
      </c>
      <c r="M210" s="64">
        <f t="shared" si="6"/>
        <v>4.213439781021898</v>
      </c>
      <c r="N210" s="64">
        <f t="shared" si="7"/>
        <v>0.83226415094339623</v>
      </c>
      <c r="O210" s="65">
        <f>MAX(QB!D212*Scoring!$B$30+QB!E212/Scoring!$C$30+QB!F212*Scoring!$D$30+QB!G212*Scoring!$E$30+QB!H212*Scoring!$F$30+QB!I212/Scoring!$G$30+QB!J212*Scoring!$H$30+QB!K212*Scoring!$I$30+M212*Scoring!$J$30+QB!N212*Scoring!$K$30,0)+C212*Scoring!$B$10*0.07+(C212-D212)*Scoring!$B$5</f>
        <v>0</v>
      </c>
      <c r="P210" s="65">
        <f>MAX(QB!D210*Scoring!$B$30+QB!E210/Scoring!$C$30+QB!F210*Scoring!$D$30+QB!G210*Scoring!$E$30+QB!H210*Scoring!$F$30+QB!I210/Scoring!$G$30+QB!J210*Scoring!$H$30+QB!K210*Scoring!$I$30+M210*Scoring!$J$30+QB!N210*Scoring!$K$30,0)+C210*Scoring!$B$10*0.07+(C210-D210)*Scoring!$B$5</f>
        <v>6.1400000000000006</v>
      </c>
      <c r="Q210" s="65">
        <f>MAX(QB!D211*Scoring!$B$30+QB!E211/Scoring!$C$30+QB!F211*Scoring!$D$30+QB!G211*Scoring!$E$30+QB!H211*Scoring!$F$30+QB!I211/Scoring!$G$30+QB!J211*Scoring!$H$30+QB!K211*Scoring!$I$30+M211*Scoring!$J$30+QB!N211*Scoring!$K$30,0)+C211*Scoring!$B$10*0.07+(C211-D211)*Scoring!$B$5</f>
        <v>13.280000000000001</v>
      </c>
    </row>
    <row r="211" spans="1:17" ht="14.25" customHeight="1" x14ac:dyDescent="0.3">
      <c r="B211" t="s">
        <v>472</v>
      </c>
      <c r="C211">
        <v>24</v>
      </c>
      <c r="D211">
        <v>15</v>
      </c>
      <c r="E211">
        <v>177</v>
      </c>
      <c r="F211">
        <v>1</v>
      </c>
      <c r="G211">
        <v>0</v>
      </c>
      <c r="H211">
        <v>4</v>
      </c>
      <c r="I211">
        <v>22</v>
      </c>
      <c r="J211">
        <v>0</v>
      </c>
      <c r="K211">
        <v>0</v>
      </c>
      <c r="L211">
        <v>13.3</v>
      </c>
      <c r="M211" s="64">
        <f t="shared" si="6"/>
        <v>8.426879562043796</v>
      </c>
      <c r="N211" s="64">
        <f t="shared" si="7"/>
        <v>1.6645283018867925</v>
      </c>
      <c r="O211" s="65"/>
      <c r="P211" s="65"/>
      <c r="Q211" s="65"/>
    </row>
    <row r="212" spans="1:17" ht="14.25" customHeight="1" x14ac:dyDescent="0.3">
      <c r="B212" t="s">
        <v>473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 s="64">
        <f t="shared" si="6"/>
        <v>0</v>
      </c>
      <c r="N212" s="64">
        <f t="shared" si="7"/>
        <v>0</v>
      </c>
      <c r="O212" s="65"/>
      <c r="P212" s="65"/>
      <c r="Q212" s="65"/>
    </row>
    <row r="213" spans="1:17" ht="14.25" customHeight="1" x14ac:dyDescent="0.3">
      <c r="A213" t="s">
        <v>577</v>
      </c>
      <c r="B213" t="s">
        <v>529</v>
      </c>
      <c r="C213">
        <v>13</v>
      </c>
      <c r="D213">
        <v>8</v>
      </c>
      <c r="E213">
        <v>93</v>
      </c>
      <c r="F213">
        <v>0.5</v>
      </c>
      <c r="G213">
        <v>0.5</v>
      </c>
      <c r="H213">
        <v>1</v>
      </c>
      <c r="I213">
        <v>3.5</v>
      </c>
      <c r="J213">
        <v>0</v>
      </c>
      <c r="K213">
        <v>0</v>
      </c>
      <c r="L213">
        <v>5.6</v>
      </c>
      <c r="M213" s="64">
        <f t="shared" si="6"/>
        <v>4.427682481751825</v>
      </c>
      <c r="N213" s="64">
        <f t="shared" si="7"/>
        <v>0.26481132075471703</v>
      </c>
      <c r="O213" s="65">
        <f>MAX(QB!D215*Scoring!$B$30+QB!E215/Scoring!$C$30+QB!F215*Scoring!$D$30+QB!G215*Scoring!$E$30+QB!H215*Scoring!$F$30+QB!I215/Scoring!$G$30+QB!J215*Scoring!$H$30+QB!K215*Scoring!$I$30+M215*Scoring!$J$30+QB!N215*Scoring!$K$30,0)+C215*Scoring!$B$10*0.07+(C215-D215)*Scoring!$B$5</f>
        <v>0</v>
      </c>
      <c r="P213" s="65">
        <f>MAX(QB!D213*Scoring!$B$30+QB!E213/Scoring!$C$30+QB!F213*Scoring!$D$30+QB!G213*Scoring!$E$30+QB!H213*Scoring!$F$30+QB!I213/Scoring!$G$30+QB!J213*Scoring!$H$30+QB!K213*Scoring!$I$30+M213*Scoring!$J$30+QB!N213*Scoring!$K$30,0)+C213*Scoring!$B$10*0.07+(C213-D213)*Scoring!$B$5</f>
        <v>5.57</v>
      </c>
      <c r="Q213" s="65">
        <f>MAX(QB!D214*Scoring!$B$30+QB!E214/Scoring!$C$30+QB!F214*Scoring!$D$30+QB!G214*Scoring!$E$30+QB!H214*Scoring!$F$30+QB!I214/Scoring!$G$30+QB!J214*Scoring!$H$30+QB!K214*Scoring!$I$30+M214*Scoring!$J$30+QB!N214*Scoring!$K$30,0)+C214*Scoring!$B$10*0.07+(C214-D214)*Scoring!$B$5</f>
        <v>12.14</v>
      </c>
    </row>
    <row r="214" spans="1:17" ht="14.25" customHeight="1" x14ac:dyDescent="0.3">
      <c r="B214" t="s">
        <v>472</v>
      </c>
      <c r="C214">
        <v>26</v>
      </c>
      <c r="D214">
        <v>16</v>
      </c>
      <c r="E214">
        <v>186</v>
      </c>
      <c r="F214">
        <v>1</v>
      </c>
      <c r="G214">
        <v>0</v>
      </c>
      <c r="H214">
        <v>2</v>
      </c>
      <c r="I214">
        <v>7</v>
      </c>
      <c r="J214">
        <v>0</v>
      </c>
      <c r="K214">
        <v>0</v>
      </c>
      <c r="L214">
        <v>12.1</v>
      </c>
      <c r="M214" s="64">
        <f t="shared" si="6"/>
        <v>8.85536496350365</v>
      </c>
      <c r="N214" s="64">
        <f t="shared" si="7"/>
        <v>0.52962264150943406</v>
      </c>
      <c r="O214" s="65"/>
      <c r="P214" s="65"/>
      <c r="Q214" s="65"/>
    </row>
    <row r="215" spans="1:17" ht="14.25" customHeight="1" x14ac:dyDescent="0.3">
      <c r="B215" t="s">
        <v>473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 s="64">
        <f t="shared" si="6"/>
        <v>0</v>
      </c>
      <c r="N215" s="64">
        <f t="shared" si="7"/>
        <v>0</v>
      </c>
      <c r="O215" s="65"/>
      <c r="P215" s="65"/>
      <c r="Q215" s="65"/>
    </row>
    <row r="216" spans="1:17" ht="14.25" customHeight="1" x14ac:dyDescent="0.3">
      <c r="A216" t="s">
        <v>578</v>
      </c>
      <c r="B216" t="s">
        <v>529</v>
      </c>
      <c r="C216">
        <v>10.5</v>
      </c>
      <c r="D216">
        <v>6.5</v>
      </c>
      <c r="E216">
        <v>67.5</v>
      </c>
      <c r="F216">
        <v>0.5</v>
      </c>
      <c r="G216">
        <v>0</v>
      </c>
      <c r="H216">
        <v>2</v>
      </c>
      <c r="I216">
        <v>8.5</v>
      </c>
      <c r="J216">
        <v>0</v>
      </c>
      <c r="K216">
        <v>0</v>
      </c>
      <c r="L216">
        <v>5.6</v>
      </c>
      <c r="M216" s="64">
        <f t="shared" si="6"/>
        <v>3.2136405109489052</v>
      </c>
      <c r="N216" s="64">
        <f t="shared" si="7"/>
        <v>0.64311320754716983</v>
      </c>
      <c r="O216" s="65">
        <f>MAX(QB!D218*Scoring!$B$30+QB!E218/Scoring!$C$30+QB!F218*Scoring!$D$30+QB!G218*Scoring!$E$30+QB!H218*Scoring!$F$30+QB!I218/Scoring!$G$30+QB!J218*Scoring!$H$30+QB!K218*Scoring!$I$30+M218*Scoring!$J$30+QB!N218*Scoring!$K$30,0)+C218*Scoring!$B$10*0.07+(C218-D218)*Scoring!$B$5</f>
        <v>0</v>
      </c>
      <c r="P216" s="65">
        <f>MAX(QB!D216*Scoring!$B$30+QB!E216/Scoring!$C$30+QB!F216*Scoring!$D$30+QB!G216*Scoring!$E$30+QB!H216*Scoring!$F$30+QB!I216/Scoring!$G$30+QB!J216*Scoring!$H$30+QB!K216*Scoring!$I$30+M216*Scoring!$J$30+QB!N216*Scoring!$K$30,0)+C216*Scoring!$B$10*0.07+(C216-D216)*Scoring!$B$5</f>
        <v>5.55</v>
      </c>
      <c r="Q216" s="65">
        <f>MAX(QB!D217*Scoring!$B$30+QB!E217/Scoring!$C$30+QB!F217*Scoring!$D$30+QB!G217*Scoring!$E$30+QB!H217*Scoring!$F$30+QB!I217/Scoring!$G$30+QB!J217*Scoring!$H$30+QB!K217*Scoring!$I$30+M217*Scoring!$J$30+QB!N217*Scoring!$K$30,0)+C217*Scoring!$B$10*0.07+(C217-D217)*Scoring!$B$5</f>
        <v>11.1</v>
      </c>
    </row>
    <row r="217" spans="1:17" ht="14.25" customHeight="1" x14ac:dyDescent="0.3">
      <c r="B217" t="s">
        <v>472</v>
      </c>
      <c r="C217">
        <v>21</v>
      </c>
      <c r="D217">
        <v>13</v>
      </c>
      <c r="E217">
        <v>135</v>
      </c>
      <c r="F217">
        <v>1</v>
      </c>
      <c r="G217">
        <v>0</v>
      </c>
      <c r="H217">
        <v>4</v>
      </c>
      <c r="I217">
        <v>17</v>
      </c>
      <c r="J217">
        <v>0</v>
      </c>
      <c r="K217">
        <v>0</v>
      </c>
      <c r="L217">
        <v>9</v>
      </c>
      <c r="M217" s="64">
        <f t="shared" si="6"/>
        <v>6.4272810218978105</v>
      </c>
      <c r="N217" s="64">
        <f t="shared" si="7"/>
        <v>1.2862264150943397</v>
      </c>
      <c r="O217" s="65"/>
      <c r="P217" s="65"/>
      <c r="Q217" s="65"/>
    </row>
    <row r="218" spans="1:17" ht="14.25" customHeight="1" x14ac:dyDescent="0.3">
      <c r="B218" t="s">
        <v>473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s="64">
        <f t="shared" si="6"/>
        <v>0</v>
      </c>
      <c r="N218" s="64">
        <f t="shared" si="7"/>
        <v>0</v>
      </c>
      <c r="O218" s="65"/>
      <c r="P218" s="65"/>
      <c r="Q218" s="65"/>
    </row>
    <row r="219" spans="1:17" ht="14.25" customHeight="1" x14ac:dyDescent="0.3">
      <c r="A219" t="s">
        <v>581</v>
      </c>
      <c r="B219" t="s">
        <v>501</v>
      </c>
      <c r="C219">
        <v>9</v>
      </c>
      <c r="D219">
        <v>5.5</v>
      </c>
      <c r="E219">
        <v>67.5</v>
      </c>
      <c r="F219">
        <v>0.5</v>
      </c>
      <c r="G219">
        <v>0</v>
      </c>
      <c r="H219">
        <v>1</v>
      </c>
      <c r="I219">
        <v>5</v>
      </c>
      <c r="J219">
        <v>0</v>
      </c>
      <c r="K219">
        <v>0</v>
      </c>
      <c r="L219">
        <v>5.2</v>
      </c>
      <c r="M219" s="64">
        <f t="shared" si="6"/>
        <v>3.2136405109489052</v>
      </c>
      <c r="N219" s="64">
        <f t="shared" si="7"/>
        <v>0.37830188679245286</v>
      </c>
      <c r="O219" s="65">
        <f>MAX(QB!D221*Scoring!$B$30+QB!E221/Scoring!$C$30+QB!F221*Scoring!$D$30+QB!G221*Scoring!$E$30+QB!H221*Scoring!$F$30+QB!I221/Scoring!$G$30+QB!J221*Scoring!$H$30+QB!K221*Scoring!$I$30+M221*Scoring!$J$30+QB!N221*Scoring!$K$30,0)+C221*Scoring!$B$10*0.07+(C221-D221)*Scoring!$B$5</f>
        <v>0</v>
      </c>
      <c r="P219" s="65">
        <f>MAX(QB!D219*Scoring!$B$30+QB!E219/Scoring!$C$30+QB!F219*Scoring!$D$30+QB!G219*Scoring!$E$30+QB!H219*Scoring!$F$30+QB!I219/Scoring!$G$30+QB!J219*Scoring!$H$30+QB!K219*Scoring!$I$30+M219*Scoring!$J$30+QB!N219*Scoring!$K$30,0)+C219*Scoring!$B$10*0.07+(C219-D219)*Scoring!$B$5</f>
        <v>5.2</v>
      </c>
      <c r="Q219" s="65">
        <f>MAX(QB!D220*Scoring!$B$30+QB!E220/Scoring!$C$30+QB!F220*Scoring!$D$30+QB!G220*Scoring!$E$30+QB!H220*Scoring!$F$30+QB!I220/Scoring!$G$30+QB!J220*Scoring!$H$30+QB!K220*Scoring!$I$30+M220*Scoring!$J$30+QB!N220*Scoring!$K$30,0)+C220*Scoring!$B$10*0.07+(C220-D220)*Scoring!$B$5</f>
        <v>10.4</v>
      </c>
    </row>
    <row r="220" spans="1:17" ht="14.25" customHeight="1" x14ac:dyDescent="0.3">
      <c r="B220" t="s">
        <v>472</v>
      </c>
      <c r="C220">
        <v>18</v>
      </c>
      <c r="D220">
        <v>11</v>
      </c>
      <c r="E220">
        <v>135</v>
      </c>
      <c r="F220">
        <v>1</v>
      </c>
      <c r="G220">
        <v>0</v>
      </c>
      <c r="H220">
        <v>2</v>
      </c>
      <c r="I220">
        <v>10</v>
      </c>
      <c r="J220">
        <v>0</v>
      </c>
      <c r="K220">
        <v>0</v>
      </c>
      <c r="L220">
        <v>8</v>
      </c>
      <c r="M220" s="64">
        <f t="shared" si="6"/>
        <v>6.4272810218978105</v>
      </c>
      <c r="N220" s="64">
        <f t="shared" si="7"/>
        <v>0.75660377358490571</v>
      </c>
      <c r="O220" s="65"/>
      <c r="P220" s="65"/>
      <c r="Q220" s="65"/>
    </row>
    <row r="221" spans="1:17" ht="14.25" customHeight="1" x14ac:dyDescent="0.3">
      <c r="B221" t="s">
        <v>473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s="64">
        <f t="shared" si="6"/>
        <v>0</v>
      </c>
      <c r="N221" s="64">
        <f t="shared" si="7"/>
        <v>0</v>
      </c>
      <c r="O221" s="65"/>
      <c r="P221" s="65"/>
      <c r="Q221" s="65"/>
    </row>
    <row r="222" spans="1:17" ht="14.25" customHeight="1" x14ac:dyDescent="0.3">
      <c r="A222" t="s">
        <v>579</v>
      </c>
      <c r="B222" t="s">
        <v>513</v>
      </c>
      <c r="C222">
        <v>9.5</v>
      </c>
      <c r="D222">
        <v>6.5</v>
      </c>
      <c r="E222">
        <v>62</v>
      </c>
      <c r="F222">
        <v>0.5</v>
      </c>
      <c r="G222">
        <v>0.5</v>
      </c>
      <c r="H222">
        <v>2</v>
      </c>
      <c r="I222">
        <v>9.5</v>
      </c>
      <c r="J222">
        <v>0</v>
      </c>
      <c r="K222">
        <v>0</v>
      </c>
      <c r="L222">
        <v>4.9000000000000004</v>
      </c>
      <c r="M222" s="64">
        <f t="shared" si="6"/>
        <v>2.951788321167883</v>
      </c>
      <c r="N222" s="64">
        <f t="shared" si="7"/>
        <v>0.71877358490566046</v>
      </c>
      <c r="O222" s="65">
        <f>MAX(QB!D224*Scoring!$B$30+QB!E224/Scoring!$C$30+QB!F224*Scoring!$D$30+QB!G224*Scoring!$E$30+QB!H224*Scoring!$F$30+QB!I224/Scoring!$G$30+QB!J224*Scoring!$H$30+QB!K224*Scoring!$I$30+M224*Scoring!$J$30+QB!N224*Scoring!$K$30,0)+C224*Scoring!$B$10*0.07+(C224-D224)*Scoring!$B$5</f>
        <v>0</v>
      </c>
      <c r="P222" s="65">
        <f>MAX(QB!D222*Scoring!$B$30+QB!E222/Scoring!$C$30+QB!F222*Scoring!$D$30+QB!G222*Scoring!$E$30+QB!H222*Scoring!$F$30+QB!I222/Scoring!$G$30+QB!J222*Scoring!$H$30+QB!K222*Scoring!$I$30+M222*Scoring!$J$30+QB!N222*Scoring!$K$30,0)+C222*Scoring!$B$10*0.07+(C222-D222)*Scoring!$B$5</f>
        <v>4.9300000000000006</v>
      </c>
      <c r="Q222" s="65">
        <f>MAX(QB!D223*Scoring!$B$30+QB!E223/Scoring!$C$30+QB!F223*Scoring!$D$30+QB!G223*Scoring!$E$30+QB!H223*Scoring!$F$30+QB!I223/Scoring!$G$30+QB!J223*Scoring!$H$30+QB!K223*Scoring!$I$30+M223*Scoring!$J$30+QB!N223*Scoring!$K$30,0)+C223*Scoring!$B$10*0.07+(C223-D223)*Scoring!$B$5</f>
        <v>10.860000000000001</v>
      </c>
    </row>
    <row r="223" spans="1:17" ht="14.25" customHeight="1" x14ac:dyDescent="0.3">
      <c r="B223" t="s">
        <v>472</v>
      </c>
      <c r="C223">
        <v>19</v>
      </c>
      <c r="D223">
        <v>13</v>
      </c>
      <c r="E223">
        <v>124</v>
      </c>
      <c r="F223">
        <v>1</v>
      </c>
      <c r="G223">
        <v>0</v>
      </c>
      <c r="H223">
        <v>4</v>
      </c>
      <c r="I223">
        <v>19</v>
      </c>
      <c r="J223">
        <v>0</v>
      </c>
      <c r="K223">
        <v>0</v>
      </c>
      <c r="L223">
        <v>7</v>
      </c>
      <c r="M223" s="64">
        <f t="shared" si="6"/>
        <v>5.9035766423357661</v>
      </c>
      <c r="N223" s="64">
        <f t="shared" si="7"/>
        <v>1.4375471698113209</v>
      </c>
      <c r="O223" s="65"/>
      <c r="P223" s="65"/>
      <c r="Q223" s="65"/>
    </row>
    <row r="224" spans="1:17" ht="14.25" customHeight="1" x14ac:dyDescent="0.3">
      <c r="B224" t="s">
        <v>473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 s="64">
        <f t="shared" si="6"/>
        <v>0</v>
      </c>
      <c r="N224" s="64">
        <f t="shared" si="7"/>
        <v>0</v>
      </c>
      <c r="O224" s="65"/>
      <c r="P224" s="65"/>
      <c r="Q224" s="65"/>
    </row>
    <row r="225" spans="1:17" ht="14.25" customHeight="1" x14ac:dyDescent="0.3">
      <c r="A225" t="s">
        <v>580</v>
      </c>
      <c r="B225" t="s">
        <v>483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s="64">
        <f t="shared" si="6"/>
        <v>0</v>
      </c>
      <c r="N225" s="64">
        <f t="shared" si="7"/>
        <v>0</v>
      </c>
      <c r="O225" s="65">
        <f>MAX(QB!D227*Scoring!$B$30+QB!E227/Scoring!$C$30+QB!F227*Scoring!$D$30+QB!G227*Scoring!$E$30+QB!H227*Scoring!$F$30+QB!I227/Scoring!$G$30+QB!J227*Scoring!$H$30+QB!K227*Scoring!$I$30+M227*Scoring!$J$30+QB!N227*Scoring!$K$30,0)+C227*Scoring!$B$10*0.07+(C227-D227)*Scoring!$B$5</f>
        <v>0</v>
      </c>
      <c r="P225" s="65">
        <f>MAX(QB!D225*Scoring!$B$30+QB!E225/Scoring!$C$30+QB!F225*Scoring!$D$30+QB!G225*Scoring!$E$30+QB!H225*Scoring!$F$30+QB!I225/Scoring!$G$30+QB!J225*Scoring!$H$30+QB!K225*Scoring!$I$30+M225*Scoring!$J$30+QB!N225*Scoring!$K$30,0)+C225*Scoring!$B$10*0.07+(C225-D225)*Scoring!$B$5</f>
        <v>0</v>
      </c>
      <c r="Q225" s="65">
        <f>MAX(QB!D226*Scoring!$B$30+QB!E226/Scoring!$C$30+QB!F226*Scoring!$D$30+QB!G226*Scoring!$E$30+QB!H226*Scoring!$F$30+QB!I226/Scoring!$G$30+QB!J226*Scoring!$H$30+QB!K226*Scoring!$I$30+M226*Scoring!$J$30+QB!N226*Scoring!$K$30,0)+C226*Scoring!$B$10*0.07+(C226-D226)*Scoring!$B$5</f>
        <v>0</v>
      </c>
    </row>
    <row r="226" spans="1:17" ht="14.25" customHeight="1" x14ac:dyDescent="0.3">
      <c r="B226" t="s">
        <v>472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s="64">
        <f t="shared" si="6"/>
        <v>0</v>
      </c>
      <c r="N226" s="64">
        <f t="shared" si="7"/>
        <v>0</v>
      </c>
      <c r="O226" s="65"/>
      <c r="P226" s="65"/>
      <c r="Q226" s="65"/>
    </row>
    <row r="227" spans="1:17" ht="14.25" customHeight="1" x14ac:dyDescent="0.3">
      <c r="B227" t="s">
        <v>473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s="64">
        <f t="shared" si="6"/>
        <v>0</v>
      </c>
      <c r="N227" s="64">
        <f t="shared" si="7"/>
        <v>0</v>
      </c>
      <c r="O227" s="65"/>
      <c r="P227" s="65"/>
      <c r="Q227" s="65"/>
    </row>
    <row r="228" spans="1:17" ht="14.25" customHeight="1" x14ac:dyDescent="0.3">
      <c r="A228" t="s">
        <v>566</v>
      </c>
      <c r="B228" t="s">
        <v>489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s="64">
        <f t="shared" si="6"/>
        <v>0</v>
      </c>
      <c r="N228" s="64">
        <f t="shared" si="7"/>
        <v>0</v>
      </c>
      <c r="O228" s="65">
        <f>MAX(QB!D230*Scoring!$B$30+QB!E230/Scoring!$C$30+QB!F230*Scoring!$D$30+QB!G230*Scoring!$E$30+QB!H230*Scoring!$F$30+QB!I230/Scoring!$G$30+QB!J230*Scoring!$H$30+QB!K230*Scoring!$I$30+M230*Scoring!$J$30+QB!N230*Scoring!$K$30,0)+C230*Scoring!$B$10*0.07+(C230-D230)*Scoring!$B$5</f>
        <v>0</v>
      </c>
      <c r="P228" s="65">
        <f>MAX(QB!D228*Scoring!$B$30+QB!E228/Scoring!$C$30+QB!F228*Scoring!$D$30+QB!G228*Scoring!$E$30+QB!H228*Scoring!$F$30+QB!I228/Scoring!$G$30+QB!J228*Scoring!$H$30+QB!K228*Scoring!$I$30+M228*Scoring!$J$30+QB!N228*Scoring!$K$30,0)+C228*Scoring!$B$10*0.07+(C228-D228)*Scoring!$B$5</f>
        <v>0</v>
      </c>
      <c r="Q228" s="65">
        <f>MAX(QB!D229*Scoring!$B$30+QB!E229/Scoring!$C$30+QB!F229*Scoring!$D$30+QB!G229*Scoring!$E$30+QB!H229*Scoring!$F$30+QB!I229/Scoring!$G$30+QB!J229*Scoring!$H$30+QB!K229*Scoring!$I$30+M229*Scoring!$J$30+QB!N229*Scoring!$K$30,0)+C229*Scoring!$B$10*0.07+(C229-D229)*Scoring!$B$5</f>
        <v>0</v>
      </c>
    </row>
    <row r="229" spans="1:17" ht="14.25" customHeight="1" x14ac:dyDescent="0.3">
      <c r="B229" t="s">
        <v>472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s="64">
        <f t="shared" si="6"/>
        <v>0</v>
      </c>
      <c r="N229" s="64">
        <f t="shared" si="7"/>
        <v>0</v>
      </c>
      <c r="O229" s="65"/>
      <c r="P229" s="65"/>
      <c r="Q229" s="65"/>
    </row>
    <row r="230" spans="1:17" ht="14.25" customHeight="1" x14ac:dyDescent="0.3">
      <c r="B230" t="s">
        <v>473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s="64">
        <f t="shared" si="6"/>
        <v>0</v>
      </c>
      <c r="N230" s="64">
        <f t="shared" si="7"/>
        <v>0</v>
      </c>
      <c r="O230" s="65"/>
      <c r="P230" s="65"/>
      <c r="Q230" s="65"/>
    </row>
    <row r="231" spans="1:17" ht="14.25" customHeight="1" x14ac:dyDescent="0.3">
      <c r="A231" t="s">
        <v>582</v>
      </c>
      <c r="B231" t="s">
        <v>531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s="64">
        <f t="shared" si="6"/>
        <v>0</v>
      </c>
      <c r="N231" s="64">
        <f t="shared" si="7"/>
        <v>0</v>
      </c>
      <c r="O231" s="65">
        <f>MAX(QB!D233*Scoring!$B$30+QB!E233/Scoring!$C$30+QB!F233*Scoring!$D$30+QB!G233*Scoring!$E$30+QB!H233*Scoring!$F$30+QB!I233/Scoring!$G$30+QB!J233*Scoring!$H$30+QB!K233*Scoring!$I$30+M233*Scoring!$J$30+QB!N233*Scoring!$K$30,0)+C233*Scoring!$B$10*0.07+(C233-D233)*Scoring!$B$5</f>
        <v>0</v>
      </c>
      <c r="P231" s="65">
        <f>MAX(QB!D231*Scoring!$B$30+QB!E231/Scoring!$C$30+QB!F231*Scoring!$D$30+QB!G231*Scoring!$E$30+QB!H231*Scoring!$F$30+QB!I231/Scoring!$G$30+QB!J231*Scoring!$H$30+QB!K231*Scoring!$I$30+M231*Scoring!$J$30+QB!N231*Scoring!$K$30,0)+C231*Scoring!$B$10*0.07+(C231-D231)*Scoring!$B$5</f>
        <v>0</v>
      </c>
      <c r="Q231" s="65">
        <f>MAX(QB!D232*Scoring!$B$30+QB!E232/Scoring!$C$30+QB!F232*Scoring!$D$30+QB!G232*Scoring!$E$30+QB!H232*Scoring!$F$30+QB!I232/Scoring!$G$30+QB!J232*Scoring!$H$30+QB!K232*Scoring!$I$30+M232*Scoring!$J$30+QB!N232*Scoring!$K$30,0)+C232*Scoring!$B$10*0.07+(C232-D232)*Scoring!$B$5</f>
        <v>0</v>
      </c>
    </row>
    <row r="232" spans="1:17" ht="14.25" customHeight="1" x14ac:dyDescent="0.3">
      <c r="B232" t="s">
        <v>472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s="64">
        <f t="shared" si="6"/>
        <v>0</v>
      </c>
      <c r="N232" s="64">
        <f t="shared" si="7"/>
        <v>0</v>
      </c>
      <c r="O232" s="65"/>
      <c r="P232" s="65"/>
      <c r="Q232" s="65"/>
    </row>
    <row r="233" spans="1:17" ht="14.25" customHeight="1" x14ac:dyDescent="0.3">
      <c r="B233" t="s">
        <v>473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s="64">
        <f t="shared" si="6"/>
        <v>0</v>
      </c>
      <c r="N233" s="64">
        <f t="shared" si="7"/>
        <v>0</v>
      </c>
      <c r="O233" s="65"/>
      <c r="P233" s="65"/>
      <c r="Q233" s="65"/>
    </row>
    <row r="234" spans="1:17" ht="14.25" customHeight="1" x14ac:dyDescent="0.3">
      <c r="M234" s="64">
        <f t="shared" si="6"/>
        <v>0</v>
      </c>
      <c r="N234" s="64">
        <f t="shared" si="7"/>
        <v>0</v>
      </c>
      <c r="O234" s="65">
        <f>MAX(QB!D236*Scoring!$B$30+QB!E236/Scoring!$C$30+QB!F236*Scoring!$D$30+QB!G236*Scoring!$E$30+QB!H236*Scoring!$F$30+QB!I236/Scoring!$G$30+QB!J236*Scoring!$H$30+QB!K236*Scoring!$I$30+M236*Scoring!$J$30+QB!N236*Scoring!$K$30,0)+C236*Scoring!$B$10*0.07+(C236-D236)*Scoring!$B$5</f>
        <v>0</v>
      </c>
      <c r="P234" s="65">
        <f>MAX(QB!D234*Scoring!$B$30+QB!E234/Scoring!$C$30+QB!F234*Scoring!$D$30+QB!G234*Scoring!$E$30+QB!H234*Scoring!$F$30+QB!I234/Scoring!$G$30+QB!J234*Scoring!$H$30+QB!K234*Scoring!$I$30+M234*Scoring!$J$30+QB!N234*Scoring!$K$30,0)+C234*Scoring!$B$10*0.07+(C234-D234)*Scoring!$B$5</f>
        <v>0</v>
      </c>
      <c r="Q234" s="65">
        <f>MAX(QB!D235*Scoring!$B$30+QB!E235/Scoring!$C$30+QB!F235*Scoring!$D$30+QB!G235*Scoring!$E$30+QB!H235*Scoring!$F$30+QB!I235/Scoring!$G$30+QB!J235*Scoring!$H$30+QB!K235*Scoring!$I$30+M235*Scoring!$J$30+QB!N235*Scoring!$K$30,0)+C235*Scoring!$B$10*0.07+(C235-D235)*Scoring!$B$5</f>
        <v>0</v>
      </c>
    </row>
    <row r="235" spans="1:17" ht="14.25" customHeight="1" x14ac:dyDescent="0.3">
      <c r="M235" s="64">
        <f t="shared" si="6"/>
        <v>0</v>
      </c>
      <c r="N235" s="64">
        <f t="shared" si="7"/>
        <v>0</v>
      </c>
      <c r="O235" s="65"/>
      <c r="P235" s="65"/>
      <c r="Q235" s="65"/>
    </row>
    <row r="236" spans="1:17" ht="14.25" customHeight="1" x14ac:dyDescent="0.3">
      <c r="M236" s="64">
        <f t="shared" si="6"/>
        <v>0</v>
      </c>
      <c r="N236" s="64">
        <f t="shared" si="7"/>
        <v>0</v>
      </c>
      <c r="O236" s="65"/>
      <c r="P236" s="65"/>
      <c r="Q236" s="65"/>
    </row>
    <row r="237" spans="1:17" ht="14.25" customHeight="1" x14ac:dyDescent="0.3">
      <c r="M237" s="64">
        <f t="shared" si="6"/>
        <v>0</v>
      </c>
      <c r="N237" s="64">
        <f t="shared" si="7"/>
        <v>0</v>
      </c>
      <c r="O237" s="65">
        <f>MAX(QB!D239*Scoring!$B$30+QB!E239/Scoring!$C$30+QB!F239*Scoring!$D$30+QB!G239*Scoring!$E$30+QB!H239*Scoring!$F$30+QB!I239/Scoring!$G$30+QB!J239*Scoring!$H$30+QB!K239*Scoring!$I$30+M239*Scoring!$J$30+QB!N239*Scoring!$K$30,0)+C239*Scoring!$B$10*0.07+(C239-D239)*Scoring!$B$5</f>
        <v>0</v>
      </c>
      <c r="P237" s="65">
        <f>MAX(QB!D237*Scoring!$B$30+QB!E237/Scoring!$C$30+QB!F237*Scoring!$D$30+QB!G237*Scoring!$E$30+QB!H237*Scoring!$F$30+QB!I237/Scoring!$G$30+QB!J237*Scoring!$H$30+QB!K237*Scoring!$I$30+M237*Scoring!$J$30+QB!N237*Scoring!$K$30,0)+C237*Scoring!$B$10*0.07+(C237-D237)*Scoring!$B$5</f>
        <v>0</v>
      </c>
      <c r="Q237" s="65">
        <f>MAX(QB!D238*Scoring!$B$30+QB!E238/Scoring!$C$30+QB!F238*Scoring!$D$30+QB!G238*Scoring!$E$30+QB!H238*Scoring!$F$30+QB!I238/Scoring!$G$30+QB!J238*Scoring!$H$30+QB!K238*Scoring!$I$30+M238*Scoring!$J$30+QB!N238*Scoring!$K$30,0)+C238*Scoring!$B$10*0.07+(C238-D238)*Scoring!$B$5</f>
        <v>0</v>
      </c>
    </row>
    <row r="238" spans="1:17" ht="14.25" customHeight="1" x14ac:dyDescent="0.3">
      <c r="M238" s="64">
        <f t="shared" si="6"/>
        <v>0</v>
      </c>
      <c r="N238" s="64">
        <f t="shared" si="7"/>
        <v>0</v>
      </c>
      <c r="O238" s="65"/>
      <c r="P238" s="65"/>
      <c r="Q238" s="65"/>
    </row>
    <row r="239" spans="1:17" ht="14.25" customHeight="1" x14ac:dyDescent="0.3">
      <c r="M239" s="64">
        <f t="shared" si="6"/>
        <v>0</v>
      </c>
      <c r="N239" s="64">
        <f t="shared" si="7"/>
        <v>0</v>
      </c>
      <c r="O239" s="65"/>
      <c r="P239" s="65"/>
      <c r="Q239" s="65"/>
    </row>
    <row r="240" spans="1:17" ht="14.25" customHeight="1" x14ac:dyDescent="0.3">
      <c r="M240" s="64">
        <f t="shared" si="6"/>
        <v>0</v>
      </c>
      <c r="N240" s="64">
        <f t="shared" si="7"/>
        <v>0</v>
      </c>
      <c r="O240" s="65">
        <f>MAX(QB!D242*Scoring!$B$30+QB!E242/Scoring!$C$30+QB!F242*Scoring!$D$30+QB!G242*Scoring!$E$30+QB!H242*Scoring!$F$30+QB!I242/Scoring!$G$30+QB!J242*Scoring!$H$30+QB!K242*Scoring!$I$30+M242*Scoring!$J$30+QB!N242*Scoring!$K$30,0)+C242*Scoring!$B$10*0.07+(C242-D242)*Scoring!$B$5</f>
        <v>0</v>
      </c>
      <c r="P240" s="65">
        <f>MAX(QB!D240*Scoring!$B$30+QB!E240/Scoring!$C$30+QB!F240*Scoring!$D$30+QB!G240*Scoring!$E$30+QB!H240*Scoring!$F$30+QB!I240/Scoring!$G$30+QB!J240*Scoring!$H$30+QB!K240*Scoring!$I$30+M240*Scoring!$J$30+QB!N240*Scoring!$K$30,0)+C240*Scoring!$B$10*0.07+(C240-D240)*Scoring!$B$5</f>
        <v>0</v>
      </c>
      <c r="Q240" s="65">
        <f>MAX(QB!D241*Scoring!$B$30+QB!E241/Scoring!$C$30+QB!F241*Scoring!$D$30+QB!G241*Scoring!$E$30+QB!H241*Scoring!$F$30+QB!I241/Scoring!$G$30+QB!J241*Scoring!$H$30+QB!K241*Scoring!$I$30+M241*Scoring!$J$30+QB!N241*Scoring!$K$30,0)+C241*Scoring!$B$10*0.07+(C241-D241)*Scoring!$B$5</f>
        <v>0</v>
      </c>
    </row>
    <row r="241" spans="13:17" ht="14.25" customHeight="1" x14ac:dyDescent="0.3">
      <c r="M241" s="64">
        <f t="shared" si="6"/>
        <v>0</v>
      </c>
      <c r="N241" s="64">
        <f t="shared" si="7"/>
        <v>0</v>
      </c>
      <c r="O241" s="65"/>
      <c r="P241" s="65"/>
      <c r="Q241" s="65"/>
    </row>
    <row r="242" spans="13:17" ht="14.25" customHeight="1" x14ac:dyDescent="0.3">
      <c r="M242" s="64">
        <f t="shared" si="6"/>
        <v>0</v>
      </c>
      <c r="N242" s="64">
        <f t="shared" si="7"/>
        <v>0</v>
      </c>
      <c r="O242" s="65"/>
      <c r="P242" s="65"/>
      <c r="Q242" s="65"/>
    </row>
    <row r="243" spans="13:17" ht="14.25" customHeight="1" x14ac:dyDescent="0.3">
      <c r="M243" s="64">
        <f t="shared" si="6"/>
        <v>0</v>
      </c>
      <c r="N243" s="64">
        <f t="shared" si="7"/>
        <v>0</v>
      </c>
      <c r="O243" s="65">
        <f>MAX(QB!D245*Scoring!$B$30+QB!E245/Scoring!$C$30+QB!F245*Scoring!$D$30+QB!G245*Scoring!$E$30+QB!H245*Scoring!$F$30+QB!I245/Scoring!$G$30+QB!J245*Scoring!$H$30+QB!K245*Scoring!$I$30+M245*Scoring!$J$30+QB!N245*Scoring!$K$30,0)+C245*Scoring!$B$10*0.07+(C245-D245)*Scoring!$B$5</f>
        <v>0</v>
      </c>
      <c r="P243" s="65">
        <f>MAX(QB!D243*Scoring!$B$30+QB!E243/Scoring!$C$30+QB!F243*Scoring!$D$30+QB!G243*Scoring!$E$30+QB!H243*Scoring!$F$30+QB!I243/Scoring!$G$30+QB!J243*Scoring!$H$30+QB!K243*Scoring!$I$30+M243*Scoring!$J$30+QB!N243*Scoring!$K$30,0)+C243*Scoring!$B$10*0.07+(C243-D243)*Scoring!$B$5</f>
        <v>0</v>
      </c>
      <c r="Q243" s="65">
        <f>MAX(QB!D244*Scoring!$B$30+QB!E244/Scoring!$C$30+QB!F244*Scoring!$D$30+QB!G244*Scoring!$E$30+QB!H244*Scoring!$F$30+QB!I244/Scoring!$G$30+QB!J244*Scoring!$H$30+QB!K244*Scoring!$I$30+M244*Scoring!$J$30+QB!N244*Scoring!$K$30,0)+C244*Scoring!$B$10*0.07+(C244-D244)*Scoring!$B$5</f>
        <v>0</v>
      </c>
    </row>
    <row r="244" spans="13:17" ht="14.25" customHeight="1" x14ac:dyDescent="0.3">
      <c r="M244" s="64">
        <f t="shared" si="6"/>
        <v>0</v>
      </c>
      <c r="N244" s="64">
        <f t="shared" si="7"/>
        <v>0</v>
      </c>
      <c r="O244" s="65"/>
      <c r="P244" s="65"/>
      <c r="Q244" s="65"/>
    </row>
    <row r="245" spans="13:17" ht="14.25" customHeight="1" x14ac:dyDescent="0.3">
      <c r="M245" s="64">
        <f t="shared" si="6"/>
        <v>0</v>
      </c>
      <c r="N245" s="64">
        <f t="shared" si="7"/>
        <v>0</v>
      </c>
      <c r="O245" s="65"/>
      <c r="P245" s="65"/>
      <c r="Q245" s="65"/>
    </row>
    <row r="246" spans="13:17" ht="14.25" customHeight="1" x14ac:dyDescent="0.3">
      <c r="M246" s="64">
        <f t="shared" si="6"/>
        <v>0</v>
      </c>
      <c r="N246" s="64">
        <f t="shared" si="7"/>
        <v>0</v>
      </c>
      <c r="O246" s="65">
        <f>MAX(QB!D248*Scoring!$B$30+QB!E248/Scoring!$C$30+QB!F248*Scoring!$D$30+QB!G248*Scoring!$E$30+QB!H248*Scoring!$F$30+QB!I248/Scoring!$G$30+QB!J248*Scoring!$H$30+QB!K248*Scoring!$I$30+M248*Scoring!$J$30+QB!N248*Scoring!$K$30,0)+C248*Scoring!$B$10*0.07+(C248-D248)*Scoring!$B$5</f>
        <v>0</v>
      </c>
      <c r="P246" s="65">
        <f>MAX(QB!D246*Scoring!$B$30+QB!E246/Scoring!$C$30+QB!F246*Scoring!$D$30+QB!G246*Scoring!$E$30+QB!H246*Scoring!$F$30+QB!I246/Scoring!$G$30+QB!J246*Scoring!$H$30+QB!K246*Scoring!$I$30+M246*Scoring!$J$30+QB!N246*Scoring!$K$30,0)+C246*Scoring!$B$10*0.07+(C246-D246)*Scoring!$B$5</f>
        <v>0</v>
      </c>
      <c r="Q246" s="65">
        <f>MAX(QB!D247*Scoring!$B$30+QB!E247/Scoring!$C$30+QB!F247*Scoring!$D$30+QB!G247*Scoring!$E$30+QB!H247*Scoring!$F$30+QB!I247/Scoring!$G$30+QB!J247*Scoring!$H$30+QB!K247*Scoring!$I$30+M247*Scoring!$J$30+QB!N247*Scoring!$K$30,0)+C247*Scoring!$B$10*0.07+(C247-D247)*Scoring!$B$5</f>
        <v>0</v>
      </c>
    </row>
    <row r="247" spans="13:17" ht="14.25" customHeight="1" x14ac:dyDescent="0.3">
      <c r="M247" s="64">
        <f t="shared" si="6"/>
        <v>0</v>
      </c>
      <c r="N247" s="64">
        <f t="shared" si="7"/>
        <v>0</v>
      </c>
      <c r="O247" s="65"/>
      <c r="P247" s="65"/>
      <c r="Q247" s="65"/>
    </row>
    <row r="248" spans="13:17" ht="14.25" customHeight="1" x14ac:dyDescent="0.3">
      <c r="M248" s="64">
        <f t="shared" si="6"/>
        <v>0</v>
      </c>
      <c r="N248" s="64">
        <f t="shared" si="7"/>
        <v>0</v>
      </c>
      <c r="O248" s="65"/>
      <c r="P248" s="65"/>
      <c r="Q248" s="65"/>
    </row>
    <row r="249" spans="13:17" ht="14.25" customHeight="1" x14ac:dyDescent="0.3">
      <c r="M249" s="64">
        <f t="shared" si="6"/>
        <v>0</v>
      </c>
      <c r="N249" s="64">
        <f t="shared" si="7"/>
        <v>0</v>
      </c>
      <c r="O249" s="65">
        <f>MAX(QB!D251*Scoring!$B$30+QB!E251/Scoring!$C$30+QB!F251*Scoring!$D$30+QB!G251*Scoring!$E$30+QB!H251*Scoring!$F$30+QB!I251/Scoring!$G$30+QB!J251*Scoring!$H$30+QB!K251*Scoring!$I$30+M251*Scoring!$J$30+QB!N251*Scoring!$K$30,0)+C251*Scoring!$B$10*0.07+(C251-D251)*Scoring!$B$5</f>
        <v>0</v>
      </c>
      <c r="P249" s="65">
        <f>MAX(QB!D249*Scoring!$B$30+QB!E249/Scoring!$C$30+QB!F249*Scoring!$D$30+QB!G249*Scoring!$E$30+QB!H249*Scoring!$F$30+QB!I249/Scoring!$G$30+QB!J249*Scoring!$H$30+QB!K249*Scoring!$I$30+M249*Scoring!$J$30+QB!N249*Scoring!$K$30,0)+C249*Scoring!$B$10*0.07+(C249-D249)*Scoring!$B$5</f>
        <v>0</v>
      </c>
      <c r="Q249" s="65">
        <f>MAX(QB!D250*Scoring!$B$30+QB!E250/Scoring!$C$30+QB!F250*Scoring!$D$30+QB!G250*Scoring!$E$30+QB!H250*Scoring!$F$30+QB!I250/Scoring!$G$30+QB!J250*Scoring!$H$30+QB!K250*Scoring!$I$30+M250*Scoring!$J$30+QB!N250*Scoring!$K$30,0)+C250*Scoring!$B$10*0.07+(C250-D250)*Scoring!$B$5</f>
        <v>0</v>
      </c>
    </row>
    <row r="250" spans="13:17" ht="14.25" customHeight="1" x14ac:dyDescent="0.3">
      <c r="M250" s="64">
        <f t="shared" si="6"/>
        <v>0</v>
      </c>
      <c r="N250" s="64">
        <f t="shared" si="7"/>
        <v>0</v>
      </c>
      <c r="O250" s="65"/>
      <c r="P250" s="65"/>
      <c r="Q250" s="65"/>
    </row>
    <row r="251" spans="13:17" ht="14.25" customHeight="1" x14ac:dyDescent="0.3">
      <c r="M251" s="64">
        <f t="shared" si="6"/>
        <v>0</v>
      </c>
      <c r="N251" s="64">
        <f t="shared" si="7"/>
        <v>0</v>
      </c>
      <c r="O251" s="65"/>
      <c r="P251" s="65"/>
      <c r="Q251" s="65"/>
    </row>
    <row r="252" spans="13:17" ht="14.25" customHeight="1" x14ac:dyDescent="0.3">
      <c r="M252" s="64">
        <f t="shared" si="6"/>
        <v>0</v>
      </c>
      <c r="N252" s="64">
        <f t="shared" si="7"/>
        <v>0</v>
      </c>
      <c r="O252" s="65">
        <f>MAX(QB!D254*Scoring!$B$30+QB!E254/Scoring!$C$30+QB!F254*Scoring!$D$30+QB!G254*Scoring!$E$30+QB!H254*Scoring!$F$30+QB!I254/Scoring!$G$30+QB!J254*Scoring!$H$30+QB!K254*Scoring!$I$30+M254*Scoring!$J$30+QB!N254*Scoring!$K$30,0)+C254*Scoring!$B$10*0.07+(C254-D254)*Scoring!$B$5</f>
        <v>0</v>
      </c>
      <c r="P252" s="65">
        <f>MAX(QB!D252*Scoring!$B$30+QB!E252/Scoring!$C$30+QB!F252*Scoring!$D$30+QB!G252*Scoring!$E$30+QB!H252*Scoring!$F$30+QB!I252/Scoring!$G$30+QB!J252*Scoring!$H$30+QB!K252*Scoring!$I$30+M252*Scoring!$J$30+QB!N252*Scoring!$K$30,0)+C252*Scoring!$B$10*0.07+(C252-D252)*Scoring!$B$5</f>
        <v>0</v>
      </c>
      <c r="Q252" s="65">
        <f>MAX(QB!D253*Scoring!$B$30+QB!E253/Scoring!$C$30+QB!F253*Scoring!$D$30+QB!G253*Scoring!$E$30+QB!H253*Scoring!$F$30+QB!I253/Scoring!$G$30+QB!J253*Scoring!$H$30+QB!K253*Scoring!$I$30+M253*Scoring!$J$30+QB!N253*Scoring!$K$30,0)+C253*Scoring!$B$10*0.07+(C253-D253)*Scoring!$B$5</f>
        <v>0</v>
      </c>
    </row>
    <row r="253" spans="13:17" ht="14.25" customHeight="1" x14ac:dyDescent="0.3">
      <c r="M253" s="64">
        <f t="shared" si="6"/>
        <v>0</v>
      </c>
      <c r="N253" s="64">
        <f t="shared" si="7"/>
        <v>0</v>
      </c>
      <c r="O253" s="65"/>
      <c r="P253" s="65"/>
      <c r="Q253" s="65"/>
    </row>
    <row r="254" spans="13:17" ht="14.25" customHeight="1" x14ac:dyDescent="0.3">
      <c r="M254" s="64">
        <f t="shared" si="6"/>
        <v>0</v>
      </c>
      <c r="N254" s="64">
        <f t="shared" si="7"/>
        <v>0</v>
      </c>
      <c r="O254" s="65"/>
      <c r="P254" s="65"/>
      <c r="Q254" s="65"/>
    </row>
    <row r="255" spans="13:17" ht="14.25" customHeight="1" x14ac:dyDescent="0.3">
      <c r="M255" s="64">
        <f t="shared" si="6"/>
        <v>0</v>
      </c>
      <c r="N255" s="64">
        <f t="shared" si="7"/>
        <v>0</v>
      </c>
      <c r="O255" s="65">
        <f>MAX(QB!D257*Scoring!$B$30+QB!E257/Scoring!$C$30+QB!F257*Scoring!$D$30+QB!G257*Scoring!$E$30+QB!H257*Scoring!$F$30+QB!I257/Scoring!$G$30+QB!J257*Scoring!$H$30+QB!K257*Scoring!$I$30+M257*Scoring!$J$30+QB!N257*Scoring!$K$30,0)+C257*Scoring!$B$10*0.07+(C257-D257)*Scoring!$B$5</f>
        <v>0</v>
      </c>
      <c r="P255" s="65">
        <f>MAX(QB!D255*Scoring!$B$30+QB!E255/Scoring!$C$30+QB!F255*Scoring!$D$30+QB!G255*Scoring!$E$30+QB!H255*Scoring!$F$30+QB!I255/Scoring!$G$30+QB!J255*Scoring!$H$30+QB!K255*Scoring!$I$30+M255*Scoring!$J$30+QB!N255*Scoring!$K$30,0)+C255*Scoring!$B$10*0.07+(C255-D255)*Scoring!$B$5</f>
        <v>0</v>
      </c>
      <c r="Q255" s="65">
        <f>MAX(QB!D256*Scoring!$B$30+QB!E256/Scoring!$C$30+QB!F256*Scoring!$D$30+QB!G256*Scoring!$E$30+QB!H256*Scoring!$F$30+QB!I256/Scoring!$G$30+QB!J256*Scoring!$H$30+QB!K256*Scoring!$I$30+M256*Scoring!$J$30+QB!N256*Scoring!$K$30,0)+C256*Scoring!$B$10*0.07+(C256-D256)*Scoring!$B$5</f>
        <v>0</v>
      </c>
    </row>
    <row r="256" spans="13:17" ht="14.25" customHeight="1" x14ac:dyDescent="0.3">
      <c r="M256" s="64">
        <f t="shared" si="6"/>
        <v>0</v>
      </c>
      <c r="N256" s="64">
        <f t="shared" si="7"/>
        <v>0</v>
      </c>
      <c r="O256" s="65"/>
      <c r="P256" s="65"/>
      <c r="Q256" s="65"/>
    </row>
    <row r="257" spans="13:17" ht="14.25" customHeight="1" x14ac:dyDescent="0.3">
      <c r="M257" s="64">
        <f t="shared" si="6"/>
        <v>0</v>
      </c>
      <c r="N257" s="64">
        <f t="shared" si="7"/>
        <v>0</v>
      </c>
      <c r="O257" s="65"/>
      <c r="P257" s="65"/>
      <c r="Q257" s="65"/>
    </row>
    <row r="258" spans="13:17" ht="14.25" customHeight="1" x14ac:dyDescent="0.3">
      <c r="M258" s="64">
        <f t="shared" si="6"/>
        <v>0</v>
      </c>
      <c r="N258" s="64">
        <f t="shared" si="7"/>
        <v>0</v>
      </c>
      <c r="O258" s="65">
        <f>MAX(QB!D260*Scoring!$B$30+QB!E260/Scoring!$C$30+QB!F260*Scoring!$D$30+QB!G260*Scoring!$E$30+QB!H260*Scoring!$F$30+QB!I260/Scoring!$G$30+QB!J260*Scoring!$H$30+QB!K260*Scoring!$I$30+M260*Scoring!$J$30+QB!N260*Scoring!$K$30,0)+C260*Scoring!$B$10*0.07+(C260-D260)*Scoring!$B$5</f>
        <v>0</v>
      </c>
      <c r="P258" s="65">
        <f>MAX(QB!D258*Scoring!$B$30+QB!E258/Scoring!$C$30+QB!F258*Scoring!$D$30+QB!G258*Scoring!$E$30+QB!H258*Scoring!$F$30+QB!I258/Scoring!$G$30+QB!J258*Scoring!$H$30+QB!K258*Scoring!$I$30+M258*Scoring!$J$30+QB!N258*Scoring!$K$30,0)+C258*Scoring!$B$10*0.07+(C258-D258)*Scoring!$B$5</f>
        <v>0</v>
      </c>
      <c r="Q258" s="65">
        <f>MAX(QB!D259*Scoring!$B$30+QB!E259/Scoring!$C$30+QB!F259*Scoring!$D$30+QB!G259*Scoring!$E$30+QB!H259*Scoring!$F$30+QB!I259/Scoring!$G$30+QB!J259*Scoring!$H$30+QB!K259*Scoring!$I$30+M259*Scoring!$J$30+QB!N259*Scoring!$K$30,0)+C259*Scoring!$B$10*0.07+(C259-D259)*Scoring!$B$5</f>
        <v>0</v>
      </c>
    </row>
    <row r="259" spans="13:17" ht="14.25" customHeight="1" x14ac:dyDescent="0.3">
      <c r="M259" s="64">
        <f t="shared" ref="M259:M302" si="8">IFERROR(((E259/D259)/10.96)*0.5218*D259,0)</f>
        <v>0</v>
      </c>
      <c r="N259" s="64">
        <f t="shared" ref="N259:N302" si="9">IFERROR((((I259/H259)/5.3)*0.401)*H259,0)</f>
        <v>0</v>
      </c>
      <c r="O259" s="65"/>
      <c r="P259" s="65"/>
      <c r="Q259" s="65"/>
    </row>
    <row r="260" spans="13:17" ht="14.25" customHeight="1" x14ac:dyDescent="0.3">
      <c r="M260" s="64">
        <f t="shared" si="8"/>
        <v>0</v>
      </c>
      <c r="N260" s="64">
        <f t="shared" si="9"/>
        <v>0</v>
      </c>
      <c r="O260" s="65"/>
      <c r="P260" s="65"/>
      <c r="Q260" s="65"/>
    </row>
    <row r="261" spans="13:17" ht="14.25" customHeight="1" x14ac:dyDescent="0.3">
      <c r="M261" s="64">
        <f t="shared" si="8"/>
        <v>0</v>
      </c>
      <c r="N261" s="64">
        <f t="shared" si="9"/>
        <v>0</v>
      </c>
      <c r="O261" s="65">
        <f>MAX(QB!D263*Scoring!$B$30+QB!E263/Scoring!$C$30+QB!F263*Scoring!$D$30+QB!G263*Scoring!$E$30+QB!H263*Scoring!$F$30+QB!I263/Scoring!$G$30+QB!J263*Scoring!$H$30+QB!K263*Scoring!$I$30+M263*Scoring!$J$30+QB!N263*Scoring!$K$30,0)+C263*Scoring!$B$10*0.07+(C263-D263)*Scoring!$B$5</f>
        <v>0</v>
      </c>
      <c r="P261" s="65">
        <f>MAX(QB!D261*Scoring!$B$30+QB!E261/Scoring!$C$30+QB!F261*Scoring!$D$30+QB!G261*Scoring!$E$30+QB!H261*Scoring!$F$30+QB!I261/Scoring!$G$30+QB!J261*Scoring!$H$30+QB!K261*Scoring!$I$30+M261*Scoring!$J$30+QB!N261*Scoring!$K$30,0)+C261*Scoring!$B$10*0.07+(C261-D261)*Scoring!$B$5</f>
        <v>0</v>
      </c>
      <c r="Q261" s="65">
        <f>MAX(QB!D262*Scoring!$B$30+QB!E262/Scoring!$C$30+QB!F262*Scoring!$D$30+QB!G262*Scoring!$E$30+QB!H262*Scoring!$F$30+QB!I262/Scoring!$G$30+QB!J262*Scoring!$H$30+QB!K262*Scoring!$I$30+M262*Scoring!$J$30+QB!N262*Scoring!$K$30,0)+C262*Scoring!$B$10*0.07+(C262-D262)*Scoring!$B$5</f>
        <v>0</v>
      </c>
    </row>
    <row r="262" spans="13:17" ht="14.25" customHeight="1" x14ac:dyDescent="0.3">
      <c r="M262" s="64">
        <f t="shared" si="8"/>
        <v>0</v>
      </c>
      <c r="N262" s="64">
        <f t="shared" si="9"/>
        <v>0</v>
      </c>
      <c r="O262" s="65"/>
      <c r="P262" s="65"/>
      <c r="Q262" s="65"/>
    </row>
    <row r="263" spans="13:17" ht="14.25" customHeight="1" x14ac:dyDescent="0.3">
      <c r="M263" s="64">
        <f t="shared" si="8"/>
        <v>0</v>
      </c>
      <c r="N263" s="64">
        <f t="shared" si="9"/>
        <v>0</v>
      </c>
      <c r="O263" s="65"/>
      <c r="P263" s="65"/>
      <c r="Q263" s="65"/>
    </row>
    <row r="264" spans="13:17" ht="14.25" customHeight="1" x14ac:dyDescent="0.3">
      <c r="M264" s="64">
        <f t="shared" si="8"/>
        <v>0</v>
      </c>
      <c r="N264" s="64">
        <f t="shared" si="9"/>
        <v>0</v>
      </c>
      <c r="O264" s="65">
        <f>MAX(QB!D266*Scoring!$B$30+QB!E266/Scoring!$C$30+QB!F266*Scoring!$D$30+QB!G266*Scoring!$E$30+QB!H266*Scoring!$F$30+QB!I266/Scoring!$G$30+QB!J266*Scoring!$H$30+QB!K266*Scoring!$I$30+M266*Scoring!$J$30+QB!N266*Scoring!$K$30,0)+C266*Scoring!$B$10*0.07+(C266-D266)*Scoring!$B$5</f>
        <v>0</v>
      </c>
      <c r="P264" s="65">
        <f>MAX(QB!D264*Scoring!$B$30+QB!E264/Scoring!$C$30+QB!F264*Scoring!$D$30+QB!G264*Scoring!$E$30+QB!H264*Scoring!$F$30+QB!I264/Scoring!$G$30+QB!J264*Scoring!$H$30+QB!K264*Scoring!$I$30+M264*Scoring!$J$30+QB!N264*Scoring!$K$30,0)+C264*Scoring!$B$10*0.07+(C264-D264)*Scoring!$B$5</f>
        <v>0</v>
      </c>
      <c r="Q264" s="65">
        <f>MAX(QB!D265*Scoring!$B$30+QB!E265/Scoring!$C$30+QB!F265*Scoring!$D$30+QB!G265*Scoring!$E$30+QB!H265*Scoring!$F$30+QB!I265/Scoring!$G$30+QB!J265*Scoring!$H$30+QB!K265*Scoring!$I$30+M265*Scoring!$J$30+QB!N265*Scoring!$K$30,0)+C265*Scoring!$B$10*0.07+(C265-D265)*Scoring!$B$5</f>
        <v>0</v>
      </c>
    </row>
    <row r="265" spans="13:17" ht="14.25" customHeight="1" x14ac:dyDescent="0.3">
      <c r="M265" s="64">
        <f t="shared" si="8"/>
        <v>0</v>
      </c>
      <c r="N265" s="64">
        <f t="shared" si="9"/>
        <v>0</v>
      </c>
      <c r="O265" s="65"/>
      <c r="P265" s="65"/>
      <c r="Q265" s="65"/>
    </row>
    <row r="266" spans="13:17" ht="14.25" customHeight="1" x14ac:dyDescent="0.3">
      <c r="M266" s="64">
        <f t="shared" si="8"/>
        <v>0</v>
      </c>
      <c r="N266" s="64">
        <f t="shared" si="9"/>
        <v>0</v>
      </c>
      <c r="O266" s="65"/>
      <c r="P266" s="65"/>
      <c r="Q266" s="65"/>
    </row>
    <row r="267" spans="13:17" ht="14.25" customHeight="1" x14ac:dyDescent="0.3">
      <c r="M267" s="64">
        <f t="shared" si="8"/>
        <v>0</v>
      </c>
      <c r="N267" s="64">
        <f t="shared" si="9"/>
        <v>0</v>
      </c>
      <c r="O267" s="65">
        <f>MAX(QB!D269*Scoring!$B$30+QB!E269/Scoring!$C$30+QB!F269*Scoring!$D$30+QB!G269*Scoring!$E$30+QB!H269*Scoring!$F$30+QB!I269/Scoring!$G$30+QB!J269*Scoring!$H$30+QB!K269*Scoring!$I$30+M269*Scoring!$J$30+QB!N269*Scoring!$K$30,0)+C269*Scoring!$B$10*0.07+(C269-D269)*Scoring!$B$5</f>
        <v>0</v>
      </c>
      <c r="P267" s="65">
        <f>MAX(QB!D267*Scoring!$B$30+QB!E267/Scoring!$C$30+QB!F267*Scoring!$D$30+QB!G267*Scoring!$E$30+QB!H267*Scoring!$F$30+QB!I267/Scoring!$G$30+QB!J267*Scoring!$H$30+QB!K267*Scoring!$I$30+M267*Scoring!$J$30+QB!N267*Scoring!$K$30,0)+C267*Scoring!$B$10*0.07+(C267-D267)*Scoring!$B$5</f>
        <v>0</v>
      </c>
      <c r="Q267" s="65">
        <f>MAX(QB!D268*Scoring!$B$30+QB!E268/Scoring!$C$30+QB!F268*Scoring!$D$30+QB!G268*Scoring!$E$30+QB!H268*Scoring!$F$30+QB!I268/Scoring!$G$30+QB!J268*Scoring!$H$30+QB!K268*Scoring!$I$30+M268*Scoring!$J$30+QB!N268*Scoring!$K$30,0)+C268*Scoring!$B$10*0.07+(C268-D268)*Scoring!$B$5</f>
        <v>0</v>
      </c>
    </row>
    <row r="268" spans="13:17" ht="14.25" customHeight="1" x14ac:dyDescent="0.3">
      <c r="M268" s="64">
        <f t="shared" si="8"/>
        <v>0</v>
      </c>
      <c r="N268" s="64">
        <f t="shared" si="9"/>
        <v>0</v>
      </c>
      <c r="O268" s="65"/>
      <c r="P268" s="65"/>
      <c r="Q268" s="65"/>
    </row>
    <row r="269" spans="13:17" ht="14.25" customHeight="1" x14ac:dyDescent="0.3">
      <c r="M269" s="64">
        <f t="shared" si="8"/>
        <v>0</v>
      </c>
      <c r="N269" s="64">
        <f t="shared" si="9"/>
        <v>0</v>
      </c>
      <c r="O269" s="65"/>
      <c r="P269" s="65"/>
      <c r="Q269" s="65"/>
    </row>
    <row r="270" spans="13:17" ht="14.25" customHeight="1" x14ac:dyDescent="0.3">
      <c r="M270" s="64">
        <f t="shared" si="8"/>
        <v>0</v>
      </c>
      <c r="N270" s="64">
        <f t="shared" si="9"/>
        <v>0</v>
      </c>
      <c r="O270" s="65">
        <f>MAX(QB!D272*Scoring!$B$30+QB!E272/Scoring!$C$30+QB!F272*Scoring!$D$30+QB!G272*Scoring!$E$30+QB!H272*Scoring!$F$30+QB!I272/Scoring!$G$30+QB!J272*Scoring!$H$30+QB!K272*Scoring!$I$30+M272*Scoring!$J$30+QB!N272*Scoring!$K$30,0)+C272*Scoring!$B$10*0.07+(C272-D272)*Scoring!$B$5</f>
        <v>0</v>
      </c>
      <c r="P270" s="65">
        <f>MAX(QB!D270*Scoring!$B$30+QB!E270/Scoring!$C$30+QB!F270*Scoring!$D$30+QB!G270*Scoring!$E$30+QB!H270*Scoring!$F$30+QB!I270/Scoring!$G$30+QB!J270*Scoring!$H$30+QB!K270*Scoring!$I$30+M270*Scoring!$J$30+QB!N270*Scoring!$K$30,0)+C270*Scoring!$B$10*0.07+(C270-D270)*Scoring!$B$5</f>
        <v>0</v>
      </c>
      <c r="Q270" s="65">
        <f>MAX(QB!D271*Scoring!$B$30+QB!E271/Scoring!$C$30+QB!F271*Scoring!$D$30+QB!G271*Scoring!$E$30+QB!H271*Scoring!$F$30+QB!I271/Scoring!$G$30+QB!J271*Scoring!$H$30+QB!K271*Scoring!$I$30+M271*Scoring!$J$30+QB!N271*Scoring!$K$30,0)+C271*Scoring!$B$10*0.07+(C271-D271)*Scoring!$B$5</f>
        <v>0</v>
      </c>
    </row>
    <row r="271" spans="13:17" ht="14.25" customHeight="1" x14ac:dyDescent="0.3">
      <c r="M271" s="64">
        <f t="shared" si="8"/>
        <v>0</v>
      </c>
      <c r="N271" s="64">
        <f t="shared" si="9"/>
        <v>0</v>
      </c>
      <c r="O271" s="65"/>
      <c r="P271" s="65"/>
      <c r="Q271" s="65"/>
    </row>
    <row r="272" spans="13:17" ht="14.25" customHeight="1" x14ac:dyDescent="0.3">
      <c r="M272" s="64">
        <f t="shared" si="8"/>
        <v>0</v>
      </c>
      <c r="N272" s="64">
        <f t="shared" si="9"/>
        <v>0</v>
      </c>
      <c r="O272" s="65"/>
      <c r="P272" s="65"/>
      <c r="Q272" s="65"/>
    </row>
    <row r="273" spans="13:17" ht="14.25" customHeight="1" x14ac:dyDescent="0.3">
      <c r="M273" s="64">
        <f t="shared" si="8"/>
        <v>0</v>
      </c>
      <c r="N273" s="64">
        <f t="shared" si="9"/>
        <v>0</v>
      </c>
      <c r="O273" s="65">
        <f>MAX(QB!D275*Scoring!$B$30+QB!E275/Scoring!$C$30+QB!F275*Scoring!$D$30+QB!G275*Scoring!$E$30+QB!H275*Scoring!$F$30+QB!I275/Scoring!$G$30+QB!J275*Scoring!$H$30+QB!K275*Scoring!$I$30+M275*Scoring!$J$30+QB!N275*Scoring!$K$30,0)+C275*Scoring!$B$10*0.07+(C275-D275)*Scoring!$B$5</f>
        <v>0</v>
      </c>
      <c r="P273" s="65">
        <f>MAX(QB!D273*Scoring!$B$30+QB!E273/Scoring!$C$30+QB!F273*Scoring!$D$30+QB!G273*Scoring!$E$30+QB!H273*Scoring!$F$30+QB!I273/Scoring!$G$30+QB!J273*Scoring!$H$30+QB!K273*Scoring!$I$30+M273*Scoring!$J$30+QB!N273*Scoring!$K$30,0)+C273*Scoring!$B$10*0.07+(C273-D273)*Scoring!$B$5</f>
        <v>0</v>
      </c>
      <c r="Q273" s="65">
        <f>MAX(QB!D274*Scoring!$B$30+QB!E274/Scoring!$C$30+QB!F274*Scoring!$D$30+QB!G274*Scoring!$E$30+QB!H274*Scoring!$F$30+QB!I274/Scoring!$G$30+QB!J274*Scoring!$H$30+QB!K274*Scoring!$I$30+M274*Scoring!$J$30+QB!N274*Scoring!$K$30,0)+C274*Scoring!$B$10*0.07+(C274-D274)*Scoring!$B$5</f>
        <v>0</v>
      </c>
    </row>
    <row r="274" spans="13:17" ht="14.25" customHeight="1" x14ac:dyDescent="0.3">
      <c r="M274" s="64">
        <f t="shared" si="8"/>
        <v>0</v>
      </c>
      <c r="N274" s="64">
        <f t="shared" si="9"/>
        <v>0</v>
      </c>
      <c r="O274" s="65"/>
      <c r="P274" s="65"/>
      <c r="Q274" s="65"/>
    </row>
    <row r="275" spans="13:17" ht="14.25" customHeight="1" x14ac:dyDescent="0.3">
      <c r="M275" s="64">
        <f t="shared" si="8"/>
        <v>0</v>
      </c>
      <c r="N275" s="64">
        <f t="shared" si="9"/>
        <v>0</v>
      </c>
      <c r="O275" s="65"/>
      <c r="P275" s="65"/>
      <c r="Q275" s="65"/>
    </row>
    <row r="276" spans="13:17" ht="14.25" customHeight="1" x14ac:dyDescent="0.3">
      <c r="M276" s="64">
        <f t="shared" si="8"/>
        <v>0</v>
      </c>
      <c r="N276" s="64">
        <f t="shared" si="9"/>
        <v>0</v>
      </c>
      <c r="O276" s="65">
        <f>MAX(QB!D278*Scoring!$B$30+QB!E278/Scoring!$C$30+QB!F278*Scoring!$D$30+QB!G278*Scoring!$E$30+QB!H278*Scoring!$F$30+QB!I278/Scoring!$G$30+QB!J278*Scoring!$H$30+QB!K278*Scoring!$I$30+M278*Scoring!$J$30+QB!N278*Scoring!$K$30,0)+C278*Scoring!$B$10*0.07+(C278-D278)*Scoring!$B$5</f>
        <v>0</v>
      </c>
      <c r="P276" s="65">
        <f>MAX(QB!D276*Scoring!$B$30+QB!E276/Scoring!$C$30+QB!F276*Scoring!$D$30+QB!G276*Scoring!$E$30+QB!H276*Scoring!$F$30+QB!I276/Scoring!$G$30+QB!J276*Scoring!$H$30+QB!K276*Scoring!$I$30+M276*Scoring!$J$30+QB!N276*Scoring!$K$30,0)+C276*Scoring!$B$10*0.07+(C276-D276)*Scoring!$B$5</f>
        <v>0</v>
      </c>
      <c r="Q276" s="65">
        <f>MAX(QB!D277*Scoring!$B$30+QB!E277/Scoring!$C$30+QB!F277*Scoring!$D$30+QB!G277*Scoring!$E$30+QB!H277*Scoring!$F$30+QB!I277/Scoring!$G$30+QB!J277*Scoring!$H$30+QB!K277*Scoring!$I$30+M277*Scoring!$J$30+QB!N277*Scoring!$K$30,0)+C277*Scoring!$B$10*0.07+(C277-D277)*Scoring!$B$5</f>
        <v>0</v>
      </c>
    </row>
    <row r="277" spans="13:17" ht="14.25" customHeight="1" x14ac:dyDescent="0.3">
      <c r="M277" s="64">
        <f t="shared" si="8"/>
        <v>0</v>
      </c>
      <c r="N277" s="64">
        <f t="shared" si="9"/>
        <v>0</v>
      </c>
      <c r="O277" s="65"/>
      <c r="P277" s="65"/>
      <c r="Q277" s="65"/>
    </row>
    <row r="278" spans="13:17" ht="14.25" customHeight="1" x14ac:dyDescent="0.3">
      <c r="M278" s="64">
        <f t="shared" si="8"/>
        <v>0</v>
      </c>
      <c r="N278" s="64">
        <f t="shared" si="9"/>
        <v>0</v>
      </c>
      <c r="O278" s="65"/>
      <c r="P278" s="65"/>
      <c r="Q278" s="65"/>
    </row>
    <row r="279" spans="13:17" ht="14.25" customHeight="1" x14ac:dyDescent="0.3">
      <c r="M279" s="64">
        <f t="shared" si="8"/>
        <v>0</v>
      </c>
      <c r="N279" s="64">
        <f t="shared" si="9"/>
        <v>0</v>
      </c>
      <c r="O279" s="65">
        <f>MAX(QB!D281*Scoring!$B$30+QB!E281/Scoring!$C$30+QB!F281*Scoring!$D$30+QB!G281*Scoring!$E$30+QB!H281*Scoring!$F$30+QB!I281/Scoring!$G$30+QB!J281*Scoring!$H$30+QB!K281*Scoring!$I$30+M281*Scoring!$J$30+QB!N281*Scoring!$K$30,0)+C281*Scoring!$B$10*0.07+(C281-D281)*Scoring!$B$5</f>
        <v>0</v>
      </c>
      <c r="P279" s="65">
        <f>MAX(QB!D279*Scoring!$B$30+QB!E279/Scoring!$C$30+QB!F279*Scoring!$D$30+QB!G279*Scoring!$E$30+QB!H279*Scoring!$F$30+QB!I279/Scoring!$G$30+QB!J279*Scoring!$H$30+QB!K279*Scoring!$I$30+M279*Scoring!$J$30+QB!N279*Scoring!$K$30,0)+C279*Scoring!$B$10*0.07+(C279-D279)*Scoring!$B$5</f>
        <v>0</v>
      </c>
      <c r="Q279" s="65">
        <f>MAX(QB!D280*Scoring!$B$30+QB!E280/Scoring!$C$30+QB!F280*Scoring!$D$30+QB!G280*Scoring!$E$30+QB!H280*Scoring!$F$30+QB!I280/Scoring!$G$30+QB!J280*Scoring!$H$30+QB!K280*Scoring!$I$30+M280*Scoring!$J$30+QB!N280*Scoring!$K$30,0)+C280*Scoring!$B$10*0.07+(C280-D280)*Scoring!$B$5</f>
        <v>0</v>
      </c>
    </row>
    <row r="280" spans="13:17" ht="14.25" customHeight="1" x14ac:dyDescent="0.3">
      <c r="M280" s="64">
        <f t="shared" si="8"/>
        <v>0</v>
      </c>
      <c r="N280" s="64">
        <f t="shared" si="9"/>
        <v>0</v>
      </c>
      <c r="O280" s="65"/>
      <c r="P280" s="65"/>
      <c r="Q280" s="65"/>
    </row>
    <row r="281" spans="13:17" ht="14.25" customHeight="1" x14ac:dyDescent="0.3">
      <c r="M281" s="64">
        <f t="shared" si="8"/>
        <v>0</v>
      </c>
      <c r="N281" s="64">
        <f t="shared" si="9"/>
        <v>0</v>
      </c>
      <c r="O281" s="65"/>
      <c r="P281" s="65"/>
      <c r="Q281" s="65"/>
    </row>
    <row r="282" spans="13:17" ht="14.25" customHeight="1" x14ac:dyDescent="0.3">
      <c r="M282" s="64">
        <f t="shared" si="8"/>
        <v>0</v>
      </c>
      <c r="N282" s="64">
        <f t="shared" si="9"/>
        <v>0</v>
      </c>
      <c r="O282" s="65">
        <f>MAX(QB!D284*Scoring!$B$30+QB!E284/Scoring!$C$30+QB!F284*Scoring!$D$30+QB!G284*Scoring!$E$30+QB!H284*Scoring!$F$30+QB!I284/Scoring!$G$30+QB!J284*Scoring!$H$30+QB!K284*Scoring!$I$30+M284*Scoring!$J$30+QB!N284*Scoring!$K$30,0)+C284*Scoring!$B$10*0.07+(C284-D284)*Scoring!$B$5</f>
        <v>0</v>
      </c>
      <c r="P282" s="65">
        <f>MAX(QB!D282*Scoring!$B$30+QB!E282/Scoring!$C$30+QB!F282*Scoring!$D$30+QB!G282*Scoring!$E$30+QB!H282*Scoring!$F$30+QB!I282/Scoring!$G$30+QB!J282*Scoring!$H$30+QB!K282*Scoring!$I$30+M282*Scoring!$J$30+QB!N282*Scoring!$K$30,0)+C282*Scoring!$B$10*0.07+(C282-D282)*Scoring!$B$5</f>
        <v>0</v>
      </c>
      <c r="Q282" s="65">
        <f>MAX(QB!D283*Scoring!$B$30+QB!E283/Scoring!$C$30+QB!F283*Scoring!$D$30+QB!G283*Scoring!$E$30+QB!H283*Scoring!$F$30+QB!I283/Scoring!$G$30+QB!J283*Scoring!$H$30+QB!K283*Scoring!$I$30+M283*Scoring!$J$30+QB!N283*Scoring!$K$30,0)+C283*Scoring!$B$10*0.07+(C283-D283)*Scoring!$B$5</f>
        <v>0</v>
      </c>
    </row>
    <row r="283" spans="13:17" ht="14.25" customHeight="1" x14ac:dyDescent="0.3">
      <c r="M283" s="64">
        <f t="shared" si="8"/>
        <v>0</v>
      </c>
      <c r="N283" s="64">
        <f t="shared" si="9"/>
        <v>0</v>
      </c>
      <c r="O283" s="65"/>
      <c r="P283" s="65"/>
      <c r="Q283" s="65"/>
    </row>
    <row r="284" spans="13:17" ht="14.25" customHeight="1" x14ac:dyDescent="0.3">
      <c r="M284" s="64">
        <f t="shared" si="8"/>
        <v>0</v>
      </c>
      <c r="N284" s="64">
        <f t="shared" si="9"/>
        <v>0</v>
      </c>
      <c r="O284" s="65"/>
      <c r="P284" s="65"/>
      <c r="Q284" s="65"/>
    </row>
    <row r="285" spans="13:17" ht="14.25" customHeight="1" x14ac:dyDescent="0.3">
      <c r="M285" s="64">
        <f t="shared" si="8"/>
        <v>0</v>
      </c>
      <c r="N285" s="64">
        <f t="shared" si="9"/>
        <v>0</v>
      </c>
      <c r="O285" s="65">
        <f>MAX(QB!D287*Scoring!$B$30+QB!E287/Scoring!$C$30+QB!F287*Scoring!$D$30+QB!G287*Scoring!$E$30+QB!H287*Scoring!$F$30+QB!I287/Scoring!$G$30+QB!J287*Scoring!$H$30+QB!K287*Scoring!$I$30+M287*Scoring!$J$30+QB!N287*Scoring!$K$30,0)+C287*Scoring!$B$10*0.07+(C287-D287)*Scoring!$B$5</f>
        <v>0</v>
      </c>
      <c r="P285" s="65">
        <f>MAX(QB!D285*Scoring!$B$30+QB!E285/Scoring!$C$30+QB!F285*Scoring!$D$30+QB!G285*Scoring!$E$30+QB!H285*Scoring!$F$30+QB!I285/Scoring!$G$30+QB!J285*Scoring!$H$30+QB!K285*Scoring!$I$30+M285*Scoring!$J$30+QB!N285*Scoring!$K$30,0)+C285*Scoring!$B$10*0.07+(C285-D285)*Scoring!$B$5</f>
        <v>0</v>
      </c>
      <c r="Q285" s="65">
        <f>MAX(QB!D286*Scoring!$B$30+QB!E286/Scoring!$C$30+QB!F286*Scoring!$D$30+QB!G286*Scoring!$E$30+QB!H286*Scoring!$F$30+QB!I286/Scoring!$G$30+QB!J286*Scoring!$H$30+QB!K286*Scoring!$I$30+M286*Scoring!$J$30+QB!N286*Scoring!$K$30,0)+C286*Scoring!$B$10*0.07+(C286-D286)*Scoring!$B$5</f>
        <v>0</v>
      </c>
    </row>
    <row r="286" spans="13:17" ht="14.25" customHeight="1" x14ac:dyDescent="0.3">
      <c r="M286" s="64">
        <f t="shared" si="8"/>
        <v>0</v>
      </c>
      <c r="N286" s="64">
        <f t="shared" si="9"/>
        <v>0</v>
      </c>
      <c r="O286" s="65"/>
      <c r="P286" s="65"/>
      <c r="Q286" s="65"/>
    </row>
    <row r="287" spans="13:17" ht="14.25" customHeight="1" x14ac:dyDescent="0.3">
      <c r="M287" s="64">
        <f t="shared" si="8"/>
        <v>0</v>
      </c>
      <c r="N287" s="64">
        <f t="shared" si="9"/>
        <v>0</v>
      </c>
      <c r="O287" s="65"/>
      <c r="P287" s="65"/>
      <c r="Q287" s="65"/>
    </row>
    <row r="288" spans="13:17" ht="14.25" customHeight="1" x14ac:dyDescent="0.3">
      <c r="M288" s="64">
        <f t="shared" si="8"/>
        <v>0</v>
      </c>
      <c r="N288" s="64">
        <f t="shared" si="9"/>
        <v>0</v>
      </c>
      <c r="O288" s="65">
        <f>MAX(QB!D290*Scoring!$B$30+QB!E290/Scoring!$C$30+QB!F290*Scoring!$D$30+QB!G290*Scoring!$E$30+QB!H290*Scoring!$F$30+QB!I290/Scoring!$G$30+QB!J290*Scoring!$H$30+QB!K290*Scoring!$I$30+M290*Scoring!$J$30+QB!N290*Scoring!$K$30,0)+C290*Scoring!$B$10*0.07+(C290-D290)*Scoring!$B$5</f>
        <v>0</v>
      </c>
      <c r="P288" s="65">
        <f>MAX(QB!D288*Scoring!$B$30+QB!E288/Scoring!$C$30+QB!F288*Scoring!$D$30+QB!G288*Scoring!$E$30+QB!H288*Scoring!$F$30+QB!I288/Scoring!$G$30+QB!J288*Scoring!$H$30+QB!K288*Scoring!$I$30+M288*Scoring!$J$30+QB!N288*Scoring!$K$30,0)+C288*Scoring!$B$10*0.07+(C288-D288)*Scoring!$B$5</f>
        <v>0</v>
      </c>
      <c r="Q288" s="65">
        <f>MAX(QB!D289*Scoring!$B$30+QB!E289/Scoring!$C$30+QB!F289*Scoring!$D$30+QB!G289*Scoring!$E$30+QB!H289*Scoring!$F$30+QB!I289/Scoring!$G$30+QB!J289*Scoring!$H$30+QB!K289*Scoring!$I$30+M289*Scoring!$J$30+QB!N289*Scoring!$K$30,0)+C289*Scoring!$B$10*0.07+(C289-D289)*Scoring!$B$5</f>
        <v>0</v>
      </c>
    </row>
    <row r="289" spans="13:17" ht="14.25" customHeight="1" x14ac:dyDescent="0.3">
      <c r="M289" s="64">
        <f t="shared" si="8"/>
        <v>0</v>
      </c>
      <c r="N289" s="64">
        <f t="shared" si="9"/>
        <v>0</v>
      </c>
      <c r="O289" s="65"/>
      <c r="P289" s="65"/>
      <c r="Q289" s="65"/>
    </row>
    <row r="290" spans="13:17" ht="14.25" customHeight="1" x14ac:dyDescent="0.3">
      <c r="M290" s="64">
        <f t="shared" si="8"/>
        <v>0</v>
      </c>
      <c r="N290" s="64">
        <f t="shared" si="9"/>
        <v>0</v>
      </c>
      <c r="O290" s="65"/>
      <c r="P290" s="65"/>
      <c r="Q290" s="65"/>
    </row>
    <row r="291" spans="13:17" ht="14.25" customHeight="1" x14ac:dyDescent="0.3">
      <c r="M291" s="64">
        <f t="shared" si="8"/>
        <v>0</v>
      </c>
      <c r="N291" s="64">
        <f t="shared" si="9"/>
        <v>0</v>
      </c>
      <c r="O291" s="65">
        <f>MAX(QB!D293*Scoring!$B$30+QB!E293/Scoring!$C$30+QB!F293*Scoring!$D$30+QB!G293*Scoring!$E$30+QB!H293*Scoring!$F$30+QB!I293/Scoring!$G$30+QB!J293*Scoring!$H$30+QB!K293*Scoring!$I$30+M293*Scoring!$J$30+QB!N293*Scoring!$K$30,0)+C293*Scoring!$B$10*0.07+(C293-D293)*Scoring!$B$5</f>
        <v>0</v>
      </c>
      <c r="P291" s="65">
        <f>MAX(QB!D291*Scoring!$B$30+QB!E291/Scoring!$C$30+QB!F291*Scoring!$D$30+QB!G291*Scoring!$E$30+QB!H291*Scoring!$F$30+QB!I291/Scoring!$G$30+QB!J291*Scoring!$H$30+QB!K291*Scoring!$I$30+M291*Scoring!$J$30+QB!N291*Scoring!$K$30,0)+C291*Scoring!$B$10*0.07+(C291-D291)*Scoring!$B$5</f>
        <v>0</v>
      </c>
      <c r="Q291" s="65">
        <f>MAX(QB!D292*Scoring!$B$30+QB!E292/Scoring!$C$30+QB!F292*Scoring!$D$30+QB!G292*Scoring!$E$30+QB!H292*Scoring!$F$30+QB!I292/Scoring!$G$30+QB!J292*Scoring!$H$30+QB!K292*Scoring!$I$30+M292*Scoring!$J$30+QB!N292*Scoring!$K$30,0)+C292*Scoring!$B$10*0.07+(C292-D292)*Scoring!$B$5</f>
        <v>0</v>
      </c>
    </row>
    <row r="292" spans="13:17" ht="14.25" customHeight="1" x14ac:dyDescent="0.3">
      <c r="M292" s="64">
        <f t="shared" si="8"/>
        <v>0</v>
      </c>
      <c r="N292" s="64">
        <f t="shared" si="9"/>
        <v>0</v>
      </c>
      <c r="O292" s="65"/>
      <c r="P292" s="65"/>
      <c r="Q292" s="65"/>
    </row>
    <row r="293" spans="13:17" ht="14.25" customHeight="1" x14ac:dyDescent="0.3">
      <c r="M293" s="64">
        <f t="shared" si="8"/>
        <v>0</v>
      </c>
      <c r="N293" s="64">
        <f t="shared" si="9"/>
        <v>0</v>
      </c>
      <c r="O293" s="65"/>
      <c r="P293" s="65"/>
      <c r="Q293" s="65"/>
    </row>
    <row r="294" spans="13:17" ht="14.25" customHeight="1" x14ac:dyDescent="0.3">
      <c r="M294" s="64">
        <f t="shared" si="8"/>
        <v>0</v>
      </c>
      <c r="N294" s="64">
        <f t="shared" si="9"/>
        <v>0</v>
      </c>
      <c r="O294" s="65">
        <f>MAX(QB!D296*Scoring!$B$30+QB!E296/Scoring!$C$30+QB!F296*Scoring!$D$30+QB!G296*Scoring!$E$30+QB!H296*Scoring!$F$30+QB!I296/Scoring!$G$30+QB!J296*Scoring!$H$30+QB!K296*Scoring!$I$30+M296*Scoring!$J$30+QB!N296*Scoring!$K$30,0)+C296*Scoring!$B$10*0.07+(C296-D296)*Scoring!$B$5</f>
        <v>0</v>
      </c>
      <c r="P294" s="65">
        <f>MAX(QB!D294*Scoring!$B$30+QB!E294/Scoring!$C$30+QB!F294*Scoring!$D$30+QB!G294*Scoring!$E$30+QB!H294*Scoring!$F$30+QB!I294/Scoring!$G$30+QB!J294*Scoring!$H$30+QB!K294*Scoring!$I$30+M294*Scoring!$J$30+QB!N294*Scoring!$K$30,0)+C294*Scoring!$B$10*0.07+(C294-D294)*Scoring!$B$5</f>
        <v>0</v>
      </c>
      <c r="Q294" s="65">
        <f>MAX(QB!D295*Scoring!$B$30+QB!E295/Scoring!$C$30+QB!F295*Scoring!$D$30+QB!G295*Scoring!$E$30+QB!H295*Scoring!$F$30+QB!I295/Scoring!$G$30+QB!J295*Scoring!$H$30+QB!K295*Scoring!$I$30+M295*Scoring!$J$30+QB!N295*Scoring!$K$30,0)+C295*Scoring!$B$10*0.07+(C295-D295)*Scoring!$B$5</f>
        <v>0</v>
      </c>
    </row>
    <row r="295" spans="13:17" ht="14.25" customHeight="1" x14ac:dyDescent="0.3">
      <c r="M295" s="64">
        <f t="shared" si="8"/>
        <v>0</v>
      </c>
      <c r="N295" s="64">
        <f t="shared" si="9"/>
        <v>0</v>
      </c>
      <c r="O295" s="65"/>
      <c r="P295" s="65"/>
      <c r="Q295" s="65"/>
    </row>
    <row r="296" spans="13:17" ht="14.25" customHeight="1" x14ac:dyDescent="0.3">
      <c r="M296" s="64">
        <f t="shared" si="8"/>
        <v>0</v>
      </c>
      <c r="N296" s="64">
        <f t="shared" si="9"/>
        <v>0</v>
      </c>
      <c r="O296" s="65"/>
      <c r="P296" s="65"/>
      <c r="Q296" s="65"/>
    </row>
    <row r="297" spans="13:17" ht="14.25" customHeight="1" x14ac:dyDescent="0.3">
      <c r="M297" s="64">
        <f t="shared" si="8"/>
        <v>0</v>
      </c>
      <c r="N297" s="64">
        <f t="shared" si="9"/>
        <v>0</v>
      </c>
      <c r="O297" s="65">
        <f>MAX(QB!D299*Scoring!$B$30+QB!E299/Scoring!$C$30+QB!F299*Scoring!$D$30+QB!G299*Scoring!$E$30+QB!H299*Scoring!$F$30+QB!I299/Scoring!$G$30+QB!J299*Scoring!$H$30+QB!K299*Scoring!$I$30+M299*Scoring!$J$30+QB!N299*Scoring!$K$30,0)+C299*Scoring!$B$10*0.07+(C299-D299)*Scoring!$B$5</f>
        <v>0</v>
      </c>
      <c r="P297" s="65">
        <f>MAX(QB!D297*Scoring!$B$30+QB!E297/Scoring!$C$30+QB!F297*Scoring!$D$30+QB!G297*Scoring!$E$30+QB!H297*Scoring!$F$30+QB!I297/Scoring!$G$30+QB!J297*Scoring!$H$30+QB!K297*Scoring!$I$30+M297*Scoring!$J$30+QB!N297*Scoring!$K$30,0)+C297*Scoring!$B$10*0.07+(C297-D297)*Scoring!$B$5</f>
        <v>0</v>
      </c>
      <c r="Q297" s="65">
        <f>MAX(QB!D298*Scoring!$B$30+QB!E298/Scoring!$C$30+QB!F298*Scoring!$D$30+QB!G298*Scoring!$E$30+QB!H298*Scoring!$F$30+QB!I298/Scoring!$G$30+QB!J298*Scoring!$H$30+QB!K298*Scoring!$I$30+M298*Scoring!$J$30+QB!N298*Scoring!$K$30,0)+C298*Scoring!$B$10*0.07+(C298-D298)*Scoring!$B$5</f>
        <v>0</v>
      </c>
    </row>
    <row r="298" spans="13:17" ht="14.25" customHeight="1" x14ac:dyDescent="0.3">
      <c r="M298" s="64">
        <f t="shared" si="8"/>
        <v>0</v>
      </c>
      <c r="N298" s="64">
        <f t="shared" si="9"/>
        <v>0</v>
      </c>
      <c r="O298" s="65"/>
      <c r="P298" s="65"/>
      <c r="Q298" s="65"/>
    </row>
    <row r="299" spans="13:17" ht="14.25" customHeight="1" x14ac:dyDescent="0.3">
      <c r="M299" s="64">
        <f t="shared" si="8"/>
        <v>0</v>
      </c>
      <c r="N299" s="64">
        <f t="shared" si="9"/>
        <v>0</v>
      </c>
      <c r="O299" s="65"/>
      <c r="P299" s="65"/>
      <c r="Q299" s="65"/>
    </row>
    <row r="300" spans="13:17" ht="14.25" customHeight="1" x14ac:dyDescent="0.3">
      <c r="M300" s="64">
        <f t="shared" si="8"/>
        <v>0</v>
      </c>
      <c r="N300" s="64">
        <f t="shared" si="9"/>
        <v>0</v>
      </c>
      <c r="O300" s="65">
        <f>MAX(QB!D302*Scoring!$B$30+QB!E302/Scoring!$C$30+QB!F302*Scoring!$D$30+QB!G302*Scoring!$E$30+QB!H302*Scoring!$F$30+QB!I302/Scoring!$G$30+QB!J302*Scoring!$H$30+QB!K302*Scoring!$I$30+M302*Scoring!$J$30+QB!N302*Scoring!$K$30,0)+C302*Scoring!$B$10*0.07+(C302-D302)*Scoring!$B$5</f>
        <v>0</v>
      </c>
      <c r="P300" s="65">
        <f>MAX(QB!D300*Scoring!$B$30+QB!E300/Scoring!$C$30+QB!F300*Scoring!$D$30+QB!G300*Scoring!$E$30+QB!H300*Scoring!$F$30+QB!I300/Scoring!$G$30+QB!J300*Scoring!$H$30+QB!K300*Scoring!$I$30+M300*Scoring!$J$30+QB!N300*Scoring!$K$30,0)+C300*Scoring!$B$10*0.07+(C300-D300)*Scoring!$B$5</f>
        <v>0</v>
      </c>
      <c r="Q300" s="65">
        <f>MAX(QB!D301*Scoring!$B$30+QB!E301/Scoring!$C$30+QB!F301*Scoring!$D$30+QB!G301*Scoring!$E$30+QB!H301*Scoring!$F$30+QB!I301/Scoring!$G$30+QB!J301*Scoring!$H$30+QB!K301*Scoring!$I$30+M301*Scoring!$J$30+QB!N301*Scoring!$K$30,0)+C301*Scoring!$B$10*0.07+(C301-D301)*Scoring!$B$5</f>
        <v>0</v>
      </c>
    </row>
    <row r="301" spans="13:17" ht="14.25" customHeight="1" x14ac:dyDescent="0.3">
      <c r="M301" s="64">
        <f t="shared" si="8"/>
        <v>0</v>
      </c>
      <c r="N301" s="64">
        <f t="shared" si="9"/>
        <v>0</v>
      </c>
      <c r="O301" s="65"/>
      <c r="P301" s="65"/>
      <c r="Q301" s="65"/>
    </row>
    <row r="302" spans="13:17" ht="14.25" customHeight="1" x14ac:dyDescent="0.3">
      <c r="M302" s="64">
        <f t="shared" si="8"/>
        <v>0</v>
      </c>
      <c r="N302" s="64">
        <f t="shared" si="9"/>
        <v>0</v>
      </c>
      <c r="O302" s="65"/>
      <c r="P302" s="65"/>
      <c r="Q302" s="65"/>
    </row>
    <row r="303" spans="13:17" ht="14.25" customHeight="1" x14ac:dyDescent="0.3">
      <c r="O303" s="65">
        <f>MAX(QB!D305*Scoring!$B$30+QB!E305/Scoring!$C$30+QB!F305*Scoring!$D$30+QB!G305*Scoring!$E$30+QB!H305*Scoring!$F$30+QB!I305/Scoring!$G$30+QB!J305*Scoring!$H$30+QB!K305*Scoring!$I$30+M305*Scoring!$J$30+QB!N305*Scoring!$K$30,0)+C305*Scoring!$B$10*0.07+(C305-D305)*Scoring!$B$5</f>
        <v>0</v>
      </c>
      <c r="P303" s="65">
        <f>MAX(QB!D303*Scoring!$B$30+QB!E303/Scoring!$C$30+QB!F303*Scoring!$D$30+QB!G303*Scoring!$E$30+QB!H303*Scoring!$F$30+QB!I303/Scoring!$G$30+QB!J303*Scoring!$H$30+QB!K303*Scoring!$I$30+M303*Scoring!$J$30+QB!N303*Scoring!$K$30,0)+C303*Scoring!$B$10*0.07+(C303-D303)*Scoring!$B$5</f>
        <v>0</v>
      </c>
      <c r="Q303" s="65">
        <f>MAX(QB!D304*Scoring!$B$30+QB!E304/Scoring!$C$30+QB!F304*Scoring!$D$30+QB!G304*Scoring!$E$30+QB!H304*Scoring!$F$30+QB!I304/Scoring!$G$30+QB!J304*Scoring!$H$30+QB!K304*Scoring!$I$30+M304*Scoring!$J$30+QB!N304*Scoring!$K$30,0)+C304*Scoring!$B$10*0.07+(C304-D304)*Scoring!$B$5</f>
        <v>0</v>
      </c>
    </row>
    <row r="304" spans="13:17" ht="14.25" customHeight="1" x14ac:dyDescent="0.3">
      <c r="O304" s="65"/>
      <c r="P304" s="65"/>
      <c r="Q304" s="65"/>
    </row>
    <row r="305" spans="15:17" ht="14.25" customHeight="1" x14ac:dyDescent="0.3">
      <c r="O305" s="65"/>
      <c r="P305" s="65"/>
      <c r="Q305" s="65"/>
    </row>
    <row r="306" spans="15:17" ht="14.25" customHeight="1" x14ac:dyDescent="0.3">
      <c r="O306" s="65">
        <f>MAX(QB!D308*Scoring!$B$30+QB!E308/Scoring!$C$30+QB!F308*Scoring!$D$30+QB!G308*Scoring!$E$30+QB!H308*Scoring!$F$30+QB!I308/Scoring!$G$30+QB!J308*Scoring!$H$30+QB!K308*Scoring!$I$30+M308*Scoring!$J$30+QB!N308*Scoring!$K$30,0)+C308*Scoring!$B$10*0.07+(C308-D308)*Scoring!$B$5</f>
        <v>0</v>
      </c>
      <c r="P306" s="65">
        <f>MAX(QB!D306*Scoring!$B$30+QB!E306/Scoring!$C$30+QB!F306*Scoring!$D$30+QB!G306*Scoring!$E$30+QB!H306*Scoring!$F$30+QB!I306/Scoring!$G$30+QB!J306*Scoring!$H$30+QB!K306*Scoring!$I$30+M306*Scoring!$J$30+QB!N306*Scoring!$K$30,0)+C306*Scoring!$B$10*0.07+(C306-D306)*Scoring!$B$5</f>
        <v>0</v>
      </c>
      <c r="Q306" s="65">
        <f>MAX(QB!D307*Scoring!$B$30+QB!E307/Scoring!$C$30+QB!F307*Scoring!$D$30+QB!G307*Scoring!$E$30+QB!H307*Scoring!$F$30+QB!I307/Scoring!$G$30+QB!J307*Scoring!$H$30+QB!K307*Scoring!$I$30+M307*Scoring!$J$30+QB!N307*Scoring!$K$30,0)+C307*Scoring!$B$10*0.07+(C307-D307)*Scoring!$B$5</f>
        <v>0</v>
      </c>
    </row>
    <row r="307" spans="15:17" ht="14.25" customHeight="1" x14ac:dyDescent="0.3">
      <c r="O307" s="65"/>
      <c r="P307" s="65"/>
      <c r="Q307" s="65"/>
    </row>
    <row r="308" spans="15:17" ht="14.25" customHeight="1" x14ac:dyDescent="0.3">
      <c r="O308" s="65"/>
      <c r="P308" s="65"/>
      <c r="Q308" s="6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45"/>
  <sheetViews>
    <sheetView zoomScaleNormal="100" workbookViewId="0">
      <selection activeCell="I12" sqref="I12"/>
    </sheetView>
  </sheetViews>
  <sheetFormatPr defaultColWidth="8.88671875" defaultRowHeight="14.4" x14ac:dyDescent="0.3"/>
  <cols>
    <col min="11" max="11" width="5.33203125" style="63" customWidth="1"/>
    <col min="12" max="12" width="6.33203125" style="63" customWidth="1"/>
    <col min="13" max="14" width="5.5546875" style="48" customWidth="1"/>
    <col min="15" max="15" width="6.5546875" style="48" customWidth="1"/>
    <col min="16" max="16384" width="8.88671875" style="20"/>
  </cols>
  <sheetData>
    <row r="1" spans="1:26" ht="14.25" customHeight="1" x14ac:dyDescent="0.3">
      <c r="A1" t="s">
        <v>461</v>
      </c>
      <c r="B1" t="s">
        <v>350</v>
      </c>
      <c r="C1" t="s">
        <v>462</v>
      </c>
      <c r="D1" t="s">
        <v>464</v>
      </c>
      <c r="E1" t="s">
        <v>465</v>
      </c>
      <c r="F1" t="s">
        <v>583</v>
      </c>
      <c r="G1" t="s">
        <v>464</v>
      </c>
      <c r="H1" t="s">
        <v>465</v>
      </c>
      <c r="I1" t="s">
        <v>49</v>
      </c>
      <c r="J1" t="s">
        <v>466</v>
      </c>
      <c r="K1" s="63" t="s">
        <v>468</v>
      </c>
      <c r="L1" s="63" t="s">
        <v>55</v>
      </c>
      <c r="M1" s="55" t="s">
        <v>353</v>
      </c>
      <c r="N1" s="55" t="s">
        <v>354</v>
      </c>
      <c r="O1" s="55" t="s">
        <v>355</v>
      </c>
    </row>
    <row r="2" spans="1:26" ht="14.25" customHeight="1" x14ac:dyDescent="0.3">
      <c r="A2" t="s">
        <v>469</v>
      </c>
      <c r="M2" s="55"/>
      <c r="N2" s="55"/>
      <c r="O2" s="55"/>
    </row>
    <row r="3" spans="1:26" ht="14.25" customHeight="1" x14ac:dyDescent="0.3">
      <c r="A3" t="s">
        <v>584</v>
      </c>
      <c r="B3" t="s">
        <v>503</v>
      </c>
      <c r="C3">
        <v>281.39999999999998</v>
      </c>
      <c r="D3">
        <v>1415.5</v>
      </c>
      <c r="E3">
        <v>14.1</v>
      </c>
      <c r="F3">
        <v>71.7</v>
      </c>
      <c r="G3">
        <v>583.79999999999995</v>
      </c>
      <c r="H3">
        <v>4.0999999999999996</v>
      </c>
      <c r="I3">
        <v>1.1000000000000001</v>
      </c>
      <c r="J3">
        <v>342.8</v>
      </c>
      <c r="K3" s="64">
        <f t="shared" ref="K3:K66" si="0">IFERROR((D3/C3)/4.5*0.25*C3,0)</f>
        <v>78.638888888888886</v>
      </c>
      <c r="L3" s="64">
        <f t="shared" ref="L3:L66" si="1">IFERROR((G3/F3)/7.95*0.376*F3,0)</f>
        <v>27.61116981132075</v>
      </c>
      <c r="M3" s="66">
        <f>C5*Scoring!$B$32+D5/Scoring!$C$32+E5*Scoring!$D$32+F5*Scoring!$E$32+G5/Scoring!$F$32+H5*Scoring!$G$32+I5*Scoring!$H$32+K5*Scoring!$I$32+RB!L5*Scoring!$J$32+U3</f>
        <v>317.38999999999993</v>
      </c>
      <c r="N3" s="66">
        <f>C3*Scoring!$B$32+D3/Scoring!$C$32+E3*Scoring!$D$32+F3*Scoring!$E$32+G3/Scoring!$F$32+H3*Scoring!$G$32+I3*Scoring!$H$32+K3*Scoring!$I$32+RB!L3*Scoring!$J$32+U3</f>
        <v>342.78000000000003</v>
      </c>
      <c r="O3" s="66">
        <f>C4*Scoring!$B$32+D4/Scoring!$C$32+E4*Scoring!$D$32+F4*Scoring!$E$32+G4/Scoring!$F$32+H4*Scoring!$G$32+I4*Scoring!$H$32+K4*Scoring!$I$32+L4*Scoring!$J$32+U3</f>
        <v>368.3</v>
      </c>
      <c r="P3" s="20">
        <f>IF(COUNTIF(Rookies!$A:$A,A3)&gt;0,1,0)</f>
        <v>0</v>
      </c>
      <c r="S3" s="20">
        <f>V3/17</f>
        <v>20.163529411764706</v>
      </c>
      <c r="T3" s="20">
        <f>IF(P3=1,MAX(0,0.258*(14.9-S3)),0)</f>
        <v>0</v>
      </c>
      <c r="U3" s="20">
        <f>T3*17</f>
        <v>0</v>
      </c>
      <c r="V3" s="20">
        <f>C3*Scoring!$B$32+D3/Scoring!$C$32+E3*Scoring!$D$32+F3*Scoring!$E$32+G3/Scoring!$F$32+H3*Scoring!$G$32+I3*Scoring!$H$32+K3*Scoring!$I$32+RB!L3*Scoring!$J$32</f>
        <v>342.78000000000003</v>
      </c>
      <c r="X3" s="20">
        <f>D3+G3</f>
        <v>1999.3</v>
      </c>
      <c r="Y3" s="20">
        <f>H3+E3</f>
        <v>18.2</v>
      </c>
      <c r="Z3" s="20">
        <f>X3/Y3</f>
        <v>109.85164835164835</v>
      </c>
    </row>
    <row r="4" spans="1:26" ht="14.25" customHeight="1" x14ac:dyDescent="0.3">
      <c r="B4" t="s">
        <v>472</v>
      </c>
      <c r="C4">
        <v>286.2</v>
      </c>
      <c r="D4">
        <v>1435</v>
      </c>
      <c r="E4">
        <v>16</v>
      </c>
      <c r="F4">
        <v>75</v>
      </c>
      <c r="G4">
        <v>633</v>
      </c>
      <c r="H4">
        <v>5</v>
      </c>
      <c r="I4">
        <v>1</v>
      </c>
      <c r="J4">
        <v>367.2</v>
      </c>
      <c r="K4" s="64">
        <f t="shared" si="0"/>
        <v>79.722222222222214</v>
      </c>
      <c r="L4" s="64">
        <f t="shared" si="1"/>
        <v>29.938113207547168</v>
      </c>
      <c r="M4" s="66"/>
      <c r="N4" s="66"/>
      <c r="O4" s="66"/>
      <c r="X4" s="20">
        <f t="shared" ref="X4:X67" si="2">D4+G4</f>
        <v>2068</v>
      </c>
      <c r="Y4" s="20">
        <f t="shared" ref="Y4:Y67" si="3">H4+E4</f>
        <v>21</v>
      </c>
      <c r="Z4" s="20">
        <f t="shared" ref="Z4:Z67" si="4">X4/Y4</f>
        <v>98.476190476190482</v>
      </c>
    </row>
    <row r="5" spans="1:26" ht="14.25" customHeight="1" x14ac:dyDescent="0.3">
      <c r="B5" t="s">
        <v>473</v>
      </c>
      <c r="C5">
        <v>279</v>
      </c>
      <c r="D5">
        <v>1389.5</v>
      </c>
      <c r="E5">
        <v>12</v>
      </c>
      <c r="F5">
        <v>68</v>
      </c>
      <c r="G5">
        <v>546.4</v>
      </c>
      <c r="H5">
        <v>3.4</v>
      </c>
      <c r="I5">
        <v>1.3</v>
      </c>
      <c r="J5">
        <v>333.5</v>
      </c>
      <c r="K5" s="64">
        <f t="shared" si="0"/>
        <v>77.194444444444429</v>
      </c>
      <c r="L5" s="64">
        <f t="shared" si="1"/>
        <v>25.842314465408805</v>
      </c>
      <c r="M5" s="66"/>
      <c r="N5" s="66"/>
      <c r="O5" s="66"/>
      <c r="X5" s="20">
        <f t="shared" si="2"/>
        <v>1935.9</v>
      </c>
      <c r="Y5" s="20">
        <f t="shared" si="3"/>
        <v>15.4</v>
      </c>
      <c r="Z5" s="20">
        <f t="shared" si="4"/>
        <v>125.70779220779221</v>
      </c>
    </row>
    <row r="6" spans="1:26" ht="14.25" customHeight="1" x14ac:dyDescent="0.3">
      <c r="A6" t="s">
        <v>585</v>
      </c>
      <c r="B6" t="s">
        <v>533</v>
      </c>
      <c r="C6">
        <v>285.8</v>
      </c>
      <c r="D6">
        <v>1391.5</v>
      </c>
      <c r="E6">
        <v>8.8000000000000007</v>
      </c>
      <c r="F6">
        <v>76.900000000000006</v>
      </c>
      <c r="G6">
        <v>705.2</v>
      </c>
      <c r="H6">
        <v>3.5</v>
      </c>
      <c r="I6">
        <v>1.8</v>
      </c>
      <c r="J6">
        <v>318.2</v>
      </c>
      <c r="K6" s="64">
        <f t="shared" si="0"/>
        <v>77.305555555555557</v>
      </c>
      <c r="L6" s="64">
        <f t="shared" si="1"/>
        <v>33.352855345911955</v>
      </c>
      <c r="M6" s="66">
        <f>C8*Scoring!$B$32+D8/Scoring!$C$32+E8*Scoring!$D$32+F8*Scoring!$E$32+G8/Scoring!$F$32+H8*Scoring!$G$32+I8*Scoring!$H$32+K8*Scoring!$I$32+RB!L8*Scoring!$J$32+U6</f>
        <v>307.24</v>
      </c>
      <c r="N6" s="66">
        <f>C6*Scoring!$B$32+D6/Scoring!$C$32+E6*Scoring!$D$32+F6*Scoring!$E$32+G6/Scoring!$F$32+H6*Scoring!$G$32+I6*Scoring!$H$32+K6*Scoring!$I$32+RB!L6*Scoring!$J$32+U6</f>
        <v>318.32000000000005</v>
      </c>
      <c r="O6" s="66">
        <f>C7*Scoring!$B$32+D7/Scoring!$C$32+E7*Scoring!$D$32+F7*Scoring!$E$32+G7/Scoring!$F$32+H7*Scoring!$G$32+I7*Scoring!$H$32+K7*Scoring!$I$32+L7*Scoring!$J$32+U6</f>
        <v>327.77000000000004</v>
      </c>
      <c r="P6" s="20">
        <f>IF(COUNTIF(Rookies!$A:$A,A6)&gt;0,1,0)</f>
        <v>0</v>
      </c>
      <c r="S6" s="20">
        <f>V6/17</f>
        <v>18.724705882352943</v>
      </c>
      <c r="T6" s="20">
        <f>IF(P6=1,MAX(0,0.258*(14.9-S6)),0)</f>
        <v>0</v>
      </c>
      <c r="U6" s="20">
        <f>T6*17</f>
        <v>0</v>
      </c>
      <c r="V6" s="20">
        <f>C6*Scoring!$B$32+D6/Scoring!$C$32+E6*Scoring!$D$32+F6*Scoring!$E$32+G6/Scoring!$F$32+H6*Scoring!$G$32+I6*Scoring!$H$32+K6*Scoring!$I$32+RB!L6*Scoring!$J$32</f>
        <v>318.32000000000005</v>
      </c>
      <c r="X6" s="20">
        <f t="shared" si="2"/>
        <v>2096.6999999999998</v>
      </c>
      <c r="Y6" s="20">
        <f t="shared" si="3"/>
        <v>12.3</v>
      </c>
      <c r="Z6" s="20">
        <f t="shared" si="4"/>
        <v>170.46341463414632</v>
      </c>
    </row>
    <row r="7" spans="1:26" ht="14.25" customHeight="1" x14ac:dyDescent="0.3">
      <c r="B7" t="s">
        <v>472</v>
      </c>
      <c r="C7">
        <v>291</v>
      </c>
      <c r="D7">
        <v>1402</v>
      </c>
      <c r="E7">
        <v>9</v>
      </c>
      <c r="F7">
        <v>84</v>
      </c>
      <c r="G7">
        <v>707.7</v>
      </c>
      <c r="H7">
        <v>4</v>
      </c>
      <c r="I7">
        <v>1.6</v>
      </c>
      <c r="J7">
        <v>363.4</v>
      </c>
      <c r="K7" s="64">
        <f t="shared" si="0"/>
        <v>77.888888888888886</v>
      </c>
      <c r="L7" s="64">
        <f t="shared" si="1"/>
        <v>33.471094339622645</v>
      </c>
      <c r="M7" s="66"/>
      <c r="N7" s="66"/>
      <c r="O7" s="66"/>
      <c r="X7" s="20">
        <f t="shared" si="2"/>
        <v>2109.6999999999998</v>
      </c>
      <c r="Y7" s="20">
        <f t="shared" si="3"/>
        <v>13</v>
      </c>
      <c r="Z7" s="20">
        <f t="shared" si="4"/>
        <v>162.28461538461536</v>
      </c>
    </row>
    <row r="8" spans="1:26" ht="14.25" customHeight="1" x14ac:dyDescent="0.3">
      <c r="B8" t="s">
        <v>473</v>
      </c>
      <c r="C8">
        <v>280</v>
      </c>
      <c r="D8">
        <v>1372.4</v>
      </c>
      <c r="E8">
        <v>8.4</v>
      </c>
      <c r="F8">
        <v>71</v>
      </c>
      <c r="G8">
        <v>701</v>
      </c>
      <c r="H8">
        <v>3</v>
      </c>
      <c r="I8">
        <v>2</v>
      </c>
      <c r="J8">
        <v>307.5</v>
      </c>
      <c r="K8" s="64">
        <f t="shared" si="0"/>
        <v>76.244444444444454</v>
      </c>
      <c r="L8" s="64">
        <f t="shared" si="1"/>
        <v>33.154213836477986</v>
      </c>
      <c r="M8" s="66"/>
      <c r="N8" s="66"/>
      <c r="O8" s="66"/>
      <c r="X8" s="20">
        <f t="shared" si="2"/>
        <v>2073.4</v>
      </c>
      <c r="Y8" s="20">
        <f t="shared" si="3"/>
        <v>11.4</v>
      </c>
      <c r="Z8" s="20">
        <f t="shared" si="4"/>
        <v>181.87719298245614</v>
      </c>
    </row>
    <row r="9" spans="1:26" ht="14.25" customHeight="1" x14ac:dyDescent="0.3">
      <c r="A9" t="s">
        <v>586</v>
      </c>
      <c r="B9" t="s">
        <v>487</v>
      </c>
      <c r="C9">
        <v>269.7</v>
      </c>
      <c r="D9">
        <v>1093.5999999999999</v>
      </c>
      <c r="E9">
        <v>8.6999999999999993</v>
      </c>
      <c r="F9">
        <v>78.599999999999994</v>
      </c>
      <c r="G9">
        <v>693</v>
      </c>
      <c r="H9">
        <v>4.5999999999999996</v>
      </c>
      <c r="I9">
        <v>1.1000000000000001</v>
      </c>
      <c r="J9">
        <v>295.5</v>
      </c>
      <c r="K9" s="64">
        <f t="shared" si="0"/>
        <v>60.755555555555553</v>
      </c>
      <c r="L9" s="64">
        <f t="shared" si="1"/>
        <v>32.775849056603768</v>
      </c>
      <c r="M9" s="66">
        <f>C11*Scoring!$B$32+D11/Scoring!$C$32+E11*Scoring!$D$32+F11*Scoring!$E$32+G11/Scoring!$F$32+H11*Scoring!$G$32+I11*Scoring!$H$32+K11*Scoring!$I$32+RB!L11*Scoring!$J$32+U9</f>
        <v>275.60000000000002</v>
      </c>
      <c r="N9" s="66">
        <f>C9*Scoring!$B$32+D9/Scoring!$C$32+E9*Scoring!$D$32+F9*Scoring!$E$32+G9/Scoring!$F$32+H9*Scoring!$G$32+I9*Scoring!$H$32+K9*Scoring!$I$32+RB!L9*Scoring!$J$32+U9</f>
        <v>295.56</v>
      </c>
      <c r="O9" s="66">
        <f>C10*Scoring!$B$32+D10/Scoring!$C$32+E10*Scoring!$D$32+F10*Scoring!$E$32+G10/Scoring!$F$32+H10*Scoring!$G$32+I10*Scoring!$H$32+K10*Scoring!$I$32+L10*Scoring!$J$32+U9</f>
        <v>309.5</v>
      </c>
      <c r="P9" s="20">
        <f>IF(COUNTIF(Rookies!$A:$A,A9)&gt;0,1,0)</f>
        <v>0</v>
      </c>
      <c r="S9" s="20">
        <f>V9/17</f>
        <v>17.385882352941177</v>
      </c>
      <c r="T9" s="20">
        <f>IF(P9=1,MAX(0,0.258*(14.9-S9)),0)</f>
        <v>0</v>
      </c>
      <c r="U9" s="20">
        <f>T9*17</f>
        <v>0</v>
      </c>
      <c r="V9" s="20">
        <f>C9*Scoring!$B$32+D9/Scoring!$C$32+E9*Scoring!$D$32+F9*Scoring!$E$32+G9/Scoring!$F$32+H9*Scoring!$G$32+I9*Scoring!$H$32+K9*Scoring!$I$32+RB!L9*Scoring!$J$32</f>
        <v>295.56</v>
      </c>
      <c r="X9" s="20">
        <f t="shared" si="2"/>
        <v>1786.6</v>
      </c>
      <c r="Y9" s="20">
        <f t="shared" si="3"/>
        <v>13.299999999999999</v>
      </c>
      <c r="Z9" s="20">
        <f t="shared" si="4"/>
        <v>134.33082706766919</v>
      </c>
    </row>
    <row r="10" spans="1:26" ht="14.25" customHeight="1" x14ac:dyDescent="0.3">
      <c r="B10" t="s">
        <v>472</v>
      </c>
      <c r="C10">
        <v>279</v>
      </c>
      <c r="D10">
        <v>1144</v>
      </c>
      <c r="E10">
        <v>9.1</v>
      </c>
      <c r="F10">
        <v>82</v>
      </c>
      <c r="G10">
        <v>715</v>
      </c>
      <c r="H10">
        <v>5</v>
      </c>
      <c r="I10">
        <v>1</v>
      </c>
      <c r="J10">
        <v>344.2</v>
      </c>
      <c r="K10" s="64">
        <f t="shared" si="0"/>
        <v>63.55555555555555</v>
      </c>
      <c r="L10" s="64">
        <f t="shared" si="1"/>
        <v>33.816352201257857</v>
      </c>
      <c r="M10" s="66"/>
      <c r="N10" s="66"/>
      <c r="O10" s="66"/>
      <c r="X10" s="20">
        <f t="shared" si="2"/>
        <v>1859</v>
      </c>
      <c r="Y10" s="20">
        <f t="shared" si="3"/>
        <v>14.1</v>
      </c>
      <c r="Z10" s="20">
        <f t="shared" si="4"/>
        <v>131.84397163120568</v>
      </c>
    </row>
    <row r="11" spans="1:26" ht="14.25" customHeight="1" x14ac:dyDescent="0.3">
      <c r="B11" t="s">
        <v>473</v>
      </c>
      <c r="C11">
        <v>256</v>
      </c>
      <c r="D11">
        <v>1007</v>
      </c>
      <c r="E11">
        <v>8</v>
      </c>
      <c r="F11">
        <v>75</v>
      </c>
      <c r="G11">
        <v>678</v>
      </c>
      <c r="H11">
        <v>4</v>
      </c>
      <c r="I11">
        <v>1.2</v>
      </c>
      <c r="J11">
        <v>268.3</v>
      </c>
      <c r="K11" s="64">
        <f t="shared" si="0"/>
        <v>55.944444444444443</v>
      </c>
      <c r="L11" s="64">
        <f t="shared" si="1"/>
        <v>32.066415094339625</v>
      </c>
      <c r="M11" s="66"/>
      <c r="N11" s="66"/>
      <c r="O11" s="66"/>
      <c r="X11" s="20">
        <f t="shared" si="2"/>
        <v>1685</v>
      </c>
      <c r="Y11" s="20">
        <f t="shared" si="3"/>
        <v>12</v>
      </c>
      <c r="Z11" s="20">
        <f t="shared" si="4"/>
        <v>140.41666666666666</v>
      </c>
    </row>
    <row r="12" spans="1:26" ht="14.25" customHeight="1" x14ac:dyDescent="0.3">
      <c r="A12" t="s">
        <v>587</v>
      </c>
      <c r="B12" t="s">
        <v>511</v>
      </c>
      <c r="C12">
        <v>327.9</v>
      </c>
      <c r="D12">
        <v>1506.8</v>
      </c>
      <c r="E12">
        <v>12.9</v>
      </c>
      <c r="F12">
        <v>43.8</v>
      </c>
      <c r="G12">
        <v>348</v>
      </c>
      <c r="H12">
        <v>1.5</v>
      </c>
      <c r="I12">
        <v>1.7</v>
      </c>
      <c r="J12">
        <v>290</v>
      </c>
      <c r="K12" s="64">
        <f t="shared" si="0"/>
        <v>83.711111111111109</v>
      </c>
      <c r="L12" s="64">
        <f t="shared" si="1"/>
        <v>16.458867924528302</v>
      </c>
      <c r="M12" s="66">
        <f>C14*Scoring!$B$32+D14/Scoring!$C$32+E14*Scoring!$D$32+F14*Scoring!$E$32+G14/Scoring!$F$32+H14*Scoring!$G$32+I14*Scoring!$H$32+K14*Scoring!$I$32+RB!L14*Scoring!$J$32+U12</f>
        <v>265.7</v>
      </c>
      <c r="N12" s="66">
        <f>C12*Scoring!$B$32+D12/Scoring!$C$32+E12*Scoring!$D$32+F12*Scoring!$E$32+G12/Scoring!$F$32+H12*Scoring!$G$32+I12*Scoring!$H$32+K12*Scoring!$I$32+RB!L12*Scoring!$J$32+U12</f>
        <v>290.38000000000005</v>
      </c>
      <c r="O12" s="66">
        <f>C13*Scoring!$B$32+D13/Scoring!$C$32+E13*Scoring!$D$32+F13*Scoring!$E$32+G13/Scoring!$F$32+H13*Scoring!$G$32+I13*Scoring!$H$32+K13*Scoring!$I$32+L13*Scoring!$J$32+U12</f>
        <v>321.44</v>
      </c>
      <c r="P12" s="20">
        <f>IF(COUNTIF(Rookies!$A:$A,A12)&gt;0,1,0)</f>
        <v>0</v>
      </c>
      <c r="S12" s="20">
        <f>V12/17</f>
        <v>17.08117647058824</v>
      </c>
      <c r="T12" s="20">
        <f>IF(P12=1,MAX(0,0.258*(14.9-S12)),0)</f>
        <v>0</v>
      </c>
      <c r="U12" s="20">
        <f>T12*17</f>
        <v>0</v>
      </c>
      <c r="V12" s="20">
        <f>C12*Scoring!$B$32+D12/Scoring!$C$32+E12*Scoring!$D$32+F12*Scoring!$E$32+G12/Scoring!$F$32+H12*Scoring!$G$32+I12*Scoring!$H$32+K12*Scoring!$I$32+RB!L12*Scoring!$J$32</f>
        <v>290.38000000000005</v>
      </c>
      <c r="X12" s="20">
        <f t="shared" si="2"/>
        <v>1854.8</v>
      </c>
      <c r="Y12" s="20">
        <f t="shared" si="3"/>
        <v>14.4</v>
      </c>
      <c r="Z12" s="20">
        <f t="shared" si="4"/>
        <v>128.80555555555554</v>
      </c>
    </row>
    <row r="13" spans="1:26" ht="14.25" customHeight="1" x14ac:dyDescent="0.3">
      <c r="B13" t="s">
        <v>472</v>
      </c>
      <c r="C13">
        <v>359</v>
      </c>
      <c r="D13">
        <v>1582</v>
      </c>
      <c r="E13">
        <v>15</v>
      </c>
      <c r="F13">
        <v>50.5</v>
      </c>
      <c r="G13">
        <v>389.9</v>
      </c>
      <c r="H13">
        <v>2</v>
      </c>
      <c r="I13">
        <v>1.5</v>
      </c>
      <c r="J13">
        <v>297.89999999999998</v>
      </c>
      <c r="K13" s="64">
        <f t="shared" si="0"/>
        <v>87.888888888888886</v>
      </c>
      <c r="L13" s="64">
        <f t="shared" si="1"/>
        <v>18.440553459119496</v>
      </c>
      <c r="M13" s="66"/>
      <c r="N13" s="66"/>
      <c r="O13" s="66"/>
      <c r="X13" s="20">
        <f t="shared" si="2"/>
        <v>1971.9</v>
      </c>
      <c r="Y13" s="20">
        <f t="shared" si="3"/>
        <v>17</v>
      </c>
      <c r="Z13" s="20">
        <f t="shared" si="4"/>
        <v>115.99411764705883</v>
      </c>
    </row>
    <row r="14" spans="1:26" ht="14.25" customHeight="1" x14ac:dyDescent="0.3">
      <c r="B14" t="s">
        <v>473</v>
      </c>
      <c r="C14">
        <v>299</v>
      </c>
      <c r="D14">
        <v>1436</v>
      </c>
      <c r="E14">
        <v>11.6</v>
      </c>
      <c r="F14">
        <v>39</v>
      </c>
      <c r="G14">
        <v>310</v>
      </c>
      <c r="H14">
        <v>1</v>
      </c>
      <c r="I14">
        <v>2</v>
      </c>
      <c r="J14">
        <v>287.8</v>
      </c>
      <c r="K14" s="64">
        <f t="shared" si="0"/>
        <v>79.777777777777786</v>
      </c>
      <c r="L14" s="64">
        <f t="shared" si="1"/>
        <v>14.661635220125785</v>
      </c>
      <c r="M14" s="66"/>
      <c r="N14" s="66"/>
      <c r="O14" s="66"/>
      <c r="X14" s="20">
        <f t="shared" si="2"/>
        <v>1746</v>
      </c>
      <c r="Y14" s="20">
        <f t="shared" si="3"/>
        <v>12.6</v>
      </c>
      <c r="Z14" s="20">
        <f t="shared" si="4"/>
        <v>138.57142857142858</v>
      </c>
    </row>
    <row r="15" spans="1:26" ht="14.25" customHeight="1" x14ac:dyDescent="0.3">
      <c r="A15" t="s">
        <v>588</v>
      </c>
      <c r="B15" t="s">
        <v>475</v>
      </c>
      <c r="C15">
        <v>316</v>
      </c>
      <c r="D15">
        <v>1577.6</v>
      </c>
      <c r="E15">
        <v>13.4</v>
      </c>
      <c r="F15">
        <v>18.100000000000001</v>
      </c>
      <c r="G15">
        <v>175</v>
      </c>
      <c r="H15">
        <v>0.7</v>
      </c>
      <c r="I15">
        <v>1.7</v>
      </c>
      <c r="J15">
        <v>265.89999999999998</v>
      </c>
      <c r="K15" s="64">
        <f t="shared" si="0"/>
        <v>87.644444444444431</v>
      </c>
      <c r="L15" s="64">
        <f t="shared" si="1"/>
        <v>8.2767295597484267</v>
      </c>
      <c r="M15" s="66">
        <f>C17*Scoring!$B$32+D17/Scoring!$C$32+E17*Scoring!$D$32+F17*Scoring!$E$32+G17/Scoring!$F$32+H17*Scoring!$G$32+I17*Scoring!$H$32+K17*Scoring!$I$32+RB!L17*Scoring!$J$32+U15</f>
        <v>240.87</v>
      </c>
      <c r="N15" s="66">
        <f>C15*Scoring!$B$32+D15/Scoring!$C$32+E15*Scoring!$D$32+F15*Scoring!$E$32+G15/Scoring!$F$32+H15*Scoring!$G$32+I15*Scoring!$H$32+K15*Scoring!$I$32+RB!L15*Scoring!$J$32+U15</f>
        <v>265.51000000000005</v>
      </c>
      <c r="O15" s="66">
        <f>C16*Scoring!$B$32+D16/Scoring!$C$32+E16*Scoring!$D$32+F16*Scoring!$E$32+G16/Scoring!$F$32+H16*Scoring!$G$32+I16*Scoring!$H$32+K16*Scoring!$I$32+L16*Scoring!$J$32+U15</f>
        <v>291.5</v>
      </c>
      <c r="P15" s="20">
        <f>IF(COUNTIF(Rookies!$A:$A,A15)&gt;0,1,0)</f>
        <v>0</v>
      </c>
      <c r="S15" s="20">
        <f>V15/17</f>
        <v>15.61823529411765</v>
      </c>
      <c r="T15" s="20">
        <f>IF(P15=1,MAX(0,0.258*(14.9-S15)),0)</f>
        <v>0</v>
      </c>
      <c r="U15" s="20">
        <f>T15*17</f>
        <v>0</v>
      </c>
      <c r="V15" s="20">
        <f>C15*Scoring!$B$32+D15/Scoring!$C$32+E15*Scoring!$D$32+F15*Scoring!$E$32+G15/Scoring!$F$32+H15*Scoring!$G$32+I15*Scoring!$H$32+K15*Scoring!$I$32+RB!L15*Scoring!$J$32</f>
        <v>265.51000000000005</v>
      </c>
      <c r="X15" s="20">
        <f t="shared" si="2"/>
        <v>1752.6</v>
      </c>
      <c r="Y15" s="20">
        <f t="shared" si="3"/>
        <v>14.1</v>
      </c>
      <c r="Z15" s="20">
        <f t="shared" si="4"/>
        <v>124.29787234042553</v>
      </c>
    </row>
    <row r="16" spans="1:26" ht="14.25" customHeight="1" x14ac:dyDescent="0.3">
      <c r="B16" t="s">
        <v>472</v>
      </c>
      <c r="C16">
        <v>321.89999999999998</v>
      </c>
      <c r="D16">
        <v>1656</v>
      </c>
      <c r="E16">
        <v>15</v>
      </c>
      <c r="F16">
        <v>21.4</v>
      </c>
      <c r="G16">
        <v>210</v>
      </c>
      <c r="H16">
        <v>1.2</v>
      </c>
      <c r="I16">
        <v>1.5</v>
      </c>
      <c r="J16">
        <v>268.10000000000002</v>
      </c>
      <c r="K16" s="64">
        <f t="shared" si="0"/>
        <v>92</v>
      </c>
      <c r="L16" s="64">
        <f t="shared" si="1"/>
        <v>9.9320754716981146</v>
      </c>
      <c r="M16" s="66"/>
      <c r="N16" s="66"/>
      <c r="O16" s="66"/>
      <c r="X16" s="20">
        <f t="shared" si="2"/>
        <v>1866</v>
      </c>
      <c r="Y16" s="20">
        <f t="shared" si="3"/>
        <v>16.2</v>
      </c>
      <c r="Z16" s="20">
        <f t="shared" si="4"/>
        <v>115.18518518518519</v>
      </c>
    </row>
    <row r="17" spans="1:26" ht="14.25" customHeight="1" x14ac:dyDescent="0.3">
      <c r="B17" t="s">
        <v>473</v>
      </c>
      <c r="C17">
        <v>305</v>
      </c>
      <c r="D17">
        <v>1504.7</v>
      </c>
      <c r="E17">
        <v>12</v>
      </c>
      <c r="F17">
        <v>16</v>
      </c>
      <c r="G17">
        <v>144</v>
      </c>
      <c r="H17">
        <v>0</v>
      </c>
      <c r="I17">
        <v>2</v>
      </c>
      <c r="J17">
        <v>260.7</v>
      </c>
      <c r="K17" s="64">
        <f t="shared" si="0"/>
        <v>83.594444444444463</v>
      </c>
      <c r="L17" s="64">
        <f t="shared" si="1"/>
        <v>6.8105660377358488</v>
      </c>
      <c r="M17" s="66"/>
      <c r="N17" s="66"/>
      <c r="O17" s="66"/>
      <c r="X17" s="20">
        <f t="shared" si="2"/>
        <v>1648.7</v>
      </c>
      <c r="Y17" s="20">
        <f t="shared" si="3"/>
        <v>12</v>
      </c>
      <c r="Z17" s="20">
        <f t="shared" si="4"/>
        <v>137.39166666666668</v>
      </c>
    </row>
    <row r="18" spans="1:26" ht="14.25" customHeight="1" x14ac:dyDescent="0.3">
      <c r="A18" t="s">
        <v>589</v>
      </c>
      <c r="B18" t="s">
        <v>513</v>
      </c>
      <c r="C18">
        <v>238.4</v>
      </c>
      <c r="D18">
        <v>1200.5</v>
      </c>
      <c r="E18">
        <v>6</v>
      </c>
      <c r="F18">
        <v>65.5</v>
      </c>
      <c r="G18">
        <v>491.8</v>
      </c>
      <c r="H18">
        <v>4</v>
      </c>
      <c r="I18">
        <v>1</v>
      </c>
      <c r="J18">
        <v>260</v>
      </c>
      <c r="K18" s="64">
        <f t="shared" si="0"/>
        <v>66.694444444444443</v>
      </c>
      <c r="L18" s="64">
        <f t="shared" si="1"/>
        <v>23.259974842767296</v>
      </c>
      <c r="M18" s="66">
        <f>C20*Scoring!$B$32+D20/Scoring!$C$32+E20*Scoring!$D$32+F20*Scoring!$E$32+G20/Scoring!$F$32+H20*Scoring!$G$32+I20*Scoring!$H$32+K20*Scoring!$I$32+RB!L20*Scoring!$J$32+U18</f>
        <v>228</v>
      </c>
      <c r="N18" s="66">
        <f>C18*Scoring!$B$32+D18/Scoring!$C$32+E18*Scoring!$D$32+F18*Scoring!$E$32+G18/Scoring!$F$32+H18*Scoring!$G$32+I18*Scoring!$H$32+K18*Scoring!$I$32+RB!L18*Scoring!$J$32+U18</f>
        <v>259.98</v>
      </c>
      <c r="O18" s="66">
        <f>C19*Scoring!$B$32+D19/Scoring!$C$32+E19*Scoring!$D$32+F19*Scoring!$E$32+G19/Scoring!$F$32+H19*Scoring!$G$32+I19*Scoring!$H$32+K19*Scoring!$I$32+L19*Scoring!$J$32+U18</f>
        <v>300.35000000000002</v>
      </c>
      <c r="P18" s="20">
        <f>IF(COUNTIF(Rookies!$A:$A,A18)&gt;0,1,0)</f>
        <v>0</v>
      </c>
      <c r="S18" s="20">
        <f>V18/17</f>
        <v>15.29294117647059</v>
      </c>
      <c r="T18" s="20">
        <f>IF(P18=1,MAX(0,0.258*(14.9-S18)),0)</f>
        <v>0</v>
      </c>
      <c r="U18" s="20">
        <f>T18*17</f>
        <v>0</v>
      </c>
      <c r="V18" s="20">
        <f>C18*Scoring!$B$32+D18/Scoring!$C$32+E18*Scoring!$D$32+F18*Scoring!$E$32+G18/Scoring!$F$32+H18*Scoring!$G$32+I18*Scoring!$H$32+K18*Scoring!$I$32+RB!L18*Scoring!$J$32</f>
        <v>259.98</v>
      </c>
      <c r="X18" s="20">
        <f t="shared" si="2"/>
        <v>1692.3</v>
      </c>
      <c r="Y18" s="20">
        <f t="shared" si="3"/>
        <v>10</v>
      </c>
      <c r="Z18" s="20">
        <f t="shared" si="4"/>
        <v>169.23</v>
      </c>
    </row>
    <row r="19" spans="1:26" ht="14.25" customHeight="1" x14ac:dyDescent="0.3">
      <c r="B19" t="s">
        <v>472</v>
      </c>
      <c r="C19">
        <v>258.2</v>
      </c>
      <c r="D19">
        <v>1311.5</v>
      </c>
      <c r="E19">
        <v>7</v>
      </c>
      <c r="F19">
        <v>76</v>
      </c>
      <c r="G19">
        <v>552</v>
      </c>
      <c r="H19">
        <v>6</v>
      </c>
      <c r="I19">
        <v>1</v>
      </c>
      <c r="J19">
        <v>272</v>
      </c>
      <c r="K19" s="64">
        <f t="shared" si="0"/>
        <v>72.8611111111111</v>
      </c>
      <c r="L19" s="64">
        <f t="shared" si="1"/>
        <v>26.107169811320755</v>
      </c>
      <c r="M19" s="66"/>
      <c r="N19" s="66"/>
      <c r="O19" s="66"/>
      <c r="X19" s="20">
        <f t="shared" si="2"/>
        <v>1863.5</v>
      </c>
      <c r="Y19" s="20">
        <f t="shared" si="3"/>
        <v>13</v>
      </c>
      <c r="Z19" s="20">
        <f t="shared" si="4"/>
        <v>143.34615384615384</v>
      </c>
    </row>
    <row r="20" spans="1:26" ht="14.25" customHeight="1" x14ac:dyDescent="0.3">
      <c r="B20" t="s">
        <v>473</v>
      </c>
      <c r="C20">
        <v>228</v>
      </c>
      <c r="D20">
        <v>1129</v>
      </c>
      <c r="E20">
        <v>5.0999999999999996</v>
      </c>
      <c r="F20">
        <v>56</v>
      </c>
      <c r="G20">
        <v>411</v>
      </c>
      <c r="H20">
        <v>2.9</v>
      </c>
      <c r="I20">
        <v>1</v>
      </c>
      <c r="J20">
        <v>259.8</v>
      </c>
      <c r="K20" s="64">
        <f t="shared" si="0"/>
        <v>62.722222222222236</v>
      </c>
      <c r="L20" s="64">
        <f t="shared" si="1"/>
        <v>19.438490566037736</v>
      </c>
      <c r="M20" s="66"/>
      <c r="N20" s="66"/>
      <c r="O20" s="66"/>
      <c r="X20" s="20">
        <f t="shared" si="2"/>
        <v>1540</v>
      </c>
      <c r="Y20" s="20">
        <f t="shared" si="3"/>
        <v>8</v>
      </c>
      <c r="Z20" s="20">
        <f t="shared" si="4"/>
        <v>192.5</v>
      </c>
    </row>
    <row r="21" spans="1:26" ht="14.25" customHeight="1" x14ac:dyDescent="0.3">
      <c r="A21" t="s">
        <v>590</v>
      </c>
      <c r="B21" t="s">
        <v>471</v>
      </c>
      <c r="C21">
        <v>287.8</v>
      </c>
      <c r="D21">
        <v>1405.6</v>
      </c>
      <c r="E21">
        <v>10.3</v>
      </c>
      <c r="F21">
        <v>33.299999999999997</v>
      </c>
      <c r="G21">
        <v>283.5</v>
      </c>
      <c r="H21">
        <v>1.9</v>
      </c>
      <c r="I21">
        <v>2.4</v>
      </c>
      <c r="J21">
        <v>254.1</v>
      </c>
      <c r="K21" s="64">
        <f t="shared" si="0"/>
        <v>78.088888888888889</v>
      </c>
      <c r="L21" s="64">
        <f t="shared" si="1"/>
        <v>13.408301886792454</v>
      </c>
      <c r="M21" s="66">
        <f>C23*Scoring!$B$32+D23/Scoring!$C$32+E23*Scoring!$D$32+F23*Scoring!$E$32+G23/Scoring!$F$32+H23*Scoring!$G$32+I23*Scoring!$H$32+K23*Scoring!$I$32+RB!L23*Scoring!$J$32+U21</f>
        <v>238.6</v>
      </c>
      <c r="N21" s="66">
        <f>C21*Scoring!$B$32+D21/Scoring!$C$32+E21*Scoring!$D$32+F21*Scoring!$E$32+G21/Scoring!$F$32+H21*Scoring!$G$32+I21*Scoring!$H$32+K21*Scoring!$I$32+RB!L21*Scoring!$J$32+U21</f>
        <v>253.95999999999998</v>
      </c>
      <c r="O21" s="66">
        <f>C22*Scoring!$B$32+D22/Scoring!$C$32+E22*Scoring!$D$32+F22*Scoring!$E$32+G22/Scoring!$F$32+H22*Scoring!$G$32+I22*Scoring!$H$32+K22*Scoring!$I$32+L22*Scoring!$J$32+U21</f>
        <v>266.08999999999997</v>
      </c>
      <c r="P21" s="20">
        <f>IF(COUNTIF(Rookies!$A:$A,A21)&gt;0,1,0)</f>
        <v>0</v>
      </c>
      <c r="S21" s="20">
        <f>V21/17</f>
        <v>14.938823529411764</v>
      </c>
      <c r="T21" s="20">
        <f>IF(P21=1,MAX(0,0.258*(14.9-S21)),0)</f>
        <v>0</v>
      </c>
      <c r="U21" s="20">
        <f>T21*17</f>
        <v>0</v>
      </c>
      <c r="V21" s="20">
        <f>C21*Scoring!$B$32+D21/Scoring!$C$32+E21*Scoring!$D$32+F21*Scoring!$E$32+G21/Scoring!$F$32+H21*Scoring!$G$32+I21*Scoring!$H$32+K21*Scoring!$I$32+RB!L21*Scoring!$J$32</f>
        <v>253.95999999999998</v>
      </c>
      <c r="X21" s="20">
        <f t="shared" si="2"/>
        <v>1689.1</v>
      </c>
      <c r="Y21" s="20">
        <f t="shared" si="3"/>
        <v>12.200000000000001</v>
      </c>
      <c r="Z21" s="20">
        <f t="shared" si="4"/>
        <v>138.45081967213113</v>
      </c>
    </row>
    <row r="22" spans="1:26" ht="14.25" customHeight="1" x14ac:dyDescent="0.3">
      <c r="B22" t="s">
        <v>472</v>
      </c>
      <c r="C22">
        <v>300.39999999999998</v>
      </c>
      <c r="D22">
        <v>1435</v>
      </c>
      <c r="E22">
        <v>11</v>
      </c>
      <c r="F22">
        <v>35.9</v>
      </c>
      <c r="G22">
        <v>302.39999999999998</v>
      </c>
      <c r="H22">
        <v>2</v>
      </c>
      <c r="I22">
        <v>1.8</v>
      </c>
      <c r="J22">
        <v>275.89999999999998</v>
      </c>
      <c r="K22" s="64">
        <f t="shared" si="0"/>
        <v>79.722222222222229</v>
      </c>
      <c r="L22" s="64">
        <f t="shared" si="1"/>
        <v>14.30218867924528</v>
      </c>
      <c r="M22" s="66"/>
      <c r="N22" s="66"/>
      <c r="O22" s="66"/>
      <c r="X22" s="20">
        <f t="shared" si="2"/>
        <v>1737.4</v>
      </c>
      <c r="Y22" s="20">
        <f t="shared" si="3"/>
        <v>13</v>
      </c>
      <c r="Z22" s="20">
        <f t="shared" si="4"/>
        <v>133.64615384615385</v>
      </c>
    </row>
    <row r="23" spans="1:26" ht="14.25" customHeight="1" x14ac:dyDescent="0.3">
      <c r="B23" t="s">
        <v>473</v>
      </c>
      <c r="C23">
        <v>275</v>
      </c>
      <c r="D23">
        <v>1377</v>
      </c>
      <c r="E23">
        <v>9</v>
      </c>
      <c r="F23">
        <v>32</v>
      </c>
      <c r="G23">
        <v>273</v>
      </c>
      <c r="H23">
        <v>1.6</v>
      </c>
      <c r="I23">
        <v>3</v>
      </c>
      <c r="J23">
        <v>230.7</v>
      </c>
      <c r="K23" s="64">
        <f t="shared" si="0"/>
        <v>76.499999999999986</v>
      </c>
      <c r="L23" s="64">
        <f t="shared" si="1"/>
        <v>12.911698113207548</v>
      </c>
      <c r="M23" s="66"/>
      <c r="N23" s="66"/>
      <c r="O23" s="66"/>
      <c r="X23" s="20">
        <f t="shared" si="2"/>
        <v>1650</v>
      </c>
      <c r="Y23" s="20">
        <f t="shared" si="3"/>
        <v>10.6</v>
      </c>
      <c r="Z23" s="20">
        <f t="shared" si="4"/>
        <v>155.66037735849056</v>
      </c>
    </row>
    <row r="24" spans="1:26" ht="14.25" customHeight="1" x14ac:dyDescent="0.3">
      <c r="A24" t="s">
        <v>591</v>
      </c>
      <c r="B24" t="s">
        <v>483</v>
      </c>
      <c r="C24">
        <v>238.7</v>
      </c>
      <c r="D24">
        <v>1036.5999999999999</v>
      </c>
      <c r="E24">
        <v>7.8</v>
      </c>
      <c r="F24">
        <v>64.099999999999994</v>
      </c>
      <c r="G24">
        <v>427.7</v>
      </c>
      <c r="H24">
        <v>3.9</v>
      </c>
      <c r="I24">
        <v>1.1000000000000001</v>
      </c>
      <c r="J24">
        <v>246.8</v>
      </c>
      <c r="K24" s="64">
        <f t="shared" si="0"/>
        <v>57.588888888888889</v>
      </c>
      <c r="L24" s="64">
        <f t="shared" si="1"/>
        <v>20.228327044025157</v>
      </c>
      <c r="M24" s="66">
        <f>C26*Scoring!$B$32+D26/Scoring!$C$32+E26*Scoring!$D$32+F26*Scoring!$E$32+G26/Scoring!$F$32+H26*Scoring!$G$32+I26*Scoring!$H$32+K26*Scoring!$I$32+RB!L26*Scoring!$J$32+U24</f>
        <v>222.4</v>
      </c>
      <c r="N24" s="66">
        <f>C24*Scoring!$B$32+D24/Scoring!$C$32+E24*Scoring!$D$32+F24*Scoring!$E$32+G24/Scoring!$F$32+H24*Scoring!$G$32+I24*Scoring!$H$32+K24*Scoring!$I$32+RB!L24*Scoring!$J$32+U24</f>
        <v>246.48</v>
      </c>
      <c r="O24" s="66">
        <f>C25*Scoring!$B$32+D25/Scoring!$C$32+E25*Scoring!$D$32+F25*Scoring!$E$32+G25/Scoring!$F$32+H25*Scoring!$G$32+I25*Scoring!$H$32+K25*Scoring!$I$32+L25*Scoring!$J$32+U24</f>
        <v>272.3</v>
      </c>
      <c r="P24" s="20">
        <f>IF(COUNTIF(Rookies!$A:$A,A24)&gt;0,1,0)</f>
        <v>0</v>
      </c>
      <c r="S24" s="20">
        <f>V24/17</f>
        <v>14.498823529411764</v>
      </c>
      <c r="T24" s="20">
        <f>IF(P24=1,MAX(0,0.258*(14.9-S24)),0)</f>
        <v>0</v>
      </c>
      <c r="U24" s="20">
        <f>T24*17</f>
        <v>0</v>
      </c>
      <c r="V24" s="20">
        <f>C24*Scoring!$B$32+D24/Scoring!$C$32+E24*Scoring!$D$32+F24*Scoring!$E$32+G24/Scoring!$F$32+H24*Scoring!$G$32+I24*Scoring!$H$32+K24*Scoring!$I$32+RB!L24*Scoring!$J$32</f>
        <v>246.48</v>
      </c>
      <c r="X24" s="20">
        <f t="shared" si="2"/>
        <v>1464.3</v>
      </c>
      <c r="Y24" s="20">
        <f t="shared" si="3"/>
        <v>11.7</v>
      </c>
      <c r="Z24" s="20">
        <f t="shared" si="4"/>
        <v>125.15384615384616</v>
      </c>
    </row>
    <row r="25" spans="1:26" ht="14.25" customHeight="1" x14ac:dyDescent="0.3">
      <c r="B25" t="s">
        <v>472</v>
      </c>
      <c r="C25">
        <v>242</v>
      </c>
      <c r="D25">
        <v>1066</v>
      </c>
      <c r="E25">
        <v>9</v>
      </c>
      <c r="F25">
        <v>73</v>
      </c>
      <c r="G25">
        <v>472</v>
      </c>
      <c r="H25">
        <v>5</v>
      </c>
      <c r="I25">
        <v>1</v>
      </c>
      <c r="J25">
        <v>269.89999999999998</v>
      </c>
      <c r="K25" s="64">
        <f t="shared" si="0"/>
        <v>59.222222222222229</v>
      </c>
      <c r="L25" s="64">
        <f t="shared" si="1"/>
        <v>22.323522012578618</v>
      </c>
      <c r="M25" s="66"/>
      <c r="N25" s="66"/>
      <c r="O25" s="66"/>
      <c r="X25" s="20">
        <f t="shared" si="2"/>
        <v>1538</v>
      </c>
      <c r="Y25" s="20">
        <f t="shared" si="3"/>
        <v>14</v>
      </c>
      <c r="Z25" s="20">
        <f t="shared" si="4"/>
        <v>109.85714285714286</v>
      </c>
    </row>
    <row r="26" spans="1:26" ht="14.25" customHeight="1" x14ac:dyDescent="0.3">
      <c r="B26" t="s">
        <v>473</v>
      </c>
      <c r="C26">
        <v>236</v>
      </c>
      <c r="D26">
        <v>1008</v>
      </c>
      <c r="E26">
        <v>7</v>
      </c>
      <c r="F26">
        <v>55</v>
      </c>
      <c r="G26">
        <v>377</v>
      </c>
      <c r="H26">
        <v>2.8</v>
      </c>
      <c r="I26">
        <v>1.2</v>
      </c>
      <c r="J26">
        <v>239.3</v>
      </c>
      <c r="K26" s="64">
        <f t="shared" si="0"/>
        <v>56</v>
      </c>
      <c r="L26" s="64">
        <f t="shared" si="1"/>
        <v>17.830440251572323</v>
      </c>
      <c r="M26" s="66"/>
      <c r="N26" s="66"/>
      <c r="O26" s="66"/>
      <c r="X26" s="20">
        <f t="shared" si="2"/>
        <v>1385</v>
      </c>
      <c r="Y26" s="20">
        <f t="shared" si="3"/>
        <v>9.8000000000000007</v>
      </c>
      <c r="Z26" s="20">
        <f t="shared" si="4"/>
        <v>141.32653061224488</v>
      </c>
    </row>
    <row r="27" spans="1:26" ht="14.25" customHeight="1" x14ac:dyDescent="0.3">
      <c r="A27" t="s">
        <v>592</v>
      </c>
      <c r="B27" t="s">
        <v>481</v>
      </c>
      <c r="C27">
        <v>295.8</v>
      </c>
      <c r="D27">
        <v>1298</v>
      </c>
      <c r="E27">
        <v>8.1999999999999993</v>
      </c>
      <c r="F27">
        <v>42.1</v>
      </c>
      <c r="G27">
        <v>330.6</v>
      </c>
      <c r="H27">
        <v>2.1</v>
      </c>
      <c r="I27">
        <v>1</v>
      </c>
      <c r="J27">
        <v>243.8</v>
      </c>
      <c r="K27" s="64">
        <f t="shared" si="0"/>
        <v>72.111111111111114</v>
      </c>
      <c r="L27" s="64">
        <f t="shared" si="1"/>
        <v>15.635924528301889</v>
      </c>
      <c r="M27" s="66">
        <f>C29*Scoring!$B$32+D29/Scoring!$C$32+E29*Scoring!$D$32+F29*Scoring!$E$32+G29/Scoring!$F$32+H29*Scoring!$G$32+I29*Scoring!$H$32+K29*Scoring!$I$32+RB!L29*Scoring!$J$32+U27</f>
        <v>226.79999999999998</v>
      </c>
      <c r="N27" s="66">
        <f>C27*Scoring!$B$32+D27/Scoring!$C$32+E27*Scoring!$D$32+F27*Scoring!$E$32+G27/Scoring!$F$32+H27*Scoring!$G$32+I27*Scoring!$H$32+K27*Scoring!$I$32+RB!L27*Scoring!$J$32+U27</f>
        <v>243.71</v>
      </c>
      <c r="O27" s="66">
        <f>C28*Scoring!$B$32+D28/Scoring!$C$32+E28*Scoring!$D$32+F28*Scoring!$E$32+G28/Scoring!$F$32+H28*Scoring!$G$32+I28*Scoring!$H$32+K28*Scoring!$I$32+L28*Scoring!$J$32+U27</f>
        <v>261.89</v>
      </c>
      <c r="P27" s="20">
        <f>IF(COUNTIF(Rookies!$A:$A,A27)&gt;0,1,0)</f>
        <v>0</v>
      </c>
      <c r="S27" s="20">
        <f>V27/17</f>
        <v>14.335882352941177</v>
      </c>
      <c r="T27" s="20">
        <f>IF(P27=1,MAX(0,0.258*(14.9-S27)),0)</f>
        <v>0</v>
      </c>
      <c r="U27" s="20">
        <f>T27*17</f>
        <v>0</v>
      </c>
      <c r="V27" s="20">
        <f>C27*Scoring!$B$32+D27/Scoring!$C$32+E27*Scoring!$D$32+F27*Scoring!$E$32+G27/Scoring!$F$32+H27*Scoring!$G$32+I27*Scoring!$H$32+K27*Scoring!$I$32+RB!L27*Scoring!$J$32</f>
        <v>243.71</v>
      </c>
      <c r="X27" s="20">
        <f t="shared" si="2"/>
        <v>1628.6</v>
      </c>
      <c r="Y27" s="20">
        <f t="shared" si="3"/>
        <v>10.299999999999999</v>
      </c>
      <c r="Z27" s="20">
        <f t="shared" si="4"/>
        <v>158.11650485436894</v>
      </c>
    </row>
    <row r="28" spans="1:26" ht="14.25" customHeight="1" x14ac:dyDescent="0.3">
      <c r="B28" t="s">
        <v>472</v>
      </c>
      <c r="C28">
        <v>306</v>
      </c>
      <c r="D28">
        <v>1374</v>
      </c>
      <c r="E28">
        <v>9</v>
      </c>
      <c r="F28">
        <v>43.2</v>
      </c>
      <c r="G28">
        <v>370.9</v>
      </c>
      <c r="H28">
        <v>2.2999999999999998</v>
      </c>
      <c r="I28">
        <v>1</v>
      </c>
      <c r="J28">
        <v>262.3</v>
      </c>
      <c r="K28" s="64">
        <f t="shared" si="0"/>
        <v>76.333333333333329</v>
      </c>
      <c r="L28" s="64">
        <f t="shared" si="1"/>
        <v>17.54193710691824</v>
      </c>
      <c r="M28" s="66"/>
      <c r="N28" s="66"/>
      <c r="O28" s="66"/>
      <c r="X28" s="20">
        <f t="shared" si="2"/>
        <v>1744.9</v>
      </c>
      <c r="Y28" s="20">
        <f t="shared" si="3"/>
        <v>11.3</v>
      </c>
      <c r="Z28" s="20">
        <f t="shared" si="4"/>
        <v>154.41592920353983</v>
      </c>
    </row>
    <row r="29" spans="1:26" ht="14.25" customHeight="1" x14ac:dyDescent="0.3">
      <c r="B29" t="s">
        <v>473</v>
      </c>
      <c r="C29">
        <v>281</v>
      </c>
      <c r="D29">
        <v>1236</v>
      </c>
      <c r="E29">
        <v>7</v>
      </c>
      <c r="F29">
        <v>41</v>
      </c>
      <c r="G29">
        <v>307</v>
      </c>
      <c r="H29">
        <v>2</v>
      </c>
      <c r="I29">
        <v>1</v>
      </c>
      <c r="J29">
        <v>224</v>
      </c>
      <c r="K29" s="64">
        <f t="shared" si="0"/>
        <v>68.666666666666657</v>
      </c>
      <c r="L29" s="64">
        <f t="shared" si="1"/>
        <v>14.519748427672958</v>
      </c>
      <c r="M29" s="66"/>
      <c r="N29" s="66"/>
      <c r="O29" s="66"/>
      <c r="X29" s="20">
        <f t="shared" si="2"/>
        <v>1543</v>
      </c>
      <c r="Y29" s="20">
        <f t="shared" si="3"/>
        <v>9</v>
      </c>
      <c r="Z29" s="20">
        <f t="shared" si="4"/>
        <v>171.44444444444446</v>
      </c>
    </row>
    <row r="30" spans="1:26" ht="14.25" customHeight="1" x14ac:dyDescent="0.3">
      <c r="A30" t="s">
        <v>593</v>
      </c>
      <c r="B30" t="s">
        <v>493</v>
      </c>
      <c r="C30">
        <v>267.2</v>
      </c>
      <c r="D30">
        <v>1207.0999999999999</v>
      </c>
      <c r="E30">
        <v>8.6999999999999993</v>
      </c>
      <c r="F30">
        <v>45.8</v>
      </c>
      <c r="G30">
        <v>352.3</v>
      </c>
      <c r="H30">
        <v>1.2</v>
      </c>
      <c r="I30">
        <v>0.9</v>
      </c>
      <c r="J30">
        <v>236.3</v>
      </c>
      <c r="K30" s="64">
        <f t="shared" si="0"/>
        <v>67.061111111111103</v>
      </c>
      <c r="L30" s="64">
        <f t="shared" si="1"/>
        <v>16.662238993710691</v>
      </c>
      <c r="M30" s="66">
        <f>C32*Scoring!$B$32+D32/Scoring!$C$32+E32*Scoring!$D$32+F32*Scoring!$E$32+G32/Scoring!$F$32+H32*Scoring!$G$32+I32*Scoring!$H$32+K32*Scoring!$I$32+RB!L32*Scoring!$J$32+U30</f>
        <v>216.89999999999998</v>
      </c>
      <c r="N30" s="66">
        <f>C30*Scoring!$B$32+D30/Scoring!$C$32+E30*Scoring!$D$32+F30*Scoring!$E$32+G30/Scoring!$F$32+H30*Scoring!$G$32+I30*Scoring!$H$32+K30*Scoring!$I$32+RB!L30*Scoring!$J$32+U30</f>
        <v>236.44</v>
      </c>
      <c r="O30" s="66">
        <f>C31*Scoring!$B$32+D31/Scoring!$C$32+E31*Scoring!$D$32+F31*Scoring!$E$32+G31/Scoring!$F$32+H31*Scoring!$G$32+I31*Scoring!$H$32+K31*Scoring!$I$32+L31*Scoring!$J$32+U30</f>
        <v>249.88</v>
      </c>
      <c r="P30" s="20">
        <f>IF(COUNTIF(Rookies!$A:$A,A30)&gt;0,1,0)</f>
        <v>0</v>
      </c>
      <c r="S30" s="20">
        <f>V30/17</f>
        <v>13.908235294117647</v>
      </c>
      <c r="T30" s="20">
        <f>IF(P30=1,MAX(0,0.258*(14.9-S30)),0)</f>
        <v>0</v>
      </c>
      <c r="U30" s="20">
        <f>T30*17</f>
        <v>0</v>
      </c>
      <c r="V30" s="20">
        <f>C30*Scoring!$B$32+D30/Scoring!$C$32+E30*Scoring!$D$32+F30*Scoring!$E$32+G30/Scoring!$F$32+H30*Scoring!$G$32+I30*Scoring!$H$32+K30*Scoring!$I$32+RB!L30*Scoring!$J$32</f>
        <v>236.44</v>
      </c>
      <c r="X30" s="20">
        <f t="shared" si="2"/>
        <v>1559.3999999999999</v>
      </c>
      <c r="Y30" s="20">
        <f t="shared" si="3"/>
        <v>9.8999999999999986</v>
      </c>
      <c r="Z30" s="20">
        <f t="shared" si="4"/>
        <v>157.51515151515153</v>
      </c>
    </row>
    <row r="31" spans="1:26" ht="14.25" customHeight="1" x14ac:dyDescent="0.3">
      <c r="B31" t="s">
        <v>472</v>
      </c>
      <c r="C31">
        <v>276.7</v>
      </c>
      <c r="D31">
        <v>1239.3</v>
      </c>
      <c r="E31">
        <v>9</v>
      </c>
      <c r="F31">
        <v>48.3</v>
      </c>
      <c r="G31">
        <v>376</v>
      </c>
      <c r="H31">
        <v>2</v>
      </c>
      <c r="I31">
        <v>0.9</v>
      </c>
      <c r="J31">
        <v>259.8</v>
      </c>
      <c r="K31" s="64">
        <f t="shared" si="0"/>
        <v>68.850000000000009</v>
      </c>
      <c r="L31" s="64">
        <f t="shared" si="1"/>
        <v>17.783144654088048</v>
      </c>
      <c r="M31" s="66"/>
      <c r="N31" s="66"/>
      <c r="O31" s="66"/>
      <c r="X31" s="20">
        <f t="shared" si="2"/>
        <v>1615.3</v>
      </c>
      <c r="Y31" s="20">
        <f t="shared" si="3"/>
        <v>11</v>
      </c>
      <c r="Z31" s="20">
        <f t="shared" si="4"/>
        <v>146.84545454545454</v>
      </c>
    </row>
    <row r="32" spans="1:26" ht="14.25" customHeight="1" x14ac:dyDescent="0.3">
      <c r="B32" t="s">
        <v>473</v>
      </c>
      <c r="C32">
        <v>262</v>
      </c>
      <c r="D32">
        <v>1177</v>
      </c>
      <c r="E32">
        <v>8</v>
      </c>
      <c r="F32">
        <v>42</v>
      </c>
      <c r="G32">
        <v>322</v>
      </c>
      <c r="H32">
        <v>0</v>
      </c>
      <c r="I32">
        <v>1</v>
      </c>
      <c r="J32">
        <v>209.9</v>
      </c>
      <c r="K32" s="64">
        <f t="shared" si="0"/>
        <v>65.388888888888886</v>
      </c>
      <c r="L32" s="64">
        <f t="shared" si="1"/>
        <v>15.229182389937108</v>
      </c>
      <c r="M32" s="66"/>
      <c r="N32" s="66"/>
      <c r="O32" s="66"/>
      <c r="X32" s="20">
        <f t="shared" si="2"/>
        <v>1499</v>
      </c>
      <c r="Y32" s="20">
        <f t="shared" si="3"/>
        <v>8</v>
      </c>
      <c r="Z32" s="20">
        <f t="shared" si="4"/>
        <v>187.375</v>
      </c>
    </row>
    <row r="33" spans="1:26" ht="14.25" customHeight="1" x14ac:dyDescent="0.3">
      <c r="A33" t="s">
        <v>600</v>
      </c>
      <c r="B33" t="s">
        <v>531</v>
      </c>
      <c r="C33">
        <v>257.60000000000002</v>
      </c>
      <c r="D33">
        <v>1038</v>
      </c>
      <c r="E33">
        <v>7.3</v>
      </c>
      <c r="F33">
        <v>56.5</v>
      </c>
      <c r="G33">
        <v>399.3</v>
      </c>
      <c r="H33">
        <v>3</v>
      </c>
      <c r="I33">
        <v>1.1000000000000001</v>
      </c>
      <c r="J33">
        <v>231.9</v>
      </c>
      <c r="K33" s="64">
        <f t="shared" si="0"/>
        <v>57.666666666666671</v>
      </c>
      <c r="L33" s="64">
        <f t="shared" si="1"/>
        <v>18.885132075471699</v>
      </c>
      <c r="M33" s="66">
        <f>C35*Scoring!$B$32+D35/Scoring!$C$32+E35*Scoring!$D$32+F35*Scoring!$E$32+G35/Scoring!$F$32+H35*Scoring!$G$32+I35*Scoring!$H$32+K35*Scoring!$I$32+RB!L35*Scoring!$J$32+U33</f>
        <v>193.6</v>
      </c>
      <c r="N33" s="66">
        <f>C33*Scoring!$B$32+D33/Scoring!$C$32+E33*Scoring!$D$32+F33*Scoring!$E$32+G33/Scoring!$F$32+H33*Scoring!$G$32+I33*Scoring!$H$32+K33*Scoring!$I$32+RB!L33*Scoring!$J$32+U33</f>
        <v>231.58</v>
      </c>
      <c r="O33" s="66">
        <f>C34*Scoring!$B$32+D34/Scoring!$C$32+E34*Scoring!$D$32+F34*Scoring!$E$32+G34/Scoring!$F$32+H34*Scoring!$G$32+I34*Scoring!$H$32+K34*Scoring!$I$32+L34*Scoring!$J$32+U33</f>
        <v>269.68</v>
      </c>
      <c r="P33" s="20">
        <f>IF(COUNTIF(Rookies!$A:$A,A33)&gt;0,1,0)</f>
        <v>0</v>
      </c>
      <c r="S33" s="20">
        <f>V33/17</f>
        <v>13.622352941176471</v>
      </c>
      <c r="T33" s="20">
        <f>IF(P33=1,MAX(0,0.258*(14.9-S33)),0)</f>
        <v>0</v>
      </c>
      <c r="U33" s="20">
        <f>T33*17</f>
        <v>0</v>
      </c>
      <c r="V33" s="20">
        <f>C33*Scoring!$B$32+D33/Scoring!$C$32+E33*Scoring!$D$32+F33*Scoring!$E$32+G33/Scoring!$F$32+H33*Scoring!$G$32+I33*Scoring!$H$32+K33*Scoring!$I$32+RB!L33*Scoring!$J$32</f>
        <v>231.58</v>
      </c>
      <c r="X33" s="20">
        <f t="shared" si="2"/>
        <v>1437.3</v>
      </c>
      <c r="Y33" s="20">
        <f t="shared" si="3"/>
        <v>10.3</v>
      </c>
      <c r="Z33" s="20">
        <f t="shared" si="4"/>
        <v>139.54368932038832</v>
      </c>
    </row>
    <row r="34" spans="1:26" ht="14.25" customHeight="1" x14ac:dyDescent="0.3">
      <c r="B34" t="s">
        <v>472</v>
      </c>
      <c r="C34">
        <v>277.8</v>
      </c>
      <c r="D34">
        <v>1122</v>
      </c>
      <c r="E34">
        <v>8</v>
      </c>
      <c r="F34">
        <v>64.599999999999994</v>
      </c>
      <c r="G34">
        <v>491.8</v>
      </c>
      <c r="H34">
        <v>5</v>
      </c>
      <c r="I34">
        <v>1</v>
      </c>
      <c r="J34">
        <v>262.60000000000002</v>
      </c>
      <c r="K34" s="64">
        <f t="shared" si="0"/>
        <v>62.333333333333329</v>
      </c>
      <c r="L34" s="64">
        <f t="shared" si="1"/>
        <v>23.259974842767299</v>
      </c>
      <c r="M34" s="66"/>
      <c r="N34" s="66"/>
      <c r="O34" s="66"/>
      <c r="X34" s="20">
        <f t="shared" si="2"/>
        <v>1613.8</v>
      </c>
      <c r="Y34" s="20">
        <f t="shared" si="3"/>
        <v>13</v>
      </c>
      <c r="Z34" s="20">
        <f t="shared" si="4"/>
        <v>124.13846153846154</v>
      </c>
    </row>
    <row r="35" spans="1:26" ht="14.25" customHeight="1" x14ac:dyDescent="0.3">
      <c r="B35" t="s">
        <v>473</v>
      </c>
      <c r="C35">
        <v>229</v>
      </c>
      <c r="D35">
        <v>875</v>
      </c>
      <c r="E35">
        <v>7</v>
      </c>
      <c r="F35">
        <v>49</v>
      </c>
      <c r="G35">
        <v>300</v>
      </c>
      <c r="H35">
        <v>2</v>
      </c>
      <c r="I35">
        <v>1.2</v>
      </c>
      <c r="J35">
        <v>205.3</v>
      </c>
      <c r="K35" s="64">
        <f t="shared" si="0"/>
        <v>48.611111111111114</v>
      </c>
      <c r="L35" s="64">
        <f t="shared" si="1"/>
        <v>14.188679245283019</v>
      </c>
      <c r="M35" s="66"/>
      <c r="N35" s="66"/>
      <c r="O35" s="66"/>
      <c r="X35" s="20">
        <f t="shared" si="2"/>
        <v>1175</v>
      </c>
      <c r="Y35" s="20">
        <f t="shared" si="3"/>
        <v>9</v>
      </c>
      <c r="Z35" s="20">
        <f t="shared" si="4"/>
        <v>130.55555555555554</v>
      </c>
    </row>
    <row r="36" spans="1:26" ht="14.25" customHeight="1" x14ac:dyDescent="0.3">
      <c r="A36" t="s">
        <v>595</v>
      </c>
      <c r="B36" t="s">
        <v>497</v>
      </c>
      <c r="C36">
        <v>243.7</v>
      </c>
      <c r="D36">
        <v>1036.5999999999999</v>
      </c>
      <c r="E36">
        <v>9.5</v>
      </c>
      <c r="F36">
        <v>49.9</v>
      </c>
      <c r="G36">
        <v>342.4</v>
      </c>
      <c r="H36">
        <v>1.9</v>
      </c>
      <c r="I36">
        <v>1</v>
      </c>
      <c r="J36">
        <v>229</v>
      </c>
      <c r="K36" s="64">
        <f t="shared" si="0"/>
        <v>57.588888888888889</v>
      </c>
      <c r="L36" s="64">
        <f t="shared" si="1"/>
        <v>16.194012578616352</v>
      </c>
      <c r="M36" s="66">
        <f>C38*Scoring!$B$32+D38/Scoring!$C$32+E38*Scoring!$D$32+F38*Scoring!$E$32+G38/Scoring!$F$32+H38*Scoring!$G$32+I38*Scoring!$H$32+K38*Scoring!$I$32+RB!L38*Scoring!$J$32+U36</f>
        <v>205.00000000000003</v>
      </c>
      <c r="N36" s="66">
        <f>C36*Scoring!$B$32+D36/Scoring!$C$32+E36*Scoring!$D$32+F36*Scoring!$E$32+G36/Scoring!$F$32+H36*Scoring!$G$32+I36*Scoring!$H$32+K36*Scoring!$I$32+RB!L36*Scoring!$J$32+U36</f>
        <v>229.24999999999997</v>
      </c>
      <c r="O36" s="66">
        <f>C37*Scoring!$B$32+D37/Scoring!$C$32+E37*Scoring!$D$32+F37*Scoring!$E$32+G37/Scoring!$F$32+H37*Scoring!$G$32+I37*Scoring!$H$32+K37*Scoring!$I$32+L37*Scoring!$J$32+U36</f>
        <v>245.5</v>
      </c>
      <c r="P36" s="20">
        <f>IF(COUNTIF(Rookies!$A:$A,A36)&gt;0,1,0)</f>
        <v>0</v>
      </c>
      <c r="S36" s="20">
        <f>V36/17</f>
        <v>13.485294117647058</v>
      </c>
      <c r="T36" s="20">
        <f>IF(P36=1,MAX(0,0.258*(14.9-S36)),0)</f>
        <v>0</v>
      </c>
      <c r="U36" s="20">
        <f>T36*17</f>
        <v>0</v>
      </c>
      <c r="V36" s="20">
        <f>C36*Scoring!$B$32+D36/Scoring!$C$32+E36*Scoring!$D$32+F36*Scoring!$E$32+G36/Scoring!$F$32+H36*Scoring!$G$32+I36*Scoring!$H$32+K36*Scoring!$I$32+RB!L36*Scoring!$J$32</f>
        <v>229.24999999999997</v>
      </c>
      <c r="X36" s="20">
        <f t="shared" si="2"/>
        <v>1379</v>
      </c>
      <c r="Y36" s="20">
        <f t="shared" si="3"/>
        <v>11.4</v>
      </c>
      <c r="Z36" s="20">
        <f t="shared" si="4"/>
        <v>120.96491228070175</v>
      </c>
    </row>
    <row r="37" spans="1:26" ht="14.25" customHeight="1" x14ac:dyDescent="0.3">
      <c r="B37" t="s">
        <v>472</v>
      </c>
      <c r="C37">
        <v>257</v>
      </c>
      <c r="D37">
        <v>1129</v>
      </c>
      <c r="E37">
        <v>10</v>
      </c>
      <c r="F37">
        <v>52</v>
      </c>
      <c r="G37">
        <v>366</v>
      </c>
      <c r="H37">
        <v>2</v>
      </c>
      <c r="I37">
        <v>1</v>
      </c>
      <c r="J37">
        <v>266.39999999999998</v>
      </c>
      <c r="K37" s="64">
        <f t="shared" si="0"/>
        <v>62.722222222222229</v>
      </c>
      <c r="L37" s="64">
        <f t="shared" si="1"/>
        <v>17.310188679245282</v>
      </c>
      <c r="M37" s="66"/>
      <c r="N37" s="66"/>
      <c r="O37" s="66"/>
      <c r="X37" s="20">
        <f t="shared" si="2"/>
        <v>1495</v>
      </c>
      <c r="Y37" s="20">
        <f t="shared" si="3"/>
        <v>12</v>
      </c>
      <c r="Z37" s="20">
        <f t="shared" si="4"/>
        <v>124.58333333333333</v>
      </c>
    </row>
    <row r="38" spans="1:26" ht="14.25" customHeight="1" x14ac:dyDescent="0.3">
      <c r="B38" t="s">
        <v>473</v>
      </c>
      <c r="C38">
        <v>220</v>
      </c>
      <c r="D38">
        <v>896</v>
      </c>
      <c r="E38">
        <v>9</v>
      </c>
      <c r="F38">
        <v>46</v>
      </c>
      <c r="G38">
        <v>298</v>
      </c>
      <c r="H38">
        <v>1.8</v>
      </c>
      <c r="I38">
        <v>1.1000000000000001</v>
      </c>
      <c r="J38">
        <v>196.9</v>
      </c>
      <c r="K38" s="64">
        <f t="shared" si="0"/>
        <v>49.777777777777771</v>
      </c>
      <c r="L38" s="64">
        <f t="shared" si="1"/>
        <v>14.094088050314467</v>
      </c>
      <c r="M38" s="66"/>
      <c r="N38" s="66"/>
      <c r="O38" s="66"/>
      <c r="X38" s="20">
        <f t="shared" si="2"/>
        <v>1194</v>
      </c>
      <c r="Y38" s="20">
        <f t="shared" si="3"/>
        <v>10.8</v>
      </c>
      <c r="Z38" s="20">
        <f t="shared" si="4"/>
        <v>110.55555555555554</v>
      </c>
    </row>
    <row r="39" spans="1:26" ht="14.25" customHeight="1" x14ac:dyDescent="0.3">
      <c r="A39" t="s">
        <v>596</v>
      </c>
      <c r="B39" t="s">
        <v>527</v>
      </c>
      <c r="C39">
        <v>236.6</v>
      </c>
      <c r="D39">
        <v>1049</v>
      </c>
      <c r="E39">
        <v>6.9</v>
      </c>
      <c r="F39">
        <v>54.6</v>
      </c>
      <c r="G39">
        <v>428.3</v>
      </c>
      <c r="H39">
        <v>2.1</v>
      </c>
      <c r="I39">
        <v>2.2000000000000002</v>
      </c>
      <c r="J39">
        <v>224.3</v>
      </c>
      <c r="K39" s="64">
        <f t="shared" si="0"/>
        <v>58.277777777777771</v>
      </c>
      <c r="L39" s="64">
        <f t="shared" si="1"/>
        <v>20.256704402515723</v>
      </c>
      <c r="M39" s="66">
        <f>C41*Scoring!$B$32+D41/Scoring!$C$32+E41*Scoring!$D$32+F41*Scoring!$E$32+G41/Scoring!$F$32+H41*Scoring!$G$32+I41*Scoring!$H$32+K41*Scoring!$I$32+RB!L41*Scoring!$J$32+U39</f>
        <v>207.29685999999998</v>
      </c>
      <c r="N39" s="66">
        <f>C39*Scoring!$B$32+D39/Scoring!$C$32+E39*Scoring!$D$32+F39*Scoring!$E$32+G39/Scoring!$F$32+H39*Scoring!$G$32+I39*Scoring!$H$32+K39*Scoring!$I$32+RB!L39*Scoring!$J$32+U39</f>
        <v>232.02686</v>
      </c>
      <c r="O39" s="66">
        <f>C40*Scoring!$B$32+D40/Scoring!$C$32+E40*Scoring!$D$32+F40*Scoring!$E$32+G40/Scoring!$F$32+H40*Scoring!$G$32+I40*Scoring!$H$32+K40*Scoring!$I$32+L40*Scoring!$J$32+U39</f>
        <v>252.93686000000002</v>
      </c>
      <c r="P39" s="20">
        <f>IF(COUNTIF(Rookies!$A:$A,A39)&gt;0,1,0)</f>
        <v>1</v>
      </c>
      <c r="S39" s="20">
        <f>V39/17</f>
        <v>13.213529411764705</v>
      </c>
      <c r="T39" s="20">
        <f>IF(P39=1,MAX(0,0.258*(14.9-S39)),0)</f>
        <v>0.43510941176470613</v>
      </c>
      <c r="U39" s="20">
        <f>T39*17</f>
        <v>7.3968600000000047</v>
      </c>
      <c r="V39" s="20">
        <f>C39*Scoring!$B$32+D39/Scoring!$C$32+E39*Scoring!$D$32+F39*Scoring!$E$32+G39/Scoring!$F$32+H39*Scoring!$G$32+I39*Scoring!$H$32+K39*Scoring!$I$32+RB!L39*Scoring!$J$32</f>
        <v>224.63</v>
      </c>
      <c r="X39" s="20">
        <f t="shared" si="2"/>
        <v>1477.3</v>
      </c>
      <c r="Y39" s="20">
        <f t="shared" si="3"/>
        <v>9</v>
      </c>
      <c r="Z39" s="20">
        <f t="shared" si="4"/>
        <v>164.14444444444445</v>
      </c>
    </row>
    <row r="40" spans="1:26" ht="14.25" customHeight="1" x14ac:dyDescent="0.3">
      <c r="B40" t="s">
        <v>472</v>
      </c>
      <c r="C40">
        <v>252.8</v>
      </c>
      <c r="D40">
        <v>1118.9000000000001</v>
      </c>
      <c r="E40">
        <v>7</v>
      </c>
      <c r="F40">
        <v>64.900000000000006</v>
      </c>
      <c r="G40">
        <v>486</v>
      </c>
      <c r="H40">
        <v>2.2000000000000002</v>
      </c>
      <c r="I40">
        <v>1.3</v>
      </c>
      <c r="J40">
        <v>259.2</v>
      </c>
      <c r="K40" s="64">
        <f t="shared" si="0"/>
        <v>62.161111111111119</v>
      </c>
      <c r="L40" s="64">
        <f t="shared" si="1"/>
        <v>22.985660377358492</v>
      </c>
      <c r="M40" s="66"/>
      <c r="N40" s="66"/>
      <c r="O40" s="66"/>
      <c r="X40" s="20">
        <f t="shared" si="2"/>
        <v>1604.9</v>
      </c>
      <c r="Y40" s="20">
        <f t="shared" si="3"/>
        <v>9.1999999999999993</v>
      </c>
      <c r="Z40" s="20">
        <f t="shared" si="4"/>
        <v>174.44565217391306</v>
      </c>
    </row>
    <row r="41" spans="1:26" ht="14.25" customHeight="1" x14ac:dyDescent="0.3">
      <c r="B41" t="s">
        <v>473</v>
      </c>
      <c r="C41">
        <v>211</v>
      </c>
      <c r="D41">
        <v>946</v>
      </c>
      <c r="E41">
        <v>6.6</v>
      </c>
      <c r="F41">
        <v>43</v>
      </c>
      <c r="G41">
        <v>382</v>
      </c>
      <c r="H41">
        <v>2</v>
      </c>
      <c r="I41">
        <v>3</v>
      </c>
      <c r="J41">
        <v>191.3</v>
      </c>
      <c r="K41" s="64">
        <f t="shared" si="0"/>
        <v>52.555555555555557</v>
      </c>
      <c r="L41" s="64">
        <f t="shared" si="1"/>
        <v>18.066918238993711</v>
      </c>
      <c r="M41" s="66"/>
      <c r="N41" s="66"/>
      <c r="O41" s="66"/>
      <c r="X41" s="20">
        <f t="shared" si="2"/>
        <v>1328</v>
      </c>
      <c r="Y41" s="20">
        <f t="shared" si="3"/>
        <v>8.6</v>
      </c>
      <c r="Z41" s="20">
        <f t="shared" si="4"/>
        <v>154.41860465116281</v>
      </c>
    </row>
    <row r="42" spans="1:26" ht="14.25" customHeight="1" x14ac:dyDescent="0.3">
      <c r="A42" t="s">
        <v>599</v>
      </c>
      <c r="B42" t="s">
        <v>491</v>
      </c>
      <c r="C42">
        <v>263.8</v>
      </c>
      <c r="D42">
        <v>1195.7</v>
      </c>
      <c r="E42">
        <v>10.7</v>
      </c>
      <c r="F42">
        <v>33.6</v>
      </c>
      <c r="G42">
        <v>193.9</v>
      </c>
      <c r="H42">
        <v>1.2</v>
      </c>
      <c r="I42">
        <v>1.6</v>
      </c>
      <c r="J42">
        <v>223.9</v>
      </c>
      <c r="K42" s="64">
        <f t="shared" si="0"/>
        <v>66.427777777777777</v>
      </c>
      <c r="L42" s="64">
        <f t="shared" si="1"/>
        <v>9.1706163522012574</v>
      </c>
      <c r="M42" s="66">
        <f>C44*Scoring!$B$32+D44/Scoring!$C$32+E44*Scoring!$D$32+F44*Scoring!$E$32+G44/Scoring!$F$32+H44*Scoring!$G$32+I44*Scoring!$H$32+K44*Scoring!$I$32+RB!L44*Scoring!$J$32+U42</f>
        <v>204.79999999999998</v>
      </c>
      <c r="N42" s="66">
        <f>C42*Scoring!$B$32+D42/Scoring!$C$32+E42*Scoring!$D$32+F42*Scoring!$E$32+G42/Scoring!$F$32+H42*Scoring!$G$32+I42*Scoring!$H$32+K42*Scoring!$I$32+RB!L42*Scoring!$J$32+U42</f>
        <v>223.95999999999998</v>
      </c>
      <c r="O42" s="66">
        <f>C43*Scoring!$B$32+D43/Scoring!$C$32+E43*Scoring!$D$32+F43*Scoring!$E$32+G43/Scoring!$F$32+H43*Scoring!$G$32+I43*Scoring!$H$32+K43*Scoring!$I$32+L43*Scoring!$J$32+U42</f>
        <v>239.75</v>
      </c>
      <c r="P42" s="20">
        <f>IF(COUNTIF(Rookies!$A:$A,A42)&gt;0,1,0)</f>
        <v>0</v>
      </c>
      <c r="S42" s="20">
        <f>V42/17</f>
        <v>13.174117647058821</v>
      </c>
      <c r="T42" s="20">
        <f>IF(P42=1,MAX(0,0.258*(14.9-S42)),0)</f>
        <v>0</v>
      </c>
      <c r="U42" s="20">
        <f>T42*17</f>
        <v>0</v>
      </c>
      <c r="V42" s="20">
        <f>C42*Scoring!$B$32+D42/Scoring!$C$32+E42*Scoring!$D$32+F42*Scoring!$E$32+G42/Scoring!$F$32+H42*Scoring!$G$32+I42*Scoring!$H$32+K42*Scoring!$I$32+RB!L42*Scoring!$J$32</f>
        <v>223.95999999999998</v>
      </c>
      <c r="X42" s="20">
        <f t="shared" si="2"/>
        <v>1389.6000000000001</v>
      </c>
      <c r="Y42" s="20">
        <f t="shared" si="3"/>
        <v>11.899999999999999</v>
      </c>
      <c r="Z42" s="20">
        <f t="shared" si="4"/>
        <v>116.7731092436975</v>
      </c>
    </row>
    <row r="43" spans="1:26" ht="14.25" customHeight="1" x14ac:dyDescent="0.3">
      <c r="B43" t="s">
        <v>472</v>
      </c>
      <c r="C43">
        <v>289.3</v>
      </c>
      <c r="D43">
        <v>1263.2</v>
      </c>
      <c r="E43">
        <v>11.1</v>
      </c>
      <c r="F43">
        <v>36.9</v>
      </c>
      <c r="G43">
        <v>217.8</v>
      </c>
      <c r="H43">
        <v>1.5</v>
      </c>
      <c r="I43">
        <v>1.2</v>
      </c>
      <c r="J43">
        <v>239.4</v>
      </c>
      <c r="K43" s="64">
        <f t="shared" si="0"/>
        <v>70.177777777777791</v>
      </c>
      <c r="L43" s="64">
        <f t="shared" si="1"/>
        <v>10.300981132075473</v>
      </c>
      <c r="M43" s="66"/>
      <c r="N43" s="66"/>
      <c r="O43" s="66"/>
      <c r="X43" s="20">
        <f t="shared" si="2"/>
        <v>1481</v>
      </c>
      <c r="Y43" s="20">
        <f t="shared" si="3"/>
        <v>12.6</v>
      </c>
      <c r="Z43" s="20">
        <f t="shared" si="4"/>
        <v>117.53968253968254</v>
      </c>
    </row>
    <row r="44" spans="1:26" ht="14.25" customHeight="1" x14ac:dyDescent="0.3">
      <c r="B44" t="s">
        <v>473</v>
      </c>
      <c r="C44">
        <v>245</v>
      </c>
      <c r="D44">
        <v>1126</v>
      </c>
      <c r="E44">
        <v>10</v>
      </c>
      <c r="F44">
        <v>31</v>
      </c>
      <c r="G44">
        <v>147</v>
      </c>
      <c r="H44">
        <v>1</v>
      </c>
      <c r="I44">
        <v>2</v>
      </c>
      <c r="J44">
        <v>202.8</v>
      </c>
      <c r="K44" s="64">
        <f t="shared" si="0"/>
        <v>62.555555555555557</v>
      </c>
      <c r="L44" s="64">
        <f t="shared" si="1"/>
        <v>6.9524528301886805</v>
      </c>
      <c r="M44" s="66"/>
      <c r="N44" s="66"/>
      <c r="O44" s="66"/>
      <c r="X44" s="20">
        <f t="shared" si="2"/>
        <v>1273</v>
      </c>
      <c r="Y44" s="20">
        <f t="shared" si="3"/>
        <v>11</v>
      </c>
      <c r="Z44" s="20">
        <f t="shared" si="4"/>
        <v>115.72727272727273</v>
      </c>
    </row>
    <row r="45" spans="1:26" ht="14.25" customHeight="1" x14ac:dyDescent="0.3">
      <c r="A45" t="s">
        <v>598</v>
      </c>
      <c r="B45" t="s">
        <v>523</v>
      </c>
      <c r="C45">
        <v>248.8</v>
      </c>
      <c r="D45">
        <v>1113.0999999999999</v>
      </c>
      <c r="E45">
        <v>6.2</v>
      </c>
      <c r="F45">
        <v>46.4</v>
      </c>
      <c r="G45">
        <v>404.5</v>
      </c>
      <c r="H45">
        <v>2.2000000000000002</v>
      </c>
      <c r="I45">
        <v>1.7</v>
      </c>
      <c r="J45">
        <v>222.3</v>
      </c>
      <c r="K45" s="64">
        <f t="shared" si="0"/>
        <v>61.838888888888881</v>
      </c>
      <c r="L45" s="64">
        <f t="shared" si="1"/>
        <v>19.131069182389936</v>
      </c>
      <c r="M45" s="66">
        <f>C47*Scoring!$B$32+D47/Scoring!$C$32+E47*Scoring!$D$32+F47*Scoring!$E$32+G47/Scoring!$F$32+H47*Scoring!$G$32+I47*Scoring!$H$32+K47*Scoring!$I$32+RB!L47*Scoring!$J$32+U45</f>
        <v>196.4</v>
      </c>
      <c r="N45" s="66">
        <f>C45*Scoring!$B$32+D45/Scoring!$C$32+E45*Scoring!$D$32+F45*Scoring!$E$32+G45/Scoring!$F$32+H45*Scoring!$G$32+I45*Scoring!$H$32+K45*Scoring!$I$32+RB!L45*Scoring!$J$32+U45</f>
        <v>221.95999999999995</v>
      </c>
      <c r="O45" s="66">
        <f>C46*Scoring!$B$32+D46/Scoring!$C$32+E46*Scoring!$D$32+F46*Scoring!$E$32+G46/Scoring!$F$32+H46*Scoring!$G$32+I46*Scoring!$H$32+K46*Scoring!$I$32+L46*Scoring!$J$32+U45</f>
        <v>245.52999999999997</v>
      </c>
      <c r="P45" s="20">
        <f>IF(COUNTIF(Rookies!$A:$A,A45)&gt;0,1,0)</f>
        <v>0</v>
      </c>
      <c r="S45" s="20">
        <f>V45/17</f>
        <v>13.056470588235291</v>
      </c>
      <c r="T45" s="20">
        <f>IF(P45=1,MAX(0,0.258*(14.9-S45)),0)</f>
        <v>0</v>
      </c>
      <c r="U45" s="20">
        <f>T45*17</f>
        <v>0</v>
      </c>
      <c r="V45" s="20">
        <f>C45*Scoring!$B$32+D45/Scoring!$C$32+E45*Scoring!$D$32+F45*Scoring!$E$32+G45/Scoring!$F$32+H45*Scoring!$G$32+I45*Scoring!$H$32+K45*Scoring!$I$32+RB!L45*Scoring!$J$32</f>
        <v>221.95999999999995</v>
      </c>
      <c r="X45" s="20">
        <f t="shared" si="2"/>
        <v>1517.6</v>
      </c>
      <c r="Y45" s="20">
        <f t="shared" si="3"/>
        <v>8.4</v>
      </c>
      <c r="Z45" s="20">
        <f t="shared" si="4"/>
        <v>180.66666666666666</v>
      </c>
    </row>
    <row r="46" spans="1:26" ht="14.25" customHeight="1" x14ac:dyDescent="0.3">
      <c r="B46" t="s">
        <v>472</v>
      </c>
      <c r="C46">
        <v>264.5</v>
      </c>
      <c r="D46">
        <v>1163.3</v>
      </c>
      <c r="E46">
        <v>7.6</v>
      </c>
      <c r="F46">
        <v>52.3</v>
      </c>
      <c r="G46">
        <v>440.5</v>
      </c>
      <c r="H46">
        <v>2.7</v>
      </c>
      <c r="I46">
        <v>1.4</v>
      </c>
      <c r="J46">
        <v>245.4</v>
      </c>
      <c r="K46" s="64">
        <f t="shared" si="0"/>
        <v>64.62777777777778</v>
      </c>
      <c r="L46" s="64">
        <f t="shared" si="1"/>
        <v>20.833710691823899</v>
      </c>
      <c r="M46" s="66"/>
      <c r="N46" s="66"/>
      <c r="O46" s="66"/>
      <c r="X46" s="20">
        <f t="shared" si="2"/>
        <v>1603.8</v>
      </c>
      <c r="Y46" s="20">
        <f t="shared" si="3"/>
        <v>10.3</v>
      </c>
      <c r="Z46" s="20">
        <f t="shared" si="4"/>
        <v>155.70873786407765</v>
      </c>
    </row>
    <row r="47" spans="1:26" ht="14.25" customHeight="1" x14ac:dyDescent="0.3">
      <c r="B47" t="s">
        <v>473</v>
      </c>
      <c r="C47">
        <v>224</v>
      </c>
      <c r="D47">
        <v>1014</v>
      </c>
      <c r="E47">
        <v>5</v>
      </c>
      <c r="F47">
        <v>40</v>
      </c>
      <c r="G47">
        <v>370</v>
      </c>
      <c r="H47">
        <v>2</v>
      </c>
      <c r="I47">
        <v>2</v>
      </c>
      <c r="J47">
        <v>188.2</v>
      </c>
      <c r="K47" s="64">
        <f t="shared" si="0"/>
        <v>56.333333333333329</v>
      </c>
      <c r="L47" s="64">
        <f t="shared" si="1"/>
        <v>17.499371069182391</v>
      </c>
      <c r="M47" s="66"/>
      <c r="N47" s="66"/>
      <c r="O47" s="66"/>
      <c r="X47" s="20">
        <f t="shared" si="2"/>
        <v>1384</v>
      </c>
      <c r="Y47" s="20">
        <f t="shared" si="3"/>
        <v>7</v>
      </c>
      <c r="Z47" s="20">
        <f t="shared" si="4"/>
        <v>197.71428571428572</v>
      </c>
    </row>
    <row r="48" spans="1:26" ht="14.25" customHeight="1" x14ac:dyDescent="0.3">
      <c r="A48" t="s">
        <v>597</v>
      </c>
      <c r="B48" t="s">
        <v>501</v>
      </c>
      <c r="C48">
        <v>235.5</v>
      </c>
      <c r="D48">
        <v>1095.7</v>
      </c>
      <c r="E48">
        <v>9.6999999999999993</v>
      </c>
      <c r="F48">
        <v>33.5</v>
      </c>
      <c r="G48">
        <v>237</v>
      </c>
      <c r="H48">
        <v>2.2000000000000002</v>
      </c>
      <c r="I48">
        <v>1.5</v>
      </c>
      <c r="J48">
        <v>218.6</v>
      </c>
      <c r="K48" s="64">
        <f t="shared" si="0"/>
        <v>60.87222222222222</v>
      </c>
      <c r="L48" s="64">
        <f t="shared" si="1"/>
        <v>11.209056603773584</v>
      </c>
      <c r="M48" s="66">
        <f>C50*Scoring!$B$32+D50/Scoring!$C$32+E50*Scoring!$D$32+F50*Scoring!$E$32+G50/Scoring!$F$32+H50*Scoring!$G$32+I50*Scoring!$H$32+K50*Scoring!$I$32+RB!L50*Scoring!$J$32+U48</f>
        <v>203.01</v>
      </c>
      <c r="N48" s="66">
        <f>C48*Scoring!$B$32+D48/Scoring!$C$32+E48*Scoring!$D$32+F48*Scoring!$E$32+G48/Scoring!$F$32+H48*Scoring!$G$32+I48*Scoring!$H$32+K48*Scoring!$I$32+RB!L48*Scoring!$J$32+U48</f>
        <v>218.42</v>
      </c>
      <c r="O48" s="66">
        <f>C49*Scoring!$B$32+D49/Scoring!$C$32+E49*Scoring!$D$32+F49*Scoring!$E$32+G49/Scoring!$F$32+H49*Scoring!$G$32+I49*Scoring!$H$32+K49*Scoring!$I$32+L49*Scoring!$J$32+U48</f>
        <v>235.6</v>
      </c>
      <c r="P48" s="20">
        <f>IF(COUNTIF(Rookies!$A:$A,A48)&gt;0,1,0)</f>
        <v>0</v>
      </c>
      <c r="S48" s="20">
        <f>V48/17</f>
        <v>12.848235294117647</v>
      </c>
      <c r="T48" s="20">
        <f>IF(P48=1,MAX(0,0.258*(14.9-S48)),0)</f>
        <v>0</v>
      </c>
      <c r="U48" s="20">
        <f>T48*17</f>
        <v>0</v>
      </c>
      <c r="V48" s="20">
        <f>C48*Scoring!$B$32+D48/Scoring!$C$32+E48*Scoring!$D$32+F48*Scoring!$E$32+G48/Scoring!$F$32+H48*Scoring!$G$32+I48*Scoring!$H$32+K48*Scoring!$I$32+RB!L48*Scoring!$J$32</f>
        <v>218.42</v>
      </c>
      <c r="X48" s="20">
        <f t="shared" si="2"/>
        <v>1332.7</v>
      </c>
      <c r="Y48" s="20">
        <f t="shared" si="3"/>
        <v>11.899999999999999</v>
      </c>
      <c r="Z48" s="20">
        <f t="shared" si="4"/>
        <v>111.99159663865548</v>
      </c>
    </row>
    <row r="49" spans="1:26" ht="14.25" customHeight="1" x14ac:dyDescent="0.3">
      <c r="B49" t="s">
        <v>472</v>
      </c>
      <c r="C49">
        <v>249</v>
      </c>
      <c r="D49">
        <v>1171</v>
      </c>
      <c r="E49">
        <v>10.199999999999999</v>
      </c>
      <c r="F49">
        <v>34</v>
      </c>
      <c r="G49">
        <v>245</v>
      </c>
      <c r="H49">
        <v>3</v>
      </c>
      <c r="I49">
        <v>1.1000000000000001</v>
      </c>
      <c r="J49">
        <v>247.3</v>
      </c>
      <c r="K49" s="64">
        <f t="shared" si="0"/>
        <v>65.055555555555557</v>
      </c>
      <c r="L49" s="64">
        <f t="shared" si="1"/>
        <v>11.587421383647799</v>
      </c>
      <c r="M49" s="66"/>
      <c r="N49" s="66"/>
      <c r="O49" s="66"/>
      <c r="X49" s="20">
        <f t="shared" si="2"/>
        <v>1416</v>
      </c>
      <c r="Y49" s="20">
        <f t="shared" si="3"/>
        <v>13.2</v>
      </c>
      <c r="Z49" s="20">
        <f t="shared" si="4"/>
        <v>107.27272727272728</v>
      </c>
    </row>
    <row r="50" spans="1:26" ht="14.25" customHeight="1" x14ac:dyDescent="0.3">
      <c r="B50" t="s">
        <v>473</v>
      </c>
      <c r="C50">
        <v>221</v>
      </c>
      <c r="D50">
        <v>1046</v>
      </c>
      <c r="E50">
        <v>9</v>
      </c>
      <c r="F50">
        <v>33</v>
      </c>
      <c r="G50">
        <v>223.1</v>
      </c>
      <c r="H50">
        <v>1.6</v>
      </c>
      <c r="I50">
        <v>2</v>
      </c>
      <c r="J50">
        <v>197.7</v>
      </c>
      <c r="K50" s="64">
        <f t="shared" si="0"/>
        <v>58.111111111111114</v>
      </c>
      <c r="L50" s="64">
        <f t="shared" si="1"/>
        <v>10.551647798742138</v>
      </c>
      <c r="M50" s="66"/>
      <c r="N50" s="66"/>
      <c r="O50" s="66"/>
      <c r="X50" s="20">
        <f t="shared" si="2"/>
        <v>1269.0999999999999</v>
      </c>
      <c r="Y50" s="20">
        <f t="shared" si="3"/>
        <v>10.6</v>
      </c>
      <c r="Z50" s="20">
        <f t="shared" si="4"/>
        <v>119.72641509433961</v>
      </c>
    </row>
    <row r="51" spans="1:26" ht="14.25" customHeight="1" x14ac:dyDescent="0.3">
      <c r="A51" t="s">
        <v>602</v>
      </c>
      <c r="B51" t="s">
        <v>505</v>
      </c>
      <c r="C51">
        <v>253.5</v>
      </c>
      <c r="D51">
        <v>1069.9000000000001</v>
      </c>
      <c r="E51">
        <v>5.4</v>
      </c>
      <c r="F51">
        <v>45.4</v>
      </c>
      <c r="G51">
        <v>358.3</v>
      </c>
      <c r="H51">
        <v>3</v>
      </c>
      <c r="I51">
        <v>1</v>
      </c>
      <c r="J51">
        <v>214.1</v>
      </c>
      <c r="K51" s="64">
        <f t="shared" si="0"/>
        <v>59.43888888888889</v>
      </c>
      <c r="L51" s="64">
        <f t="shared" si="1"/>
        <v>16.946012578616351</v>
      </c>
      <c r="M51" s="66">
        <f>C53*Scoring!$B$32+D53/Scoring!$C$32+E53*Scoring!$D$32+F53*Scoring!$E$32+G53/Scoring!$F$32+H53*Scoring!$G$32+I53*Scoring!$H$32+K53*Scoring!$I$32+RB!L53*Scoring!$J$32+U51</f>
        <v>193.39999999999998</v>
      </c>
      <c r="N51" s="66">
        <f>C51*Scoring!$B$32+D51/Scoring!$C$32+E51*Scoring!$D$32+F51*Scoring!$E$32+G51/Scoring!$F$32+H51*Scoring!$G$32+I51*Scoring!$H$32+K51*Scoring!$I$32+RB!L51*Scoring!$J$32+U51</f>
        <v>213.92000000000002</v>
      </c>
      <c r="O51" s="66">
        <f>C52*Scoring!$B$32+D52/Scoring!$C$32+E52*Scoring!$D$32+F52*Scoring!$E$32+G52/Scoring!$F$32+H52*Scoring!$G$32+I52*Scoring!$H$32+K52*Scoring!$I$32+L52*Scoring!$J$32+U51</f>
        <v>241.66</v>
      </c>
      <c r="P51" s="20">
        <f>IF(COUNTIF(Rookies!$A:$A,A51)&gt;0,1,0)</f>
        <v>0</v>
      </c>
      <c r="S51" s="20">
        <f>V51/17</f>
        <v>12.583529411764706</v>
      </c>
      <c r="T51" s="20">
        <f>IF(P51=1,MAX(0,0.258*(14.9-S51)),0)</f>
        <v>0</v>
      </c>
      <c r="U51" s="20">
        <f>T51*17</f>
        <v>0</v>
      </c>
      <c r="V51" s="20">
        <f>C51*Scoring!$B$32+D51/Scoring!$C$32+E51*Scoring!$D$32+F51*Scoring!$E$32+G51/Scoring!$F$32+H51*Scoring!$G$32+I51*Scoring!$H$32+K51*Scoring!$I$32+RB!L51*Scoring!$J$32</f>
        <v>213.92000000000002</v>
      </c>
      <c r="X51" s="20">
        <f t="shared" si="2"/>
        <v>1428.2</v>
      </c>
      <c r="Y51" s="20">
        <f t="shared" si="3"/>
        <v>8.4</v>
      </c>
      <c r="Z51" s="20">
        <f t="shared" si="4"/>
        <v>170.02380952380952</v>
      </c>
    </row>
    <row r="52" spans="1:26" ht="14.25" customHeight="1" x14ac:dyDescent="0.3">
      <c r="B52" t="s">
        <v>472</v>
      </c>
      <c r="C52">
        <v>262.60000000000002</v>
      </c>
      <c r="D52">
        <v>1140.8</v>
      </c>
      <c r="E52">
        <v>6.2</v>
      </c>
      <c r="F52">
        <v>47</v>
      </c>
      <c r="G52">
        <v>388.8</v>
      </c>
      <c r="H52">
        <v>5</v>
      </c>
      <c r="I52">
        <v>1</v>
      </c>
      <c r="J52">
        <v>227.6</v>
      </c>
      <c r="K52" s="64">
        <f t="shared" si="0"/>
        <v>63.377777777777773</v>
      </c>
      <c r="L52" s="64">
        <f t="shared" si="1"/>
        <v>18.38852830188679</v>
      </c>
      <c r="M52" s="66"/>
      <c r="N52" s="66"/>
      <c r="O52" s="66"/>
      <c r="X52" s="20">
        <f t="shared" si="2"/>
        <v>1529.6</v>
      </c>
      <c r="Y52" s="20">
        <f t="shared" si="3"/>
        <v>11.2</v>
      </c>
      <c r="Z52" s="20">
        <f t="shared" si="4"/>
        <v>136.57142857142858</v>
      </c>
    </row>
    <row r="53" spans="1:26" ht="14.25" customHeight="1" x14ac:dyDescent="0.3">
      <c r="B53" t="s">
        <v>473</v>
      </c>
      <c r="C53">
        <v>246</v>
      </c>
      <c r="D53">
        <v>987</v>
      </c>
      <c r="E53">
        <v>5</v>
      </c>
      <c r="F53">
        <v>44</v>
      </c>
      <c r="G53">
        <v>327</v>
      </c>
      <c r="H53">
        <v>2</v>
      </c>
      <c r="I53">
        <v>1</v>
      </c>
      <c r="J53">
        <v>199.7</v>
      </c>
      <c r="K53" s="64">
        <f t="shared" si="0"/>
        <v>54.833333333333321</v>
      </c>
      <c r="L53" s="64">
        <f t="shared" si="1"/>
        <v>15.465660377358491</v>
      </c>
      <c r="M53" s="66"/>
      <c r="N53" s="66"/>
      <c r="O53" s="66"/>
      <c r="X53" s="20">
        <f t="shared" si="2"/>
        <v>1314</v>
      </c>
      <c r="Y53" s="20">
        <f t="shared" si="3"/>
        <v>7</v>
      </c>
      <c r="Z53" s="20">
        <f t="shared" si="4"/>
        <v>187.71428571428572</v>
      </c>
    </row>
    <row r="54" spans="1:26" ht="14.25" customHeight="1" x14ac:dyDescent="0.3">
      <c r="A54" t="s">
        <v>601</v>
      </c>
      <c r="B54" t="s">
        <v>485</v>
      </c>
      <c r="C54">
        <v>237.4</v>
      </c>
      <c r="D54">
        <v>989</v>
      </c>
      <c r="E54">
        <v>7.9</v>
      </c>
      <c r="F54">
        <v>43.9</v>
      </c>
      <c r="G54">
        <v>342.9</v>
      </c>
      <c r="H54">
        <v>2.2000000000000002</v>
      </c>
      <c r="I54">
        <v>1.6</v>
      </c>
      <c r="J54">
        <v>212.6</v>
      </c>
      <c r="K54" s="64">
        <f t="shared" si="0"/>
        <v>54.944444444444436</v>
      </c>
      <c r="L54" s="64">
        <f t="shared" si="1"/>
        <v>16.217660377358488</v>
      </c>
      <c r="M54" s="66">
        <f>C56*Scoring!$B$32+D56/Scoring!$C$32+E56*Scoring!$D$32+F56*Scoring!$E$32+G56/Scoring!$F$32+H56*Scoring!$G$32+I56*Scoring!$H$32+K56*Scoring!$I$32+RB!L56*Scoring!$J$32+U54</f>
        <v>188.16</v>
      </c>
      <c r="N54" s="66">
        <f>C54*Scoring!$B$32+D54/Scoring!$C$32+E54*Scoring!$D$32+F54*Scoring!$E$32+G54/Scoring!$F$32+H54*Scoring!$G$32+I54*Scoring!$H$32+K54*Scoring!$I$32+RB!L54*Scoring!$J$32+U54</f>
        <v>212.54</v>
      </c>
      <c r="O54" s="66">
        <f>C55*Scoring!$B$32+D55/Scoring!$C$32+E55*Scoring!$D$32+F55*Scoring!$E$32+G55/Scoring!$F$32+H55*Scoring!$G$32+I55*Scoring!$H$32+K55*Scoring!$I$32+L55*Scoring!$J$32+U54</f>
        <v>238.00000000000003</v>
      </c>
      <c r="P54" s="20">
        <f>IF(COUNTIF(Rookies!$A:$A,A54)&gt;0,1,0)</f>
        <v>0</v>
      </c>
      <c r="S54" s="20">
        <f>V54/17</f>
        <v>12.50235294117647</v>
      </c>
      <c r="T54" s="20">
        <f>IF(P54=1,MAX(0,0.258*(14.9-S54)),0)</f>
        <v>0</v>
      </c>
      <c r="U54" s="20">
        <f>T54*17</f>
        <v>0</v>
      </c>
      <c r="V54" s="20">
        <f>C54*Scoring!$B$32+D54/Scoring!$C$32+E54*Scoring!$D$32+F54*Scoring!$E$32+G54/Scoring!$F$32+H54*Scoring!$G$32+I54*Scoring!$H$32+K54*Scoring!$I$32+RB!L54*Scoring!$J$32</f>
        <v>212.54</v>
      </c>
      <c r="X54" s="20">
        <f t="shared" si="2"/>
        <v>1331.9</v>
      </c>
      <c r="Y54" s="20">
        <f t="shared" si="3"/>
        <v>10.100000000000001</v>
      </c>
      <c r="Z54" s="20">
        <f t="shared" si="4"/>
        <v>131.87128712871285</v>
      </c>
    </row>
    <row r="55" spans="1:26" ht="14.25" customHeight="1" x14ac:dyDescent="0.3">
      <c r="B55" t="s">
        <v>472</v>
      </c>
      <c r="C55">
        <v>262</v>
      </c>
      <c r="D55">
        <v>1048</v>
      </c>
      <c r="E55">
        <v>9</v>
      </c>
      <c r="F55">
        <v>44.6</v>
      </c>
      <c r="G55">
        <v>351</v>
      </c>
      <c r="H55">
        <v>4</v>
      </c>
      <c r="I55">
        <v>1.1000000000000001</v>
      </c>
      <c r="J55">
        <v>237.3</v>
      </c>
      <c r="K55" s="64">
        <f t="shared" si="0"/>
        <v>58.222222222222221</v>
      </c>
      <c r="L55" s="64">
        <f t="shared" si="1"/>
        <v>16.600754716981129</v>
      </c>
      <c r="M55" s="66"/>
      <c r="N55" s="66"/>
      <c r="O55" s="66"/>
      <c r="X55" s="20">
        <f t="shared" si="2"/>
        <v>1399</v>
      </c>
      <c r="Y55" s="20">
        <f t="shared" si="3"/>
        <v>13</v>
      </c>
      <c r="Z55" s="20">
        <f t="shared" si="4"/>
        <v>107.61538461538461</v>
      </c>
    </row>
    <row r="56" spans="1:26" ht="14.25" customHeight="1" x14ac:dyDescent="0.3">
      <c r="B56" t="s">
        <v>473</v>
      </c>
      <c r="C56">
        <v>209</v>
      </c>
      <c r="D56">
        <v>907</v>
      </c>
      <c r="E56">
        <v>6.8</v>
      </c>
      <c r="F56">
        <v>43</v>
      </c>
      <c r="G56">
        <v>331.6</v>
      </c>
      <c r="H56">
        <v>1</v>
      </c>
      <c r="I56">
        <v>2</v>
      </c>
      <c r="J56">
        <v>204.7</v>
      </c>
      <c r="K56" s="64">
        <f t="shared" si="0"/>
        <v>50.388888888888886</v>
      </c>
      <c r="L56" s="64">
        <f t="shared" si="1"/>
        <v>15.683220125786164</v>
      </c>
      <c r="M56" s="66"/>
      <c r="N56" s="66"/>
      <c r="O56" s="66"/>
      <c r="X56" s="20">
        <f t="shared" si="2"/>
        <v>1238.5999999999999</v>
      </c>
      <c r="Y56" s="20">
        <f t="shared" si="3"/>
        <v>7.8</v>
      </c>
      <c r="Z56" s="20">
        <f t="shared" si="4"/>
        <v>158.7948717948718</v>
      </c>
    </row>
    <row r="57" spans="1:26" ht="14.25" customHeight="1" x14ac:dyDescent="0.3">
      <c r="A57" t="s">
        <v>603</v>
      </c>
      <c r="B57" t="s">
        <v>495</v>
      </c>
      <c r="C57">
        <v>232.5</v>
      </c>
      <c r="D57">
        <v>1050.0999999999999</v>
      </c>
      <c r="E57">
        <v>8</v>
      </c>
      <c r="F57">
        <v>35.200000000000003</v>
      </c>
      <c r="G57">
        <v>303.8</v>
      </c>
      <c r="H57">
        <v>1</v>
      </c>
      <c r="I57">
        <v>1</v>
      </c>
      <c r="J57">
        <v>205.5</v>
      </c>
      <c r="K57" s="64">
        <f t="shared" si="0"/>
        <v>58.338888888888889</v>
      </c>
      <c r="L57" s="64">
        <f t="shared" si="1"/>
        <v>14.36840251572327</v>
      </c>
      <c r="M57" s="66">
        <f>C59*Scoring!$B$32+D59/Scoring!$C$32+E59*Scoring!$D$32+F59*Scoring!$E$32+G59/Scoring!$F$32+H59*Scoring!$G$32+I59*Scoring!$H$32+K59*Scoring!$I$32+RB!L59*Scoring!$J$32+U57</f>
        <v>186.42</v>
      </c>
      <c r="N57" s="66">
        <f>C57*Scoring!$B$32+D57/Scoring!$C$32+E57*Scoring!$D$32+F57*Scoring!$E$32+G57/Scoring!$F$32+H57*Scoring!$G$32+I57*Scoring!$H$32+K57*Scoring!$I$32+RB!L57*Scoring!$J$32+U57</f>
        <v>204.98999999999998</v>
      </c>
      <c r="O57" s="66">
        <f>C58*Scoring!$B$32+D58/Scoring!$C$32+E58*Scoring!$D$32+F58*Scoring!$E$32+G58/Scoring!$F$32+H58*Scoring!$G$32+I58*Scoring!$H$32+K58*Scoring!$I$32+L58*Scoring!$J$32+U57</f>
        <v>222.7</v>
      </c>
      <c r="P57" s="20">
        <f>IF(COUNTIF(Rookies!$A:$A,A57)&gt;0,1,0)</f>
        <v>0</v>
      </c>
      <c r="S57" s="20">
        <f>V57/17</f>
        <v>12.058235294117646</v>
      </c>
      <c r="T57" s="20">
        <f>IF(P57=1,MAX(0,0.258*(14.9-S57)),0)</f>
        <v>0</v>
      </c>
      <c r="U57" s="20">
        <f>T57*17</f>
        <v>0</v>
      </c>
      <c r="V57" s="20">
        <f>C57*Scoring!$B$32+D57/Scoring!$C$32+E57*Scoring!$D$32+F57*Scoring!$E$32+G57/Scoring!$F$32+H57*Scoring!$G$32+I57*Scoring!$H$32+K57*Scoring!$I$32+RB!L57*Scoring!$J$32</f>
        <v>204.98999999999998</v>
      </c>
      <c r="X57" s="20">
        <f t="shared" si="2"/>
        <v>1353.8999999999999</v>
      </c>
      <c r="Y57" s="20">
        <f t="shared" si="3"/>
        <v>9</v>
      </c>
      <c r="Z57" s="20">
        <f t="shared" si="4"/>
        <v>150.43333333333331</v>
      </c>
    </row>
    <row r="58" spans="1:26" ht="14.25" customHeight="1" x14ac:dyDescent="0.3">
      <c r="B58" t="s">
        <v>472</v>
      </c>
      <c r="C58">
        <v>248</v>
      </c>
      <c r="D58">
        <v>1121</v>
      </c>
      <c r="E58">
        <v>9</v>
      </c>
      <c r="F58">
        <v>39</v>
      </c>
      <c r="G58">
        <v>325</v>
      </c>
      <c r="H58">
        <v>1.1000000000000001</v>
      </c>
      <c r="I58">
        <v>1</v>
      </c>
      <c r="J58">
        <v>221.6</v>
      </c>
      <c r="K58" s="64">
        <f t="shared" si="0"/>
        <v>62.277777777777786</v>
      </c>
      <c r="L58" s="64">
        <f t="shared" si="1"/>
        <v>15.371069182389938</v>
      </c>
      <c r="M58" s="66"/>
      <c r="N58" s="66"/>
      <c r="O58" s="66"/>
      <c r="X58" s="20">
        <f t="shared" si="2"/>
        <v>1446</v>
      </c>
      <c r="Y58" s="20">
        <f t="shared" si="3"/>
        <v>10.1</v>
      </c>
      <c r="Z58" s="20">
        <f t="shared" si="4"/>
        <v>143.16831683168317</v>
      </c>
    </row>
    <row r="59" spans="1:26" ht="14.25" customHeight="1" x14ac:dyDescent="0.3">
      <c r="B59" t="s">
        <v>473</v>
      </c>
      <c r="C59">
        <v>216.4</v>
      </c>
      <c r="D59">
        <v>980.4</v>
      </c>
      <c r="E59">
        <v>7</v>
      </c>
      <c r="F59">
        <v>30.7</v>
      </c>
      <c r="G59">
        <v>270.3</v>
      </c>
      <c r="H59">
        <v>1</v>
      </c>
      <c r="I59">
        <v>1</v>
      </c>
      <c r="J59">
        <v>197.4</v>
      </c>
      <c r="K59" s="64">
        <f t="shared" si="0"/>
        <v>54.466666666666661</v>
      </c>
      <c r="L59" s="64">
        <f t="shared" si="1"/>
        <v>12.784000000000001</v>
      </c>
      <c r="M59" s="66"/>
      <c r="N59" s="66"/>
      <c r="O59" s="66"/>
      <c r="X59" s="20">
        <f t="shared" si="2"/>
        <v>1250.7</v>
      </c>
      <c r="Y59" s="20">
        <f t="shared" si="3"/>
        <v>8</v>
      </c>
      <c r="Z59" s="20">
        <f t="shared" si="4"/>
        <v>156.33750000000001</v>
      </c>
    </row>
    <row r="60" spans="1:26" ht="14.25" customHeight="1" x14ac:dyDescent="0.3">
      <c r="A60" t="s">
        <v>605</v>
      </c>
      <c r="B60" t="s">
        <v>535</v>
      </c>
      <c r="C60">
        <v>289.8</v>
      </c>
      <c r="D60">
        <v>1105.7</v>
      </c>
      <c r="E60">
        <v>8.1</v>
      </c>
      <c r="F60">
        <v>33</v>
      </c>
      <c r="G60">
        <v>223.5</v>
      </c>
      <c r="H60">
        <v>0.6</v>
      </c>
      <c r="I60">
        <v>0.9</v>
      </c>
      <c r="J60">
        <v>199.8</v>
      </c>
      <c r="K60" s="64">
        <f t="shared" si="0"/>
        <v>61.427777777777777</v>
      </c>
      <c r="L60" s="64">
        <f t="shared" si="1"/>
        <v>10.570566037735849</v>
      </c>
      <c r="M60" s="66">
        <f>C62*Scoring!$B$32+D62/Scoring!$C$32+E62*Scoring!$D$32+F62*Scoring!$E$32+G62/Scoring!$F$32+H62*Scoring!$G$32+I62*Scoring!$H$32+K62*Scoring!$I$32+RB!L62*Scoring!$J$32+U60</f>
        <v>172.8</v>
      </c>
      <c r="N60" s="66">
        <f>C60*Scoring!$B$32+D60/Scoring!$C$32+E60*Scoring!$D$32+F60*Scoring!$E$32+G60/Scoring!$F$32+H60*Scoring!$G$32+I60*Scoring!$H$32+K60*Scoring!$I$32+RB!L60*Scoring!$J$32+U60</f>
        <v>199.82</v>
      </c>
      <c r="O60" s="66">
        <f>C61*Scoring!$B$32+D61/Scoring!$C$32+E61*Scoring!$D$32+F61*Scoring!$E$32+G61/Scoring!$F$32+H61*Scoring!$G$32+I61*Scoring!$H$32+K61*Scoring!$I$32+L61*Scoring!$J$32+U60</f>
        <v>232.02</v>
      </c>
      <c r="P60" s="20">
        <f>IF(COUNTIF(Rookies!$A:$A,A60)&gt;0,1,0)</f>
        <v>0</v>
      </c>
      <c r="S60" s="20">
        <f>V60/17</f>
        <v>11.754117647058823</v>
      </c>
      <c r="T60" s="20">
        <f>IF(P60=1,MAX(0,0.258*(14.9-S60)),0)</f>
        <v>0</v>
      </c>
      <c r="U60" s="20">
        <f>T60*17</f>
        <v>0</v>
      </c>
      <c r="V60" s="20">
        <f>C60*Scoring!$B$32+D60/Scoring!$C$32+E60*Scoring!$D$32+F60*Scoring!$E$32+G60/Scoring!$F$32+H60*Scoring!$G$32+I60*Scoring!$H$32+K60*Scoring!$I$32+RB!L60*Scoring!$J$32</f>
        <v>199.82</v>
      </c>
      <c r="X60" s="20">
        <f t="shared" si="2"/>
        <v>1329.2</v>
      </c>
      <c r="Y60" s="20">
        <f t="shared" si="3"/>
        <v>8.6999999999999993</v>
      </c>
      <c r="Z60" s="20">
        <f t="shared" si="4"/>
        <v>152.78160919540232</v>
      </c>
    </row>
    <row r="61" spans="1:26" ht="14.25" customHeight="1" x14ac:dyDescent="0.3">
      <c r="B61" t="s">
        <v>472</v>
      </c>
      <c r="C61">
        <v>317.5</v>
      </c>
      <c r="D61">
        <v>1246.2</v>
      </c>
      <c r="E61">
        <v>10</v>
      </c>
      <c r="F61">
        <v>37</v>
      </c>
      <c r="G61">
        <v>243</v>
      </c>
      <c r="H61">
        <v>1</v>
      </c>
      <c r="I61">
        <v>0.7</v>
      </c>
      <c r="J61">
        <v>211.1</v>
      </c>
      <c r="K61" s="64">
        <f t="shared" si="0"/>
        <v>69.233333333333348</v>
      </c>
      <c r="L61" s="64">
        <f t="shared" si="1"/>
        <v>11.492830188679244</v>
      </c>
      <c r="M61" s="66"/>
      <c r="N61" s="66"/>
      <c r="O61" s="66"/>
      <c r="X61" s="20">
        <f t="shared" si="2"/>
        <v>1489.2</v>
      </c>
      <c r="Y61" s="20">
        <f t="shared" si="3"/>
        <v>11</v>
      </c>
      <c r="Z61" s="20">
        <f t="shared" si="4"/>
        <v>135.38181818181818</v>
      </c>
    </row>
    <row r="62" spans="1:26" ht="14.25" customHeight="1" x14ac:dyDescent="0.3">
      <c r="B62" t="s">
        <v>473</v>
      </c>
      <c r="C62">
        <v>275</v>
      </c>
      <c r="D62">
        <v>973</v>
      </c>
      <c r="E62">
        <v>7</v>
      </c>
      <c r="F62">
        <v>30</v>
      </c>
      <c r="G62">
        <v>205</v>
      </c>
      <c r="H62">
        <v>0</v>
      </c>
      <c r="I62">
        <v>1</v>
      </c>
      <c r="J62">
        <v>179.5</v>
      </c>
      <c r="K62" s="64">
        <f t="shared" si="0"/>
        <v>54.05555555555555</v>
      </c>
      <c r="L62" s="64">
        <f t="shared" si="1"/>
        <v>9.6955974842767283</v>
      </c>
      <c r="M62" s="66"/>
      <c r="N62" s="66"/>
      <c r="O62" s="66"/>
      <c r="X62" s="20">
        <f t="shared" si="2"/>
        <v>1178</v>
      </c>
      <c r="Y62" s="20">
        <f t="shared" si="3"/>
        <v>7</v>
      </c>
      <c r="Z62" s="20">
        <f t="shared" si="4"/>
        <v>168.28571428571428</v>
      </c>
    </row>
    <row r="63" spans="1:26" ht="14.25" customHeight="1" x14ac:dyDescent="0.3">
      <c r="A63" t="s">
        <v>604</v>
      </c>
      <c r="B63" t="s">
        <v>507</v>
      </c>
      <c r="C63">
        <v>252.7</v>
      </c>
      <c r="D63">
        <v>1004.7</v>
      </c>
      <c r="E63">
        <v>5.8</v>
      </c>
      <c r="F63">
        <v>39.6</v>
      </c>
      <c r="G63">
        <v>333</v>
      </c>
      <c r="H63">
        <v>2.2000000000000002</v>
      </c>
      <c r="I63">
        <v>1</v>
      </c>
      <c r="J63">
        <v>199.7</v>
      </c>
      <c r="K63" s="64">
        <f t="shared" si="0"/>
        <v>55.81666666666667</v>
      </c>
      <c r="L63" s="64">
        <f t="shared" si="1"/>
        <v>15.749433962264149</v>
      </c>
      <c r="M63" s="66">
        <f>C65*Scoring!$B$32+D65/Scoring!$C$32+E65*Scoring!$D$32+F65*Scoring!$E$32+G65/Scoring!$F$32+H65*Scoring!$G$32+I65*Scoring!$H$32+K65*Scoring!$I$32+RB!L65*Scoring!$J$32+U63</f>
        <v>186.93</v>
      </c>
      <c r="N63" s="66">
        <f>C63*Scoring!$B$32+D63/Scoring!$C$32+E63*Scoring!$D$32+F63*Scoring!$E$32+G63/Scoring!$F$32+H63*Scoring!$G$32+I63*Scoring!$H$32+K63*Scoring!$I$32+RB!L63*Scoring!$J$32+U63</f>
        <v>199.57</v>
      </c>
      <c r="O63" s="66">
        <f>C64*Scoring!$B$32+D64/Scoring!$C$32+E64*Scoring!$D$32+F64*Scoring!$E$32+G64/Scoring!$F$32+H64*Scoring!$G$32+I64*Scoring!$H$32+K64*Scoring!$I$32+L64*Scoring!$J$32+U63</f>
        <v>216.8</v>
      </c>
      <c r="P63" s="20">
        <f>IF(COUNTIF(Rookies!$A:$A,A63)&gt;0,1,0)</f>
        <v>0</v>
      </c>
      <c r="S63" s="20">
        <f>V63/17</f>
        <v>11.739411764705881</v>
      </c>
      <c r="T63" s="20">
        <f>IF(P63=1,MAX(0,0.258*(14.9-S63)),0)</f>
        <v>0</v>
      </c>
      <c r="U63" s="20">
        <f>T63*17</f>
        <v>0</v>
      </c>
      <c r="V63" s="20">
        <f>C63*Scoring!$B$32+D63/Scoring!$C$32+E63*Scoring!$D$32+F63*Scoring!$E$32+G63/Scoring!$F$32+H63*Scoring!$G$32+I63*Scoring!$H$32+K63*Scoring!$I$32+RB!L63*Scoring!$J$32</f>
        <v>199.57</v>
      </c>
      <c r="X63" s="20">
        <f t="shared" si="2"/>
        <v>1337.7</v>
      </c>
      <c r="Y63" s="20">
        <f t="shared" si="3"/>
        <v>8</v>
      </c>
      <c r="Z63" s="20">
        <f t="shared" si="4"/>
        <v>167.21250000000001</v>
      </c>
    </row>
    <row r="64" spans="1:26" ht="14.25" customHeight="1" x14ac:dyDescent="0.3">
      <c r="B64" t="s">
        <v>472</v>
      </c>
      <c r="C64">
        <v>265</v>
      </c>
      <c r="D64">
        <v>1028</v>
      </c>
      <c r="E64">
        <v>6</v>
      </c>
      <c r="F64">
        <v>44</v>
      </c>
      <c r="G64">
        <v>400</v>
      </c>
      <c r="H64">
        <v>3</v>
      </c>
      <c r="I64">
        <v>1</v>
      </c>
      <c r="J64">
        <v>216.8</v>
      </c>
      <c r="K64" s="64">
        <f t="shared" si="0"/>
        <v>57.111111111111107</v>
      </c>
      <c r="L64" s="64">
        <f t="shared" si="1"/>
        <v>18.918238993710695</v>
      </c>
      <c r="M64" s="66"/>
      <c r="N64" s="66"/>
      <c r="O64" s="66"/>
      <c r="X64" s="20">
        <f t="shared" si="2"/>
        <v>1428</v>
      </c>
      <c r="Y64" s="20">
        <f t="shared" si="3"/>
        <v>9</v>
      </c>
      <c r="Z64" s="20">
        <f t="shared" si="4"/>
        <v>158.66666666666666</v>
      </c>
    </row>
    <row r="65" spans="1:26" ht="14.25" customHeight="1" x14ac:dyDescent="0.3">
      <c r="B65" t="s">
        <v>473</v>
      </c>
      <c r="C65">
        <v>244.2</v>
      </c>
      <c r="D65">
        <v>991.2</v>
      </c>
      <c r="E65">
        <v>5.3</v>
      </c>
      <c r="F65">
        <v>36.799999999999997</v>
      </c>
      <c r="G65">
        <v>294.10000000000002</v>
      </c>
      <c r="H65">
        <v>1.7</v>
      </c>
      <c r="I65">
        <v>1</v>
      </c>
      <c r="J65">
        <v>190.1</v>
      </c>
      <c r="K65" s="64">
        <f t="shared" si="0"/>
        <v>55.06666666666667</v>
      </c>
      <c r="L65" s="64">
        <f t="shared" si="1"/>
        <v>13.909635220125786</v>
      </c>
      <c r="M65" s="66"/>
      <c r="N65" s="66"/>
      <c r="O65" s="66"/>
      <c r="X65" s="20">
        <f t="shared" si="2"/>
        <v>1285.3000000000002</v>
      </c>
      <c r="Y65" s="20">
        <f t="shared" si="3"/>
        <v>7</v>
      </c>
      <c r="Z65" s="20">
        <f t="shared" si="4"/>
        <v>183.61428571428573</v>
      </c>
    </row>
    <row r="66" spans="1:26" ht="14.25" customHeight="1" x14ac:dyDescent="0.3">
      <c r="A66" t="s">
        <v>606</v>
      </c>
      <c r="B66" t="s">
        <v>489</v>
      </c>
      <c r="C66">
        <v>239.4</v>
      </c>
      <c r="D66">
        <v>980.2</v>
      </c>
      <c r="E66">
        <v>8.6</v>
      </c>
      <c r="F66">
        <v>29.3</v>
      </c>
      <c r="G66">
        <v>222.8</v>
      </c>
      <c r="H66">
        <v>2.1</v>
      </c>
      <c r="I66">
        <v>2.2000000000000002</v>
      </c>
      <c r="J66">
        <v>194.9</v>
      </c>
      <c r="K66" s="64">
        <f t="shared" si="0"/>
        <v>54.455555555555563</v>
      </c>
      <c r="L66" s="64">
        <f t="shared" si="1"/>
        <v>10.537459119496855</v>
      </c>
      <c r="M66" s="66">
        <f>C68*Scoring!$B$32+D68/Scoring!$C$32+E68*Scoring!$D$32+F68*Scoring!$E$32+G68/Scoring!$F$32+H68*Scoring!$G$32+I68*Scoring!$H$32+K68*Scoring!$I$32+RB!L68*Scoring!$J$32+U66</f>
        <v>152.50000000000003</v>
      </c>
      <c r="N66" s="66">
        <f>C66*Scoring!$B$32+D66/Scoring!$C$32+E66*Scoring!$D$32+F66*Scoring!$E$32+G66/Scoring!$F$32+H66*Scoring!$G$32+I66*Scoring!$H$32+K66*Scoring!$I$32+RB!L66*Scoring!$J$32+U66</f>
        <v>194.75</v>
      </c>
      <c r="O66" s="66">
        <f>C67*Scoring!$B$32+D67/Scoring!$C$32+E67*Scoring!$D$32+F67*Scoring!$E$32+G67/Scoring!$F$32+H67*Scoring!$G$32+I67*Scoring!$H$32+K67*Scoring!$I$32+L67*Scoring!$J$32+U66</f>
        <v>240.5</v>
      </c>
      <c r="P66" s="20">
        <f>IF(COUNTIF(Rookies!$A:$A,A66)&gt;0,1,0)</f>
        <v>0</v>
      </c>
      <c r="S66" s="20">
        <f>V66/17</f>
        <v>11.455882352941176</v>
      </c>
      <c r="T66" s="20">
        <f>IF(P66=1,MAX(0,0.258*(14.9-S66)),0)</f>
        <v>0</v>
      </c>
      <c r="U66" s="20">
        <f>T66*17</f>
        <v>0</v>
      </c>
      <c r="V66" s="20">
        <f>C66*Scoring!$B$32+D66/Scoring!$C$32+E66*Scoring!$D$32+F66*Scoring!$E$32+G66/Scoring!$F$32+H66*Scoring!$G$32+I66*Scoring!$H$32+K66*Scoring!$I$32+RB!L66*Scoring!$J$32</f>
        <v>194.75</v>
      </c>
      <c r="X66" s="20">
        <f t="shared" si="2"/>
        <v>1203</v>
      </c>
      <c r="Y66" s="20">
        <f t="shared" si="3"/>
        <v>10.7</v>
      </c>
      <c r="Z66" s="20">
        <f t="shared" si="4"/>
        <v>112.42990654205609</v>
      </c>
    </row>
    <row r="67" spans="1:26" ht="14.25" customHeight="1" x14ac:dyDescent="0.3">
      <c r="B67" t="s">
        <v>472</v>
      </c>
      <c r="C67">
        <v>257</v>
      </c>
      <c r="D67">
        <v>1055</v>
      </c>
      <c r="E67">
        <v>12</v>
      </c>
      <c r="F67">
        <v>38</v>
      </c>
      <c r="G67">
        <v>288</v>
      </c>
      <c r="H67">
        <v>3</v>
      </c>
      <c r="I67">
        <v>1.4</v>
      </c>
      <c r="J67">
        <v>222</v>
      </c>
      <c r="K67" s="64">
        <f t="shared" ref="K67:K130" si="5">IFERROR((D67/C67)/4.5*0.25*C67,0)</f>
        <v>58.6111111111111</v>
      </c>
      <c r="L67" s="64">
        <f t="shared" ref="L67:L130" si="6">IFERROR((G67/F67)/7.95*0.376*F67,0)</f>
        <v>13.621132075471698</v>
      </c>
      <c r="M67" s="66"/>
      <c r="N67" s="66"/>
      <c r="O67" s="66"/>
      <c r="X67" s="20">
        <f t="shared" si="2"/>
        <v>1343</v>
      </c>
      <c r="Y67" s="20">
        <f t="shared" si="3"/>
        <v>15</v>
      </c>
      <c r="Z67" s="20">
        <f t="shared" si="4"/>
        <v>89.533333333333331</v>
      </c>
    </row>
    <row r="68" spans="1:26" ht="14.25" customHeight="1" x14ac:dyDescent="0.3">
      <c r="B68" t="s">
        <v>473</v>
      </c>
      <c r="C68">
        <v>224</v>
      </c>
      <c r="D68">
        <v>891</v>
      </c>
      <c r="E68">
        <v>6.7</v>
      </c>
      <c r="F68">
        <v>16</v>
      </c>
      <c r="G68">
        <v>128</v>
      </c>
      <c r="H68">
        <v>1.4</v>
      </c>
      <c r="I68">
        <v>3</v>
      </c>
      <c r="J68">
        <v>184.7</v>
      </c>
      <c r="K68" s="64">
        <f t="shared" si="5"/>
        <v>49.500000000000007</v>
      </c>
      <c r="L68" s="64">
        <f t="shared" si="6"/>
        <v>6.0538364779874216</v>
      </c>
      <c r="M68" s="66"/>
      <c r="N68" s="66"/>
      <c r="O68" s="66"/>
      <c r="X68" s="20">
        <f t="shared" ref="X68:X131" si="7">D68+G68</f>
        <v>1019</v>
      </c>
      <c r="Y68" s="20">
        <f t="shared" ref="Y68:Y131" si="8">H68+E68</f>
        <v>8.1</v>
      </c>
      <c r="Z68" s="20">
        <f t="shared" ref="Z68:Z131" si="9">X68/Y68</f>
        <v>125.80246913580247</v>
      </c>
    </row>
    <row r="69" spans="1:26" ht="14.25" customHeight="1" x14ac:dyDescent="0.3">
      <c r="A69" t="s">
        <v>607</v>
      </c>
      <c r="B69" t="s">
        <v>519</v>
      </c>
      <c r="C69">
        <v>235.7</v>
      </c>
      <c r="D69">
        <v>978.2</v>
      </c>
      <c r="E69">
        <v>7.8</v>
      </c>
      <c r="F69">
        <v>30.9</v>
      </c>
      <c r="G69">
        <v>228.7</v>
      </c>
      <c r="H69">
        <v>0.5</v>
      </c>
      <c r="I69">
        <v>1.5</v>
      </c>
      <c r="J69">
        <v>182.9</v>
      </c>
      <c r="K69" s="64">
        <f t="shared" si="5"/>
        <v>54.344444444444456</v>
      </c>
      <c r="L69" s="64">
        <f t="shared" si="6"/>
        <v>10.816503144654087</v>
      </c>
      <c r="M69" s="66">
        <f>C71*Scoring!$B$32+D71/Scoring!$C$32+E71*Scoring!$D$32+F71*Scoring!$E$32+G71/Scoring!$F$32+H71*Scoring!$G$32+I71*Scoring!$H$32+K71*Scoring!$I$32+RB!L71*Scoring!$J$32+U69</f>
        <v>166.4</v>
      </c>
      <c r="N69" s="66">
        <f>C69*Scoring!$B$32+D69/Scoring!$C$32+E69*Scoring!$D$32+F69*Scoring!$E$32+G69/Scoring!$F$32+H69*Scoring!$G$32+I69*Scoring!$H$32+K69*Scoring!$I$32+RB!L69*Scoring!$J$32+U69</f>
        <v>182.94</v>
      </c>
      <c r="O69" s="66">
        <f>C70*Scoring!$B$32+D70/Scoring!$C$32+E70*Scoring!$D$32+F70*Scoring!$E$32+G70/Scoring!$F$32+H70*Scoring!$G$32+I70*Scoring!$H$32+K70*Scoring!$I$32+L70*Scoring!$J$32+U69</f>
        <v>200.60000000000002</v>
      </c>
      <c r="P69" s="20">
        <f>IF(COUNTIF(Rookies!$A:$A,A69)&gt;0,1,0)</f>
        <v>0</v>
      </c>
      <c r="S69" s="20">
        <f>V69/17</f>
        <v>10.761176470588236</v>
      </c>
      <c r="T69" s="20">
        <f>IF(P69=1,MAX(0,0.258*(14.9-S69)),0)</f>
        <v>0</v>
      </c>
      <c r="U69" s="20">
        <f>T69*17</f>
        <v>0</v>
      </c>
      <c r="V69" s="20">
        <f>C69*Scoring!$B$32+D69/Scoring!$C$32+E69*Scoring!$D$32+F69*Scoring!$E$32+G69/Scoring!$F$32+H69*Scoring!$G$32+I69*Scoring!$H$32+K69*Scoring!$I$32+RB!L69*Scoring!$J$32</f>
        <v>182.94</v>
      </c>
      <c r="X69" s="20">
        <f t="shared" si="7"/>
        <v>1206.9000000000001</v>
      </c>
      <c r="Y69" s="20">
        <f t="shared" si="8"/>
        <v>8.3000000000000007</v>
      </c>
      <c r="Z69" s="20">
        <f t="shared" si="9"/>
        <v>145.40963855421685</v>
      </c>
    </row>
    <row r="70" spans="1:26" ht="14.25" customHeight="1" x14ac:dyDescent="0.3">
      <c r="B70" t="s">
        <v>472</v>
      </c>
      <c r="C70">
        <v>263</v>
      </c>
      <c r="D70">
        <v>1014</v>
      </c>
      <c r="E70">
        <v>9</v>
      </c>
      <c r="F70">
        <v>34</v>
      </c>
      <c r="G70">
        <v>244</v>
      </c>
      <c r="H70">
        <v>1</v>
      </c>
      <c r="I70">
        <v>1.1000000000000001</v>
      </c>
      <c r="J70">
        <v>198.3</v>
      </c>
      <c r="K70" s="64">
        <f t="shared" si="5"/>
        <v>56.333333333333329</v>
      </c>
      <c r="L70" s="64">
        <f t="shared" si="6"/>
        <v>11.540125786163523</v>
      </c>
      <c r="M70" s="66"/>
      <c r="N70" s="66"/>
      <c r="O70" s="66"/>
      <c r="X70" s="20">
        <f t="shared" si="7"/>
        <v>1258</v>
      </c>
      <c r="Y70" s="20">
        <f t="shared" si="8"/>
        <v>10</v>
      </c>
      <c r="Z70" s="20">
        <f t="shared" si="9"/>
        <v>125.8</v>
      </c>
    </row>
    <row r="71" spans="1:26" ht="14.25" customHeight="1" x14ac:dyDescent="0.3">
      <c r="B71" t="s">
        <v>473</v>
      </c>
      <c r="C71">
        <v>217</v>
      </c>
      <c r="D71">
        <v>935</v>
      </c>
      <c r="E71">
        <v>7</v>
      </c>
      <c r="F71">
        <v>27</v>
      </c>
      <c r="G71">
        <v>214</v>
      </c>
      <c r="H71">
        <v>0</v>
      </c>
      <c r="I71">
        <v>2</v>
      </c>
      <c r="J71">
        <v>170.4</v>
      </c>
      <c r="K71" s="64">
        <f t="shared" si="5"/>
        <v>51.944444444444443</v>
      </c>
      <c r="L71" s="64">
        <f t="shared" si="6"/>
        <v>10.12125786163522</v>
      </c>
      <c r="M71" s="66"/>
      <c r="N71" s="66"/>
      <c r="O71" s="66"/>
      <c r="X71" s="20">
        <f t="shared" si="7"/>
        <v>1149</v>
      </c>
      <c r="Y71" s="20">
        <f t="shared" si="8"/>
        <v>7</v>
      </c>
      <c r="Z71" s="20">
        <f t="shared" si="9"/>
        <v>164.14285714285714</v>
      </c>
    </row>
    <row r="72" spans="1:26" ht="14.25" customHeight="1" x14ac:dyDescent="0.3">
      <c r="A72" t="s">
        <v>609</v>
      </c>
      <c r="B72" t="s">
        <v>529</v>
      </c>
      <c r="C72">
        <v>189.4</v>
      </c>
      <c r="D72">
        <v>833.1</v>
      </c>
      <c r="E72">
        <v>4.9000000000000004</v>
      </c>
      <c r="F72">
        <v>42.4</v>
      </c>
      <c r="G72">
        <v>321.7</v>
      </c>
      <c r="H72">
        <v>1.8</v>
      </c>
      <c r="I72">
        <v>1</v>
      </c>
      <c r="J72">
        <v>174.8</v>
      </c>
      <c r="K72" s="64">
        <f t="shared" si="5"/>
        <v>46.283333333333339</v>
      </c>
      <c r="L72" s="64">
        <f t="shared" si="6"/>
        <v>15.214993710691822</v>
      </c>
      <c r="M72" s="66">
        <f>C74*Scoring!$B$32+D74/Scoring!$C$32+E74*Scoring!$D$32+F74*Scoring!$E$32+G74/Scoring!$F$32+H74*Scoring!$G$32+I74*Scoring!$H$32+K74*Scoring!$I$32+RB!L74*Scoring!$J$32+U72</f>
        <v>167.11999999999998</v>
      </c>
      <c r="N72" s="66">
        <f>C72*Scoring!$B$32+D72/Scoring!$C$32+E72*Scoring!$D$32+F72*Scoring!$E$32+G72/Scoring!$F$32+H72*Scoring!$G$32+I72*Scoring!$H$32+K72*Scoring!$I$32+RB!L72*Scoring!$J$32+U72</f>
        <v>174.88</v>
      </c>
      <c r="O72" s="66">
        <f>C73*Scoring!$B$32+D73/Scoring!$C$32+E73*Scoring!$D$32+F73*Scoring!$E$32+G73/Scoring!$F$32+H73*Scoring!$G$32+I73*Scoring!$H$32+K73*Scoring!$I$32+L73*Scoring!$J$32+U72</f>
        <v>181.55</v>
      </c>
      <c r="P72" s="20">
        <f>IF(COUNTIF(Rookies!$A:$A,A72)&gt;0,1,0)</f>
        <v>0</v>
      </c>
      <c r="S72" s="20">
        <f>V72/17</f>
        <v>10.287058823529412</v>
      </c>
      <c r="T72" s="20">
        <f>IF(P72=1,MAX(0,0.258*(14.9-S72)),0)</f>
        <v>0</v>
      </c>
      <c r="U72" s="20">
        <f>T72*17</f>
        <v>0</v>
      </c>
      <c r="V72" s="20">
        <f>C72*Scoring!$B$32+D72/Scoring!$C$32+E72*Scoring!$D$32+F72*Scoring!$E$32+G72/Scoring!$F$32+H72*Scoring!$G$32+I72*Scoring!$H$32+K72*Scoring!$I$32+RB!L72*Scoring!$J$32</f>
        <v>174.88</v>
      </c>
      <c r="X72" s="20">
        <f t="shared" si="7"/>
        <v>1154.8</v>
      </c>
      <c r="Y72" s="20">
        <f t="shared" si="8"/>
        <v>6.7</v>
      </c>
      <c r="Z72" s="20">
        <f t="shared" si="9"/>
        <v>172.35820895522386</v>
      </c>
    </row>
    <row r="73" spans="1:26" ht="14.25" customHeight="1" x14ac:dyDescent="0.3">
      <c r="B73" t="s">
        <v>472</v>
      </c>
      <c r="C73">
        <v>194</v>
      </c>
      <c r="D73">
        <v>854</v>
      </c>
      <c r="E73">
        <v>5</v>
      </c>
      <c r="F73">
        <v>46.1</v>
      </c>
      <c r="G73">
        <v>329</v>
      </c>
      <c r="H73">
        <v>2</v>
      </c>
      <c r="I73">
        <v>0.9</v>
      </c>
      <c r="J73">
        <v>202</v>
      </c>
      <c r="K73" s="64">
        <f t="shared" si="5"/>
        <v>47.44444444444445</v>
      </c>
      <c r="L73" s="64">
        <f t="shared" si="6"/>
        <v>15.560251572327042</v>
      </c>
      <c r="M73" s="66"/>
      <c r="N73" s="66"/>
      <c r="O73" s="66"/>
      <c r="X73" s="20">
        <f t="shared" si="7"/>
        <v>1183</v>
      </c>
      <c r="Y73" s="20">
        <f t="shared" si="8"/>
        <v>7</v>
      </c>
      <c r="Z73" s="20">
        <f t="shared" si="9"/>
        <v>169</v>
      </c>
    </row>
    <row r="74" spans="1:26" ht="14.25" customHeight="1" x14ac:dyDescent="0.3">
      <c r="B74" t="s">
        <v>473</v>
      </c>
      <c r="C74">
        <v>184.3</v>
      </c>
      <c r="D74">
        <v>809.2</v>
      </c>
      <c r="E74">
        <v>4.5999999999999996</v>
      </c>
      <c r="F74">
        <v>40</v>
      </c>
      <c r="G74">
        <v>316</v>
      </c>
      <c r="H74">
        <v>1.5</v>
      </c>
      <c r="I74">
        <v>1</v>
      </c>
      <c r="J74">
        <v>158.19999999999999</v>
      </c>
      <c r="K74" s="64">
        <f t="shared" si="5"/>
        <v>44.955555555555556</v>
      </c>
      <c r="L74" s="64">
        <f t="shared" si="6"/>
        <v>14.945408805031446</v>
      </c>
      <c r="M74" s="66"/>
      <c r="N74" s="66"/>
      <c r="O74" s="66"/>
      <c r="X74" s="20">
        <f t="shared" si="7"/>
        <v>1125.2</v>
      </c>
      <c r="Y74" s="20">
        <f t="shared" si="8"/>
        <v>6.1</v>
      </c>
      <c r="Z74" s="20">
        <f t="shared" si="9"/>
        <v>184.45901639344265</v>
      </c>
    </row>
    <row r="75" spans="1:26" ht="14.25" customHeight="1" x14ac:dyDescent="0.3">
      <c r="A75" t="s">
        <v>608</v>
      </c>
      <c r="B75" t="s">
        <v>517</v>
      </c>
      <c r="C75">
        <v>215.2</v>
      </c>
      <c r="D75">
        <v>911.2</v>
      </c>
      <c r="E75">
        <v>7.6</v>
      </c>
      <c r="F75">
        <v>26</v>
      </c>
      <c r="G75">
        <v>219.8</v>
      </c>
      <c r="H75">
        <v>1.1000000000000001</v>
      </c>
      <c r="I75">
        <v>2</v>
      </c>
      <c r="J75">
        <v>174.4</v>
      </c>
      <c r="K75" s="64">
        <f t="shared" si="5"/>
        <v>50.622222222222234</v>
      </c>
      <c r="L75" s="64">
        <f t="shared" si="6"/>
        <v>10.395572327044025</v>
      </c>
      <c r="M75" s="66">
        <f>C77*Scoring!$B$32+D77/Scoring!$C$32+E77*Scoring!$D$32+F77*Scoring!$E$32+G77/Scoring!$F$32+H77*Scoring!$G$32+I77*Scoring!$H$32+K77*Scoring!$I$32+RB!L77*Scoring!$J$32+U75</f>
        <v>177.31199999999998</v>
      </c>
      <c r="N75" s="66">
        <f>C75*Scoring!$B$32+D75/Scoring!$C$32+E75*Scoring!$D$32+F75*Scoring!$E$32+G75/Scoring!$F$32+H75*Scoring!$G$32+I75*Scoring!$H$32+K75*Scoring!$I$32+RB!L75*Scoring!$J$32+U75</f>
        <v>194.68199999999999</v>
      </c>
      <c r="O75" s="66">
        <f>C76*Scoring!$B$32+D76/Scoring!$C$32+E76*Scoring!$D$32+F76*Scoring!$E$32+G76/Scoring!$F$32+H76*Scoring!$G$32+I76*Scoring!$H$32+K76*Scoring!$I$32+L76*Scoring!$J$32+U75</f>
        <v>209.68200000000002</v>
      </c>
      <c r="P75" s="20">
        <f>IF(COUNTIF(Rookies!$A:$A,A75)&gt;0,1,0)</f>
        <v>1</v>
      </c>
      <c r="S75" s="20">
        <f>V75/17</f>
        <v>10.252941176470587</v>
      </c>
      <c r="T75" s="20">
        <f>IF(P75=1,MAX(0,0.258*(14.9-S75)),0)</f>
        <v>1.1989411764705886</v>
      </c>
      <c r="U75" s="20">
        <f>T75*17</f>
        <v>20.382000000000005</v>
      </c>
      <c r="V75" s="20">
        <f>C75*Scoring!$B$32+D75/Scoring!$C$32+E75*Scoring!$D$32+F75*Scoring!$E$32+G75/Scoring!$F$32+H75*Scoring!$G$32+I75*Scoring!$H$32+K75*Scoring!$I$32+RB!L75*Scoring!$J$32</f>
        <v>174.29999999999998</v>
      </c>
      <c r="X75" s="20">
        <f t="shared" si="7"/>
        <v>1131</v>
      </c>
      <c r="Y75" s="20">
        <f t="shared" si="8"/>
        <v>8.6999999999999993</v>
      </c>
      <c r="Z75" s="20">
        <f t="shared" si="9"/>
        <v>130</v>
      </c>
    </row>
    <row r="76" spans="1:26" ht="14.25" customHeight="1" x14ac:dyDescent="0.3">
      <c r="B76" t="s">
        <v>472</v>
      </c>
      <c r="C76">
        <v>228</v>
      </c>
      <c r="D76">
        <v>974</v>
      </c>
      <c r="E76">
        <v>8</v>
      </c>
      <c r="F76">
        <v>31</v>
      </c>
      <c r="G76">
        <v>226</v>
      </c>
      <c r="H76">
        <v>1.3</v>
      </c>
      <c r="I76">
        <v>1</v>
      </c>
      <c r="J76">
        <v>182.8</v>
      </c>
      <c r="K76" s="64">
        <f t="shared" si="5"/>
        <v>54.111111111111107</v>
      </c>
      <c r="L76" s="64">
        <f t="shared" si="6"/>
        <v>10.68880503144654</v>
      </c>
      <c r="M76" s="66"/>
      <c r="N76" s="66"/>
      <c r="O76" s="66"/>
      <c r="X76" s="20">
        <f t="shared" si="7"/>
        <v>1200</v>
      </c>
      <c r="Y76" s="20">
        <f t="shared" si="8"/>
        <v>9.3000000000000007</v>
      </c>
      <c r="Z76" s="20">
        <f t="shared" si="9"/>
        <v>129.03225806451613</v>
      </c>
    </row>
    <row r="77" spans="1:26" ht="14.25" customHeight="1" x14ac:dyDescent="0.3">
      <c r="B77" t="s">
        <v>473</v>
      </c>
      <c r="C77">
        <v>195</v>
      </c>
      <c r="D77">
        <v>837</v>
      </c>
      <c r="E77">
        <v>7</v>
      </c>
      <c r="F77">
        <v>20</v>
      </c>
      <c r="G77">
        <v>212.3</v>
      </c>
      <c r="H77">
        <v>1</v>
      </c>
      <c r="I77">
        <v>3</v>
      </c>
      <c r="J77">
        <v>165</v>
      </c>
      <c r="K77" s="64">
        <f t="shared" si="5"/>
        <v>46.5</v>
      </c>
      <c r="L77" s="64">
        <f t="shared" si="6"/>
        <v>10.04085534591195</v>
      </c>
      <c r="M77" s="66"/>
      <c r="N77" s="66"/>
      <c r="O77" s="66"/>
      <c r="X77" s="20">
        <f t="shared" si="7"/>
        <v>1049.3</v>
      </c>
      <c r="Y77" s="20">
        <f t="shared" si="8"/>
        <v>8</v>
      </c>
      <c r="Z77" s="20">
        <f t="shared" si="9"/>
        <v>131.16249999999999</v>
      </c>
    </row>
    <row r="78" spans="1:26" ht="14.25" customHeight="1" x14ac:dyDescent="0.3">
      <c r="A78" t="s">
        <v>610</v>
      </c>
      <c r="B78" t="s">
        <v>477</v>
      </c>
      <c r="C78">
        <v>185.8</v>
      </c>
      <c r="D78">
        <v>855</v>
      </c>
      <c r="E78">
        <v>6.9</v>
      </c>
      <c r="F78">
        <v>35.200000000000003</v>
      </c>
      <c r="G78">
        <v>244.6</v>
      </c>
      <c r="H78">
        <v>1.2</v>
      </c>
      <c r="I78">
        <v>0.8</v>
      </c>
      <c r="J78">
        <v>174.2</v>
      </c>
      <c r="K78" s="64">
        <f t="shared" si="5"/>
        <v>47.5</v>
      </c>
      <c r="L78" s="64">
        <f t="shared" si="6"/>
        <v>11.568503144654088</v>
      </c>
      <c r="M78" s="66">
        <f>C80*Scoring!$B$32+D80/Scoring!$C$32+E80*Scoring!$D$32+F80*Scoring!$E$32+G80/Scoring!$F$32+H80*Scoring!$G$32+I80*Scoring!$H$32+K80*Scoring!$I$32+RB!L80*Scoring!$J$32+U78</f>
        <v>165.10000000000002</v>
      </c>
      <c r="N78" s="66">
        <f>C78*Scoring!$B$32+D78/Scoring!$C$32+E78*Scoring!$D$32+F78*Scoring!$E$32+G78/Scoring!$F$32+H78*Scoring!$G$32+I78*Scoring!$H$32+K78*Scoring!$I$32+RB!L78*Scoring!$J$32+U78</f>
        <v>174.56</v>
      </c>
      <c r="O78" s="66">
        <f>C79*Scoring!$B$32+D79/Scoring!$C$32+E79*Scoring!$D$32+F79*Scoring!$E$32+G79/Scoring!$F$32+H79*Scoring!$G$32+I79*Scoring!$H$32+K79*Scoring!$I$32+L79*Scoring!$J$32+U78</f>
        <v>184.83999999999997</v>
      </c>
      <c r="P78" s="20">
        <f>IF(COUNTIF(Rookies!$A:$A,A78)&gt;0,1,0)</f>
        <v>0</v>
      </c>
      <c r="S78" s="20">
        <f>V78/17</f>
        <v>10.268235294117646</v>
      </c>
      <c r="T78" s="20">
        <f>IF(P78=1,MAX(0,0.258*(14.9-S78)),0)</f>
        <v>0</v>
      </c>
      <c r="U78" s="20">
        <f>T78*17</f>
        <v>0</v>
      </c>
      <c r="V78" s="20">
        <f>C78*Scoring!$B$32+D78/Scoring!$C$32+E78*Scoring!$D$32+F78*Scoring!$E$32+G78/Scoring!$F$32+H78*Scoring!$G$32+I78*Scoring!$H$32+K78*Scoring!$I$32+RB!L78*Scoring!$J$32</f>
        <v>174.56</v>
      </c>
      <c r="X78" s="20">
        <f t="shared" si="7"/>
        <v>1099.5999999999999</v>
      </c>
      <c r="Y78" s="20">
        <f t="shared" si="8"/>
        <v>8.1</v>
      </c>
      <c r="Z78" s="20">
        <f t="shared" si="9"/>
        <v>135.75308641975309</v>
      </c>
    </row>
    <row r="79" spans="1:26" ht="14.25" customHeight="1" x14ac:dyDescent="0.3">
      <c r="B79" t="s">
        <v>472</v>
      </c>
      <c r="C79">
        <v>190.5</v>
      </c>
      <c r="D79">
        <v>890</v>
      </c>
      <c r="E79">
        <v>7</v>
      </c>
      <c r="F79">
        <v>38.700000000000003</v>
      </c>
      <c r="G79">
        <v>268.89999999999998</v>
      </c>
      <c r="H79">
        <v>1.5</v>
      </c>
      <c r="I79">
        <v>0.7</v>
      </c>
      <c r="J79">
        <v>191.9</v>
      </c>
      <c r="K79" s="64">
        <f t="shared" si="5"/>
        <v>49.44444444444445</v>
      </c>
      <c r="L79" s="64">
        <f t="shared" si="6"/>
        <v>12.717786163522012</v>
      </c>
      <c r="M79" s="66"/>
      <c r="N79" s="66"/>
      <c r="O79" s="66"/>
      <c r="X79" s="20">
        <f t="shared" si="7"/>
        <v>1158.9000000000001</v>
      </c>
      <c r="Y79" s="20">
        <f t="shared" si="8"/>
        <v>8.5</v>
      </c>
      <c r="Z79" s="20">
        <f t="shared" si="9"/>
        <v>136.34117647058824</v>
      </c>
    </row>
    <row r="80" spans="1:26" ht="14.25" customHeight="1" x14ac:dyDescent="0.3">
      <c r="B80" t="s">
        <v>473</v>
      </c>
      <c r="C80">
        <v>178</v>
      </c>
      <c r="D80">
        <v>836</v>
      </c>
      <c r="E80">
        <v>6.7</v>
      </c>
      <c r="F80">
        <v>33</v>
      </c>
      <c r="G80">
        <v>208</v>
      </c>
      <c r="H80">
        <v>1</v>
      </c>
      <c r="I80">
        <v>1</v>
      </c>
      <c r="J80">
        <v>157.6</v>
      </c>
      <c r="K80" s="64">
        <f t="shared" si="5"/>
        <v>46.44444444444445</v>
      </c>
      <c r="L80" s="64">
        <f t="shared" si="6"/>
        <v>9.8374842767295583</v>
      </c>
      <c r="M80" s="66"/>
      <c r="N80" s="66"/>
      <c r="O80" s="66"/>
      <c r="X80" s="20">
        <f t="shared" si="7"/>
        <v>1044</v>
      </c>
      <c r="Y80" s="20">
        <f t="shared" si="8"/>
        <v>7.7</v>
      </c>
      <c r="Z80" s="20">
        <f t="shared" si="9"/>
        <v>135.58441558441558</v>
      </c>
    </row>
    <row r="81" spans="1:26" ht="14.25" customHeight="1" x14ac:dyDescent="0.3">
      <c r="A81" t="s">
        <v>611</v>
      </c>
      <c r="B81" t="s">
        <v>525</v>
      </c>
      <c r="C81">
        <v>235.8</v>
      </c>
      <c r="D81">
        <v>1032.7</v>
      </c>
      <c r="E81">
        <v>5.5</v>
      </c>
      <c r="F81">
        <v>31.9</v>
      </c>
      <c r="G81">
        <v>207.8</v>
      </c>
      <c r="H81">
        <v>0.5</v>
      </c>
      <c r="I81">
        <v>2.1</v>
      </c>
      <c r="J81">
        <v>171.6</v>
      </c>
      <c r="K81" s="64">
        <f t="shared" si="5"/>
        <v>57.372222222222227</v>
      </c>
      <c r="L81" s="64">
        <f t="shared" si="6"/>
        <v>9.8280251572327053</v>
      </c>
      <c r="M81" s="66">
        <f>C83*Scoring!$B$32+D83/Scoring!$C$32+E83*Scoring!$D$32+F83*Scoring!$E$32+G83/Scoring!$F$32+H83*Scoring!$G$32+I83*Scoring!$H$32+K83*Scoring!$I$32+RB!L83*Scoring!$J$32+U81</f>
        <v>156.09</v>
      </c>
      <c r="N81" s="66">
        <f>C81*Scoring!$B$32+D81/Scoring!$C$32+E81*Scoring!$D$32+F81*Scoring!$E$32+G81/Scoring!$F$32+H81*Scoring!$G$32+I81*Scoring!$H$32+K81*Scoring!$I$32+RB!L81*Scoring!$J$32+U81</f>
        <v>171.8</v>
      </c>
      <c r="O81" s="66">
        <f>C82*Scoring!$B$32+D82/Scoring!$C$32+E82*Scoring!$D$32+F82*Scoring!$E$32+G82/Scoring!$F$32+H82*Scoring!$G$32+I82*Scoring!$H$32+K82*Scoring!$I$32+L82*Scoring!$J$32+U81</f>
        <v>185.79999999999998</v>
      </c>
      <c r="P81" s="20">
        <f>IF(COUNTIF(Rookies!$A:$A,A81)&gt;0,1,0)</f>
        <v>0</v>
      </c>
      <c r="S81" s="20">
        <f>V81/17</f>
        <v>10.105882352941178</v>
      </c>
      <c r="T81" s="20">
        <f>IF(P81=1,MAX(0,0.258*(14.9-S81)),0)</f>
        <v>0</v>
      </c>
      <c r="U81" s="20">
        <f>T81*17</f>
        <v>0</v>
      </c>
      <c r="V81" s="20">
        <f>C81*Scoring!$B$32+D81/Scoring!$C$32+E81*Scoring!$D$32+F81*Scoring!$E$32+G81/Scoring!$F$32+H81*Scoring!$G$32+I81*Scoring!$H$32+K81*Scoring!$I$32+RB!L81*Scoring!$J$32</f>
        <v>171.8</v>
      </c>
      <c r="X81" s="20">
        <f t="shared" si="7"/>
        <v>1240.5</v>
      </c>
      <c r="Y81" s="20">
        <f t="shared" si="8"/>
        <v>6</v>
      </c>
      <c r="Z81" s="20">
        <f t="shared" si="9"/>
        <v>206.75</v>
      </c>
    </row>
    <row r="82" spans="1:26" ht="14.25" customHeight="1" x14ac:dyDescent="0.3">
      <c r="B82" t="s">
        <v>472</v>
      </c>
      <c r="C82">
        <v>242</v>
      </c>
      <c r="D82">
        <v>1065</v>
      </c>
      <c r="E82">
        <v>6</v>
      </c>
      <c r="F82">
        <v>34</v>
      </c>
      <c r="G82">
        <v>227</v>
      </c>
      <c r="H82">
        <v>1</v>
      </c>
      <c r="I82">
        <v>1.2</v>
      </c>
      <c r="J82">
        <v>197.1</v>
      </c>
      <c r="K82" s="64">
        <f t="shared" si="5"/>
        <v>59.166666666666671</v>
      </c>
      <c r="L82" s="64">
        <f t="shared" si="6"/>
        <v>10.736100628930817</v>
      </c>
      <c r="M82" s="66"/>
      <c r="N82" s="66"/>
      <c r="O82" s="66"/>
      <c r="X82" s="20">
        <f t="shared" si="7"/>
        <v>1292</v>
      </c>
      <c r="Y82" s="20">
        <f t="shared" si="8"/>
        <v>7</v>
      </c>
      <c r="Z82" s="20">
        <f t="shared" si="9"/>
        <v>184.57142857142858</v>
      </c>
    </row>
    <row r="83" spans="1:26" ht="14.25" customHeight="1" x14ac:dyDescent="0.3">
      <c r="B83" t="s">
        <v>473</v>
      </c>
      <c r="C83">
        <v>226</v>
      </c>
      <c r="D83">
        <v>990</v>
      </c>
      <c r="E83">
        <v>5</v>
      </c>
      <c r="F83">
        <v>29.7</v>
      </c>
      <c r="G83">
        <v>182.4</v>
      </c>
      <c r="H83">
        <v>0</v>
      </c>
      <c r="I83">
        <v>3</v>
      </c>
      <c r="J83">
        <v>148.9</v>
      </c>
      <c r="K83" s="64">
        <f t="shared" si="5"/>
        <v>55.000000000000007</v>
      </c>
      <c r="L83" s="64">
        <f t="shared" si="6"/>
        <v>8.6267169811320752</v>
      </c>
      <c r="M83" s="66"/>
      <c r="N83" s="66"/>
      <c r="O83" s="66"/>
      <c r="X83" s="20">
        <f t="shared" si="7"/>
        <v>1172.4000000000001</v>
      </c>
      <c r="Y83" s="20">
        <f t="shared" si="8"/>
        <v>5</v>
      </c>
      <c r="Z83" s="20">
        <f t="shared" si="9"/>
        <v>234.48000000000002</v>
      </c>
    </row>
    <row r="84" spans="1:26" ht="14.25" customHeight="1" x14ac:dyDescent="0.3">
      <c r="A84" t="s">
        <v>612</v>
      </c>
      <c r="B84" t="s">
        <v>477</v>
      </c>
      <c r="C84">
        <v>168.7</v>
      </c>
      <c r="D84">
        <v>725.1</v>
      </c>
      <c r="E84">
        <v>6.6</v>
      </c>
      <c r="F84">
        <v>39.5</v>
      </c>
      <c r="G84">
        <v>335.1</v>
      </c>
      <c r="H84">
        <v>1.7</v>
      </c>
      <c r="I84">
        <v>2.1</v>
      </c>
      <c r="J84">
        <v>171.3</v>
      </c>
      <c r="K84" s="64">
        <f t="shared" si="5"/>
        <v>40.283333333333339</v>
      </c>
      <c r="L84" s="64">
        <f t="shared" si="6"/>
        <v>15.848754716981134</v>
      </c>
      <c r="M84" s="66">
        <f>C86*Scoring!$B$32+D86/Scoring!$C$32+E86*Scoring!$D$32+F86*Scoring!$E$32+G86/Scoring!$F$32+H86*Scoring!$G$32+I86*Scoring!$H$32+K86*Scoring!$I$32+RB!L86*Scoring!$J$32+U84</f>
        <v>154.5</v>
      </c>
      <c r="N84" s="66">
        <f>C84*Scoring!$B$32+D84/Scoring!$C$32+E84*Scoring!$D$32+F84*Scoring!$E$32+G84/Scoring!$F$32+H84*Scoring!$G$32+I84*Scoring!$H$32+K84*Scoring!$I$32+RB!L84*Scoring!$J$32+U84</f>
        <v>171.37</v>
      </c>
      <c r="O84" s="66">
        <f>C85*Scoring!$B$32+D85/Scoring!$C$32+E85*Scoring!$D$32+F85*Scoring!$E$32+G85/Scoring!$F$32+H85*Scoring!$G$32+I85*Scoring!$H$32+K85*Scoring!$I$32+L85*Scoring!$J$32+U84</f>
        <v>182.98</v>
      </c>
      <c r="P84" s="20">
        <f>IF(COUNTIF(Rookies!$A:$A,A84)&gt;0,1,0)</f>
        <v>0</v>
      </c>
      <c r="S84" s="20">
        <f>V84/17</f>
        <v>10.080588235294117</v>
      </c>
      <c r="T84" s="20">
        <f>IF(P84=1,MAX(0,0.258*(14.9-S84)),0)</f>
        <v>0</v>
      </c>
      <c r="U84" s="20">
        <f>T84*17</f>
        <v>0</v>
      </c>
      <c r="V84" s="20">
        <f>C84*Scoring!$B$32+D84/Scoring!$C$32+E84*Scoring!$D$32+F84*Scoring!$E$32+G84/Scoring!$F$32+H84*Scoring!$G$32+I84*Scoring!$H$32+K84*Scoring!$I$32+RB!L84*Scoring!$J$32</f>
        <v>171.37</v>
      </c>
      <c r="X84" s="20">
        <f t="shared" si="7"/>
        <v>1060.2</v>
      </c>
      <c r="Y84" s="20">
        <f t="shared" si="8"/>
        <v>8.2999999999999989</v>
      </c>
      <c r="Z84" s="20">
        <f t="shared" si="9"/>
        <v>127.73493975903617</v>
      </c>
    </row>
    <row r="85" spans="1:26" ht="14.25" customHeight="1" x14ac:dyDescent="0.3">
      <c r="B85" t="s">
        <v>472</v>
      </c>
      <c r="C85">
        <v>174</v>
      </c>
      <c r="D85">
        <v>742.4</v>
      </c>
      <c r="E85">
        <v>7</v>
      </c>
      <c r="F85">
        <v>43</v>
      </c>
      <c r="G85">
        <v>350.4</v>
      </c>
      <c r="H85">
        <v>2.1</v>
      </c>
      <c r="I85">
        <v>1.2</v>
      </c>
      <c r="J85">
        <v>194.9</v>
      </c>
      <c r="K85" s="64">
        <f t="shared" si="5"/>
        <v>41.244444444444447</v>
      </c>
      <c r="L85" s="64">
        <f t="shared" si="6"/>
        <v>16.572377358490566</v>
      </c>
      <c r="M85" s="66"/>
      <c r="N85" s="66"/>
      <c r="O85" s="66"/>
      <c r="X85" s="20">
        <f t="shared" si="7"/>
        <v>1092.8</v>
      </c>
      <c r="Y85" s="20">
        <f t="shared" si="8"/>
        <v>9.1</v>
      </c>
      <c r="Z85" s="20">
        <f t="shared" si="9"/>
        <v>120.08791208791209</v>
      </c>
    </row>
    <row r="86" spans="1:26" ht="14.25" customHeight="1" x14ac:dyDescent="0.3">
      <c r="B86" t="s">
        <v>473</v>
      </c>
      <c r="C86">
        <v>163</v>
      </c>
      <c r="D86">
        <v>698</v>
      </c>
      <c r="E86">
        <v>6</v>
      </c>
      <c r="F86">
        <v>33</v>
      </c>
      <c r="G86">
        <v>322</v>
      </c>
      <c r="H86">
        <v>1</v>
      </c>
      <c r="I86">
        <v>3</v>
      </c>
      <c r="J86">
        <v>148.69999999999999</v>
      </c>
      <c r="K86" s="64">
        <f t="shared" si="5"/>
        <v>38.777777777777779</v>
      </c>
      <c r="L86" s="64">
        <f t="shared" si="6"/>
        <v>15.229182389937108</v>
      </c>
      <c r="M86" s="66"/>
      <c r="N86" s="66"/>
      <c r="O86" s="66"/>
      <c r="X86" s="20">
        <f t="shared" si="7"/>
        <v>1020</v>
      </c>
      <c r="Y86" s="20">
        <f t="shared" si="8"/>
        <v>7</v>
      </c>
      <c r="Z86" s="20">
        <f t="shared" si="9"/>
        <v>145.71428571428572</v>
      </c>
    </row>
    <row r="87" spans="1:26" ht="14.25" customHeight="1" x14ac:dyDescent="0.3">
      <c r="A87" t="s">
        <v>613</v>
      </c>
      <c r="B87" t="s">
        <v>499</v>
      </c>
      <c r="C87">
        <v>219.6</v>
      </c>
      <c r="D87">
        <v>1027.5</v>
      </c>
      <c r="E87">
        <v>6.9</v>
      </c>
      <c r="F87">
        <v>19.5</v>
      </c>
      <c r="G87">
        <v>104.4</v>
      </c>
      <c r="H87">
        <v>0.6</v>
      </c>
      <c r="I87">
        <v>0.7</v>
      </c>
      <c r="J87">
        <v>166.3</v>
      </c>
      <c r="K87" s="64">
        <f t="shared" si="5"/>
        <v>57.083333333333321</v>
      </c>
      <c r="L87" s="64">
        <f t="shared" si="6"/>
        <v>4.9376603773584913</v>
      </c>
      <c r="M87" s="66">
        <f>C89*Scoring!$B$32+D89/Scoring!$C$32+E89*Scoring!$D$32+F89*Scoring!$E$32+G89/Scoring!$F$32+H89*Scoring!$G$32+I89*Scoring!$H$32+K89*Scoring!$I$32+RB!L89*Scoring!$J$32+U87</f>
        <v>149.04999999999998</v>
      </c>
      <c r="N87" s="66">
        <f>C87*Scoring!$B$32+D87/Scoring!$C$32+E87*Scoring!$D$32+F87*Scoring!$E$32+G87/Scoring!$F$32+H87*Scoring!$G$32+I87*Scoring!$H$32+K87*Scoring!$I$32+RB!L87*Scoring!$J$32+U87</f>
        <v>166.54</v>
      </c>
      <c r="O87" s="66">
        <f>C88*Scoring!$B$32+D88/Scoring!$C$32+E88*Scoring!$D$32+F88*Scoring!$E$32+G88/Scoring!$F$32+H88*Scoring!$G$32+I88*Scoring!$H$32+K88*Scoring!$I$32+L88*Scoring!$J$32+U87</f>
        <v>184.61999999999998</v>
      </c>
      <c r="P87" s="20">
        <f>IF(COUNTIF(Rookies!$A:$A,A87)&gt;0,1,0)</f>
        <v>0</v>
      </c>
      <c r="S87" s="20">
        <f>V87/17</f>
        <v>9.7964705882352945</v>
      </c>
      <c r="T87" s="20">
        <f>IF(P87=1,MAX(0,0.258*(14.9-S87)),0)</f>
        <v>0</v>
      </c>
      <c r="U87" s="20">
        <f>T87*17</f>
        <v>0</v>
      </c>
      <c r="V87" s="20">
        <f>C87*Scoring!$B$32+D87/Scoring!$C$32+E87*Scoring!$D$32+F87*Scoring!$E$32+G87/Scoring!$F$32+H87*Scoring!$G$32+I87*Scoring!$H$32+K87*Scoring!$I$32+RB!L87*Scoring!$J$32</f>
        <v>166.54</v>
      </c>
      <c r="X87" s="20">
        <f t="shared" si="7"/>
        <v>1131.9000000000001</v>
      </c>
      <c r="Y87" s="20">
        <f t="shared" si="8"/>
        <v>7.5</v>
      </c>
      <c r="Z87" s="20">
        <f t="shared" si="9"/>
        <v>150.92000000000002</v>
      </c>
    </row>
    <row r="88" spans="1:26" ht="14.25" customHeight="1" x14ac:dyDescent="0.3">
      <c r="B88" t="s">
        <v>472</v>
      </c>
      <c r="C88">
        <v>248</v>
      </c>
      <c r="D88">
        <v>1137</v>
      </c>
      <c r="E88">
        <v>7</v>
      </c>
      <c r="F88">
        <v>21.4</v>
      </c>
      <c r="G88">
        <v>132.19999999999999</v>
      </c>
      <c r="H88">
        <v>1</v>
      </c>
      <c r="I88">
        <v>0.5</v>
      </c>
      <c r="J88">
        <v>174.9</v>
      </c>
      <c r="K88" s="64">
        <f t="shared" si="5"/>
        <v>63.166666666666664</v>
      </c>
      <c r="L88" s="64">
        <f t="shared" si="6"/>
        <v>6.2524779874213827</v>
      </c>
      <c r="M88" s="66"/>
      <c r="N88" s="66"/>
      <c r="O88" s="66"/>
      <c r="X88" s="20">
        <f t="shared" si="7"/>
        <v>1269.2</v>
      </c>
      <c r="Y88" s="20">
        <f t="shared" si="8"/>
        <v>8</v>
      </c>
      <c r="Z88" s="20">
        <f t="shared" si="9"/>
        <v>158.65</v>
      </c>
    </row>
    <row r="89" spans="1:26" ht="14.25" customHeight="1" x14ac:dyDescent="0.3">
      <c r="B89" t="s">
        <v>473</v>
      </c>
      <c r="C89">
        <v>204.7</v>
      </c>
      <c r="D89">
        <v>957.5</v>
      </c>
      <c r="E89">
        <v>6.6</v>
      </c>
      <c r="F89">
        <v>16</v>
      </c>
      <c r="G89">
        <v>77</v>
      </c>
      <c r="H89">
        <v>0</v>
      </c>
      <c r="I89">
        <v>1</v>
      </c>
      <c r="J89">
        <v>156.69999999999999</v>
      </c>
      <c r="K89" s="64">
        <f t="shared" si="5"/>
        <v>53.19444444444445</v>
      </c>
      <c r="L89" s="64">
        <f t="shared" si="6"/>
        <v>3.6417610062893084</v>
      </c>
      <c r="M89" s="66"/>
      <c r="N89" s="66"/>
      <c r="O89" s="66"/>
      <c r="X89" s="20">
        <f t="shared" si="7"/>
        <v>1034.5</v>
      </c>
      <c r="Y89" s="20">
        <f t="shared" si="8"/>
        <v>6.6</v>
      </c>
      <c r="Z89" s="20">
        <f t="shared" si="9"/>
        <v>156.74242424242425</v>
      </c>
    </row>
    <row r="90" spans="1:26" ht="14.25" customHeight="1" x14ac:dyDescent="0.3">
      <c r="A90" t="s">
        <v>614</v>
      </c>
      <c r="B90" t="s">
        <v>529</v>
      </c>
      <c r="C90">
        <v>201.4</v>
      </c>
      <c r="D90">
        <v>876</v>
      </c>
      <c r="E90">
        <v>5.9</v>
      </c>
      <c r="F90">
        <v>31.7</v>
      </c>
      <c r="G90">
        <v>221.9</v>
      </c>
      <c r="H90">
        <v>1</v>
      </c>
      <c r="I90">
        <v>1</v>
      </c>
      <c r="J90">
        <v>165.1</v>
      </c>
      <c r="K90" s="64">
        <f t="shared" si="5"/>
        <v>48.666666666666664</v>
      </c>
      <c r="L90" s="64">
        <f t="shared" si="6"/>
        <v>10.494893081761006</v>
      </c>
      <c r="M90" s="66">
        <f>C92*Scoring!$B$32+D92/Scoring!$C$32+E92*Scoring!$D$32+F92*Scoring!$E$32+G92/Scoring!$F$32+H92*Scoring!$G$32+I92*Scoring!$H$32+K92*Scoring!$I$32+RB!L92*Scoring!$J$32+U90</f>
        <v>149</v>
      </c>
      <c r="N90" s="66">
        <f>C90*Scoring!$B$32+D90/Scoring!$C$32+E90*Scoring!$D$32+F90*Scoring!$E$32+G90/Scoring!$F$32+H90*Scoring!$G$32+I90*Scoring!$H$32+K90*Scoring!$I$32+RB!L90*Scoring!$J$32+U90</f>
        <v>165.04</v>
      </c>
      <c r="O90" s="66">
        <f>C91*Scoring!$B$32+D91/Scoring!$C$32+E91*Scoring!$D$32+F91*Scoring!$E$32+G91/Scoring!$F$32+H91*Scoring!$G$32+I91*Scoring!$H$32+K91*Scoring!$I$32+L91*Scoring!$J$32+U90</f>
        <v>189.08999999999997</v>
      </c>
      <c r="P90" s="20">
        <f>IF(COUNTIF(Rookies!$A:$A,A90)&gt;0,1,0)</f>
        <v>0</v>
      </c>
      <c r="S90" s="20">
        <f>V90/17</f>
        <v>9.708235294117646</v>
      </c>
      <c r="T90" s="20">
        <f>IF(P90=1,MAX(0,0.258*(14.9-S90)),0)</f>
        <v>0</v>
      </c>
      <c r="U90" s="20">
        <f>T90*17</f>
        <v>0</v>
      </c>
      <c r="V90" s="20">
        <f>C90*Scoring!$B$32+D90/Scoring!$C$32+E90*Scoring!$D$32+F90*Scoring!$E$32+G90/Scoring!$F$32+H90*Scoring!$G$32+I90*Scoring!$H$32+K90*Scoring!$I$32+RB!L90*Scoring!$J$32</f>
        <v>165.04</v>
      </c>
      <c r="X90" s="20">
        <f t="shared" si="7"/>
        <v>1097.9000000000001</v>
      </c>
      <c r="Y90" s="20">
        <f t="shared" si="8"/>
        <v>6.9</v>
      </c>
      <c r="Z90" s="20">
        <f t="shared" si="9"/>
        <v>159.1159420289855</v>
      </c>
    </row>
    <row r="91" spans="1:26" ht="14.25" customHeight="1" x14ac:dyDescent="0.3">
      <c r="B91" t="s">
        <v>472</v>
      </c>
      <c r="C91">
        <v>227.2</v>
      </c>
      <c r="D91">
        <v>992.9</v>
      </c>
      <c r="E91">
        <v>7</v>
      </c>
      <c r="F91">
        <v>36</v>
      </c>
      <c r="G91">
        <v>252</v>
      </c>
      <c r="H91">
        <v>1.1000000000000001</v>
      </c>
      <c r="I91">
        <v>1</v>
      </c>
      <c r="J91">
        <v>175</v>
      </c>
      <c r="K91" s="64">
        <f t="shared" si="5"/>
        <v>55.161111111111104</v>
      </c>
      <c r="L91" s="64">
        <f t="shared" si="6"/>
        <v>11.918490566037736</v>
      </c>
      <c r="M91" s="66"/>
      <c r="N91" s="66"/>
      <c r="O91" s="66"/>
      <c r="X91" s="20">
        <f t="shared" si="7"/>
        <v>1244.9000000000001</v>
      </c>
      <c r="Y91" s="20">
        <f t="shared" si="8"/>
        <v>8.1</v>
      </c>
      <c r="Z91" s="20">
        <f t="shared" si="9"/>
        <v>153.69135802469137</v>
      </c>
    </row>
    <row r="92" spans="1:26" ht="14.25" customHeight="1" x14ac:dyDescent="0.3">
      <c r="B92" t="s">
        <v>473</v>
      </c>
      <c r="C92">
        <v>186</v>
      </c>
      <c r="D92">
        <v>801</v>
      </c>
      <c r="E92">
        <v>5</v>
      </c>
      <c r="F92">
        <v>29.2</v>
      </c>
      <c r="G92">
        <v>203</v>
      </c>
      <c r="H92">
        <v>1</v>
      </c>
      <c r="I92">
        <v>1</v>
      </c>
      <c r="J92">
        <v>152.9</v>
      </c>
      <c r="K92" s="64">
        <f t="shared" si="5"/>
        <v>44.5</v>
      </c>
      <c r="L92" s="64">
        <f t="shared" si="6"/>
        <v>9.6010062893081773</v>
      </c>
      <c r="M92" s="66"/>
      <c r="N92" s="66"/>
      <c r="O92" s="66"/>
      <c r="X92" s="20">
        <f t="shared" si="7"/>
        <v>1004</v>
      </c>
      <c r="Y92" s="20">
        <f t="shared" si="8"/>
        <v>6</v>
      </c>
      <c r="Z92" s="20">
        <f t="shared" si="9"/>
        <v>167.33333333333334</v>
      </c>
    </row>
    <row r="93" spans="1:26" ht="14.25" customHeight="1" x14ac:dyDescent="0.3">
      <c r="A93" t="s">
        <v>615</v>
      </c>
      <c r="B93" t="s">
        <v>521</v>
      </c>
      <c r="C93">
        <v>183.1</v>
      </c>
      <c r="D93">
        <v>748</v>
      </c>
      <c r="E93">
        <v>5.0999999999999996</v>
      </c>
      <c r="F93">
        <v>36</v>
      </c>
      <c r="G93">
        <v>255.9</v>
      </c>
      <c r="H93">
        <v>1.8</v>
      </c>
      <c r="I93">
        <v>0.9</v>
      </c>
      <c r="J93">
        <v>157.69999999999999</v>
      </c>
      <c r="K93" s="64">
        <f t="shared" si="5"/>
        <v>41.55555555555555</v>
      </c>
      <c r="L93" s="64">
        <f t="shared" si="6"/>
        <v>12.102943396226415</v>
      </c>
      <c r="M93" s="66">
        <f>C95*Scoring!$B$32+D95/Scoring!$C$32+E95*Scoring!$D$32+F95*Scoring!$E$32+G95/Scoring!$F$32+H95*Scoring!$G$32+I95*Scoring!$H$32+K95*Scoring!$I$32+RB!L95*Scoring!$J$32+U93</f>
        <v>137.9</v>
      </c>
      <c r="N93" s="66">
        <f>C93*Scoring!$B$32+D93/Scoring!$C$32+E93*Scoring!$D$32+F93*Scoring!$E$32+G93/Scoring!$F$32+H93*Scoring!$G$32+I93*Scoring!$H$32+K93*Scoring!$I$32+RB!L93*Scoring!$J$32+U93</f>
        <v>157.98999999999998</v>
      </c>
      <c r="O93" s="66">
        <f>C94*Scoring!$B$32+D94/Scoring!$C$32+E94*Scoring!$D$32+F94*Scoring!$E$32+G94/Scoring!$F$32+H94*Scoring!$G$32+I94*Scoring!$H$32+K94*Scoring!$I$32+L94*Scoring!$J$32+U93</f>
        <v>179.42999999999998</v>
      </c>
      <c r="P93" s="20">
        <f>IF(COUNTIF(Rookies!$A:$A,A93)&gt;0,1,0)</f>
        <v>0</v>
      </c>
      <c r="S93" s="20">
        <f>V93/17</f>
        <v>9.2935294117647054</v>
      </c>
      <c r="T93" s="20">
        <f>IF(P93=1,MAX(0,0.258*(14.9-S93)),0)</f>
        <v>0</v>
      </c>
      <c r="U93" s="20">
        <f>T93*17</f>
        <v>0</v>
      </c>
      <c r="V93" s="20">
        <f>C93*Scoring!$B$32+D93/Scoring!$C$32+E93*Scoring!$D$32+F93*Scoring!$E$32+G93/Scoring!$F$32+H93*Scoring!$G$32+I93*Scoring!$H$32+K93*Scoring!$I$32+RB!L93*Scoring!$J$32</f>
        <v>157.98999999999998</v>
      </c>
      <c r="X93" s="20">
        <f t="shared" si="7"/>
        <v>1003.9</v>
      </c>
      <c r="Y93" s="20">
        <f t="shared" si="8"/>
        <v>6.8999999999999995</v>
      </c>
      <c r="Z93" s="20">
        <f t="shared" si="9"/>
        <v>145.49275362318841</v>
      </c>
    </row>
    <row r="94" spans="1:26" ht="14.25" customHeight="1" x14ac:dyDescent="0.3">
      <c r="B94" t="s">
        <v>472</v>
      </c>
      <c r="C94">
        <v>192</v>
      </c>
      <c r="D94">
        <v>767</v>
      </c>
      <c r="E94">
        <v>6</v>
      </c>
      <c r="F94">
        <v>41.1</v>
      </c>
      <c r="G94">
        <v>299.8</v>
      </c>
      <c r="H94">
        <v>3</v>
      </c>
      <c r="I94">
        <v>0.9</v>
      </c>
      <c r="J94">
        <v>179.5</v>
      </c>
      <c r="K94" s="64">
        <f t="shared" si="5"/>
        <v>42.611111111111107</v>
      </c>
      <c r="L94" s="64">
        <f t="shared" si="6"/>
        <v>14.179220125786161</v>
      </c>
      <c r="M94" s="66"/>
      <c r="N94" s="66"/>
      <c r="O94" s="66"/>
      <c r="X94" s="20">
        <f t="shared" si="7"/>
        <v>1066.8</v>
      </c>
      <c r="Y94" s="20">
        <f t="shared" si="8"/>
        <v>9</v>
      </c>
      <c r="Z94" s="20">
        <f t="shared" si="9"/>
        <v>118.53333333333333</v>
      </c>
    </row>
    <row r="95" spans="1:26" ht="14.25" customHeight="1" x14ac:dyDescent="0.3">
      <c r="B95" t="s">
        <v>473</v>
      </c>
      <c r="C95">
        <v>167</v>
      </c>
      <c r="D95">
        <v>712</v>
      </c>
      <c r="E95">
        <v>4.2</v>
      </c>
      <c r="F95">
        <v>33</v>
      </c>
      <c r="G95">
        <v>210</v>
      </c>
      <c r="H95">
        <v>1</v>
      </c>
      <c r="I95">
        <v>1</v>
      </c>
      <c r="J95">
        <v>140</v>
      </c>
      <c r="K95" s="64">
        <f t="shared" si="5"/>
        <v>39.55555555555555</v>
      </c>
      <c r="L95" s="64">
        <f t="shared" si="6"/>
        <v>9.9320754716981128</v>
      </c>
      <c r="M95" s="66"/>
      <c r="N95" s="66"/>
      <c r="O95" s="66"/>
      <c r="X95" s="20">
        <f t="shared" si="7"/>
        <v>922</v>
      </c>
      <c r="Y95" s="20">
        <f t="shared" si="8"/>
        <v>5.2</v>
      </c>
      <c r="Z95" s="20">
        <f t="shared" si="9"/>
        <v>177.30769230769229</v>
      </c>
    </row>
    <row r="96" spans="1:26" ht="14.25" customHeight="1" x14ac:dyDescent="0.3">
      <c r="A96" t="s">
        <v>652</v>
      </c>
      <c r="B96" t="s">
        <v>515</v>
      </c>
      <c r="C96">
        <v>193.1</v>
      </c>
      <c r="D96">
        <v>821.7</v>
      </c>
      <c r="E96">
        <v>6.8</v>
      </c>
      <c r="F96">
        <v>20.2</v>
      </c>
      <c r="G96">
        <v>158.4</v>
      </c>
      <c r="H96">
        <v>1</v>
      </c>
      <c r="I96">
        <v>1.8</v>
      </c>
      <c r="J96">
        <v>151.19999999999999</v>
      </c>
      <c r="K96" s="64">
        <f t="shared" si="5"/>
        <v>45.650000000000006</v>
      </c>
      <c r="L96" s="64">
        <f t="shared" si="6"/>
        <v>7.4916226415094345</v>
      </c>
      <c r="M96" s="66">
        <f>C98*Scoring!$B$32+D98/Scoring!$C$32+E98*Scoring!$D$32+F98*Scoring!$E$32+G98/Scoring!$F$32+H98*Scoring!$G$32+I98*Scoring!$H$32+K98*Scoring!$I$32+RB!L98*Scoring!$J$32+U96</f>
        <v>114.01</v>
      </c>
      <c r="N96" s="66">
        <f>C96*Scoring!$B$32+D96/Scoring!$C$32+E96*Scoring!$D$32+F96*Scoring!$E$32+G96/Scoring!$F$32+H96*Scoring!$G$32+I96*Scoring!$H$32+K96*Scoring!$I$32+RB!L96*Scoring!$J$32+U96</f>
        <v>151.31</v>
      </c>
      <c r="O96" s="66">
        <f>C97*Scoring!$B$32+D97/Scoring!$C$32+E97*Scoring!$D$32+F97*Scoring!$E$32+G97/Scoring!$F$32+H97*Scoring!$G$32+I97*Scoring!$H$32+K97*Scoring!$I$32+L97*Scoring!$J$32+U96</f>
        <v>187.99999999999997</v>
      </c>
      <c r="P96" s="20">
        <f>IF(COUNTIF(Rookies!$A:$A,A96)&gt;0,1,0)</f>
        <v>0</v>
      </c>
      <c r="S96" s="20">
        <f>V96/17</f>
        <v>8.9005882352941175</v>
      </c>
      <c r="T96" s="20">
        <f>IF(P96=1,MAX(0,0.258*(14.9-S96)),0)</f>
        <v>0</v>
      </c>
      <c r="U96" s="20">
        <f>T96*17</f>
        <v>0</v>
      </c>
      <c r="V96" s="20">
        <f>C96*Scoring!$B$32+D96/Scoring!$C$32+E96*Scoring!$D$32+F96*Scoring!$E$32+G96/Scoring!$F$32+H96*Scoring!$G$32+I96*Scoring!$H$32+K96*Scoring!$I$32+RB!L96*Scoring!$J$32</f>
        <v>151.31</v>
      </c>
      <c r="X96" s="20">
        <f t="shared" si="7"/>
        <v>980.1</v>
      </c>
      <c r="Y96" s="20">
        <f t="shared" si="8"/>
        <v>7.8</v>
      </c>
      <c r="Z96" s="20">
        <f t="shared" si="9"/>
        <v>125.65384615384616</v>
      </c>
    </row>
    <row r="97" spans="1:26" ht="14.25" customHeight="1" x14ac:dyDescent="0.3">
      <c r="B97" t="s">
        <v>472</v>
      </c>
      <c r="C97">
        <v>243</v>
      </c>
      <c r="D97">
        <v>1022</v>
      </c>
      <c r="E97">
        <v>8</v>
      </c>
      <c r="F97">
        <v>27</v>
      </c>
      <c r="G97">
        <v>197</v>
      </c>
      <c r="H97">
        <v>1</v>
      </c>
      <c r="I97">
        <v>0.7</v>
      </c>
      <c r="J97">
        <v>173.5</v>
      </c>
      <c r="K97" s="64">
        <f t="shared" si="5"/>
        <v>56.777777777777779</v>
      </c>
      <c r="L97" s="64">
        <f t="shared" si="6"/>
        <v>9.3172327044025156</v>
      </c>
      <c r="M97" s="66"/>
      <c r="N97" s="66"/>
      <c r="O97" s="66"/>
      <c r="X97" s="20">
        <f t="shared" si="7"/>
        <v>1219</v>
      </c>
      <c r="Y97" s="20">
        <f t="shared" si="8"/>
        <v>9</v>
      </c>
      <c r="Z97" s="20">
        <f t="shared" si="9"/>
        <v>135.44444444444446</v>
      </c>
    </row>
    <row r="98" spans="1:26" ht="14.25" customHeight="1" x14ac:dyDescent="0.3">
      <c r="B98" t="s">
        <v>473</v>
      </c>
      <c r="C98">
        <v>145.19999999999999</v>
      </c>
      <c r="D98">
        <v>621.1</v>
      </c>
      <c r="E98">
        <v>5.4</v>
      </c>
      <c r="F98">
        <v>13</v>
      </c>
      <c r="G98">
        <v>130</v>
      </c>
      <c r="H98">
        <v>1</v>
      </c>
      <c r="I98">
        <v>3</v>
      </c>
      <c r="J98">
        <v>124.2</v>
      </c>
      <c r="K98" s="64">
        <f t="shared" si="5"/>
        <v>34.505555555555553</v>
      </c>
      <c r="L98" s="64">
        <f t="shared" si="6"/>
        <v>6.1484276729559753</v>
      </c>
      <c r="M98" s="66"/>
      <c r="N98" s="66"/>
      <c r="O98" s="66"/>
      <c r="X98" s="20">
        <f t="shared" si="7"/>
        <v>751.1</v>
      </c>
      <c r="Y98" s="20">
        <f t="shared" si="8"/>
        <v>6.4</v>
      </c>
      <c r="Z98" s="20">
        <f t="shared" si="9"/>
        <v>117.359375</v>
      </c>
    </row>
    <row r="99" spans="1:26" ht="14.25" customHeight="1" x14ac:dyDescent="0.3">
      <c r="A99" t="s">
        <v>616</v>
      </c>
      <c r="B99" t="s">
        <v>521</v>
      </c>
      <c r="C99">
        <v>189.1</v>
      </c>
      <c r="D99">
        <v>781</v>
      </c>
      <c r="E99">
        <v>4.8</v>
      </c>
      <c r="F99">
        <v>30.9</v>
      </c>
      <c r="G99">
        <v>235.6</v>
      </c>
      <c r="H99">
        <v>1.1000000000000001</v>
      </c>
      <c r="I99">
        <v>1.5</v>
      </c>
      <c r="J99">
        <v>149.69999999999999</v>
      </c>
      <c r="K99" s="64">
        <f t="shared" si="5"/>
        <v>43.388888888888886</v>
      </c>
      <c r="L99" s="64">
        <f t="shared" si="6"/>
        <v>11.142842767295599</v>
      </c>
      <c r="M99" s="66">
        <f>C101*Scoring!$B$32+D101/Scoring!$C$32+E101*Scoring!$D$32+F101*Scoring!$E$32+G101/Scoring!$F$32+H101*Scoring!$G$32+I101*Scoring!$H$32+K101*Scoring!$I$32+RB!L101*Scoring!$J$32+U99</f>
        <v>122.5</v>
      </c>
      <c r="N99" s="66">
        <f>C99*Scoring!$B$32+D99/Scoring!$C$32+E99*Scoring!$D$32+F99*Scoring!$E$32+G99/Scoring!$F$32+H99*Scoring!$G$32+I99*Scoring!$H$32+K99*Scoring!$I$32+RB!L99*Scoring!$J$32+U99</f>
        <v>149.51</v>
      </c>
      <c r="O99" s="66">
        <f>C100*Scoring!$B$32+D100/Scoring!$C$32+E100*Scoring!$D$32+F100*Scoring!$E$32+G100/Scoring!$F$32+H100*Scoring!$G$32+I100*Scoring!$H$32+K100*Scoring!$I$32+L100*Scoring!$J$32+U99</f>
        <v>176.77</v>
      </c>
      <c r="P99" s="20">
        <f>IF(COUNTIF(Rookies!$A:$A,A99)&gt;0,1,0)</f>
        <v>0</v>
      </c>
      <c r="S99" s="20">
        <f>V99/17</f>
        <v>8.7947058823529414</v>
      </c>
      <c r="T99" s="20">
        <f>IF(P99=1,MAX(0,0.258*(14.9-S99)),0)</f>
        <v>0</v>
      </c>
      <c r="U99" s="20">
        <f>T99*17</f>
        <v>0</v>
      </c>
      <c r="V99" s="20">
        <f>C99*Scoring!$B$32+D99/Scoring!$C$32+E99*Scoring!$D$32+F99*Scoring!$E$32+G99/Scoring!$F$32+H99*Scoring!$G$32+I99*Scoring!$H$32+K99*Scoring!$I$32+RB!L99*Scoring!$J$32</f>
        <v>149.51</v>
      </c>
      <c r="X99" s="20">
        <f t="shared" si="7"/>
        <v>1016.6</v>
      </c>
      <c r="Y99" s="20">
        <f t="shared" si="8"/>
        <v>5.9</v>
      </c>
      <c r="Z99" s="20">
        <f t="shared" si="9"/>
        <v>172.30508474576271</v>
      </c>
    </row>
    <row r="100" spans="1:26" ht="14.25" customHeight="1" x14ac:dyDescent="0.3">
      <c r="B100" t="s">
        <v>472</v>
      </c>
      <c r="C100">
        <v>215</v>
      </c>
      <c r="D100">
        <v>880</v>
      </c>
      <c r="E100">
        <v>6</v>
      </c>
      <c r="F100">
        <v>36.6</v>
      </c>
      <c r="G100">
        <v>278.7</v>
      </c>
      <c r="H100">
        <v>1.4</v>
      </c>
      <c r="I100">
        <v>0.9</v>
      </c>
      <c r="J100">
        <v>158.69999999999999</v>
      </c>
      <c r="K100" s="64">
        <f t="shared" si="5"/>
        <v>48.888888888888893</v>
      </c>
      <c r="L100" s="64">
        <f t="shared" si="6"/>
        <v>13.181283018867923</v>
      </c>
      <c r="M100" s="66"/>
      <c r="N100" s="66"/>
      <c r="O100" s="66"/>
      <c r="X100" s="20">
        <f t="shared" si="7"/>
        <v>1158.7</v>
      </c>
      <c r="Y100" s="20">
        <f t="shared" si="8"/>
        <v>7.4</v>
      </c>
      <c r="Z100" s="20">
        <f t="shared" si="9"/>
        <v>156.58108108108107</v>
      </c>
    </row>
    <row r="101" spans="1:26" ht="14.25" customHeight="1" x14ac:dyDescent="0.3">
      <c r="B101" t="s">
        <v>473</v>
      </c>
      <c r="C101">
        <v>158</v>
      </c>
      <c r="D101">
        <v>646</v>
      </c>
      <c r="E101">
        <v>4</v>
      </c>
      <c r="F101">
        <v>24</v>
      </c>
      <c r="G101">
        <v>199</v>
      </c>
      <c r="H101">
        <v>1</v>
      </c>
      <c r="I101">
        <v>2</v>
      </c>
      <c r="J101">
        <v>145.4</v>
      </c>
      <c r="K101" s="64">
        <f t="shared" si="5"/>
        <v>35.888888888888886</v>
      </c>
      <c r="L101" s="64">
        <f t="shared" si="6"/>
        <v>9.4118238993710683</v>
      </c>
      <c r="M101" s="66"/>
      <c r="N101" s="66"/>
      <c r="O101" s="66"/>
      <c r="X101" s="20">
        <f t="shared" si="7"/>
        <v>845</v>
      </c>
      <c r="Y101" s="20">
        <f t="shared" si="8"/>
        <v>5</v>
      </c>
      <c r="Z101" s="20">
        <f t="shared" si="9"/>
        <v>169</v>
      </c>
    </row>
    <row r="102" spans="1:26" ht="14.25" customHeight="1" x14ac:dyDescent="0.3">
      <c r="A102" t="s">
        <v>619</v>
      </c>
      <c r="B102" t="s">
        <v>507</v>
      </c>
      <c r="C102">
        <v>116.6</v>
      </c>
      <c r="D102">
        <v>512.1</v>
      </c>
      <c r="E102">
        <v>4.2</v>
      </c>
      <c r="F102">
        <v>49.7</v>
      </c>
      <c r="G102">
        <v>351.6</v>
      </c>
      <c r="H102">
        <v>2</v>
      </c>
      <c r="I102">
        <v>0.9</v>
      </c>
      <c r="J102">
        <v>146.69999999999999</v>
      </c>
      <c r="K102" s="64">
        <f t="shared" si="5"/>
        <v>28.450000000000003</v>
      </c>
      <c r="L102" s="64">
        <f t="shared" si="6"/>
        <v>16.629132075471698</v>
      </c>
      <c r="M102" s="66">
        <f>C104*Scoring!$B$32+D104/Scoring!$C$32+E104*Scoring!$D$32+F104*Scoring!$E$32+G104/Scoring!$F$32+H104*Scoring!$G$32+I104*Scoring!$H$32+K104*Scoring!$I$32+RB!L104*Scoring!$J$32+U102</f>
        <v>127.9</v>
      </c>
      <c r="N102" s="66">
        <f>C102*Scoring!$B$32+D102/Scoring!$C$32+E102*Scoring!$D$32+F102*Scoring!$E$32+G102/Scoring!$F$32+H102*Scoring!$G$32+I102*Scoring!$H$32+K102*Scoring!$I$32+RB!L102*Scoring!$J$32+U102</f>
        <v>146.61999999999998</v>
      </c>
      <c r="O102" s="66">
        <f>C103*Scoring!$B$32+D103/Scoring!$C$32+E103*Scoring!$D$32+F103*Scoring!$E$32+G103/Scoring!$F$32+H103*Scoring!$G$32+I103*Scoring!$H$32+K103*Scoring!$I$32+L103*Scoring!$J$32+U102</f>
        <v>165.4</v>
      </c>
      <c r="P102" s="20">
        <f>IF(COUNTIF(Rookies!$A:$A,A102)&gt;0,1,0)</f>
        <v>0</v>
      </c>
      <c r="S102" s="20">
        <f>V102/17</f>
        <v>8.6247058823529397</v>
      </c>
      <c r="T102" s="20">
        <f>IF(P102=1,MAX(0,0.258*(14.9-S102)),0)</f>
        <v>0</v>
      </c>
      <c r="U102" s="20">
        <f>T102*17</f>
        <v>0</v>
      </c>
      <c r="V102" s="20">
        <f>C102*Scoring!$B$32+D102/Scoring!$C$32+E102*Scoring!$D$32+F102*Scoring!$E$32+G102/Scoring!$F$32+H102*Scoring!$G$32+I102*Scoring!$H$32+K102*Scoring!$I$32+RB!L102*Scoring!$J$32</f>
        <v>146.61999999999998</v>
      </c>
      <c r="X102" s="20">
        <f t="shared" si="7"/>
        <v>863.7</v>
      </c>
      <c r="Y102" s="20">
        <f t="shared" si="8"/>
        <v>6.2</v>
      </c>
      <c r="Z102" s="20">
        <f t="shared" si="9"/>
        <v>139.30645161290323</v>
      </c>
    </row>
    <row r="103" spans="1:26" ht="14.25" customHeight="1" x14ac:dyDescent="0.3">
      <c r="B103" t="s">
        <v>472</v>
      </c>
      <c r="C103">
        <v>123</v>
      </c>
      <c r="D103">
        <v>536</v>
      </c>
      <c r="E103">
        <v>4.5999999999999996</v>
      </c>
      <c r="F103">
        <v>60</v>
      </c>
      <c r="G103">
        <v>438</v>
      </c>
      <c r="H103">
        <v>2</v>
      </c>
      <c r="I103">
        <v>0.8</v>
      </c>
      <c r="J103">
        <v>154.80000000000001</v>
      </c>
      <c r="K103" s="64">
        <f t="shared" si="5"/>
        <v>29.777777777777779</v>
      </c>
      <c r="L103" s="64">
        <f t="shared" si="6"/>
        <v>20.715471698113205</v>
      </c>
      <c r="M103" s="66"/>
      <c r="N103" s="66"/>
      <c r="O103" s="66"/>
      <c r="X103" s="20">
        <f t="shared" si="7"/>
        <v>974</v>
      </c>
      <c r="Y103" s="20">
        <f t="shared" si="8"/>
        <v>6.6</v>
      </c>
      <c r="Z103" s="20">
        <f t="shared" si="9"/>
        <v>147.57575757575759</v>
      </c>
    </row>
    <row r="104" spans="1:26" ht="14.25" customHeight="1" x14ac:dyDescent="0.3">
      <c r="B104" t="s">
        <v>473</v>
      </c>
      <c r="C104">
        <v>109</v>
      </c>
      <c r="D104">
        <v>479</v>
      </c>
      <c r="E104">
        <v>4</v>
      </c>
      <c r="F104">
        <v>37</v>
      </c>
      <c r="G104">
        <v>275</v>
      </c>
      <c r="H104">
        <v>2</v>
      </c>
      <c r="I104">
        <v>1</v>
      </c>
      <c r="J104">
        <v>139.9</v>
      </c>
      <c r="K104" s="64">
        <f t="shared" si="5"/>
        <v>26.611111111111107</v>
      </c>
      <c r="L104" s="64">
        <f t="shared" si="6"/>
        <v>13.0062893081761</v>
      </c>
      <c r="M104" s="66"/>
      <c r="N104" s="66"/>
      <c r="O104" s="66"/>
      <c r="X104" s="20">
        <f t="shared" si="7"/>
        <v>754</v>
      </c>
      <c r="Y104" s="20">
        <f t="shared" si="8"/>
        <v>6</v>
      </c>
      <c r="Z104" s="20">
        <f t="shared" si="9"/>
        <v>125.66666666666667</v>
      </c>
    </row>
    <row r="105" spans="1:26" ht="14.25" customHeight="1" x14ac:dyDescent="0.3">
      <c r="A105" t="s">
        <v>617</v>
      </c>
      <c r="B105" t="s">
        <v>495</v>
      </c>
      <c r="C105">
        <v>190.5</v>
      </c>
      <c r="D105">
        <v>814.4</v>
      </c>
      <c r="E105">
        <v>5.0999999999999996</v>
      </c>
      <c r="F105">
        <v>23</v>
      </c>
      <c r="G105">
        <v>195.2</v>
      </c>
      <c r="H105">
        <v>0.4</v>
      </c>
      <c r="I105">
        <v>0.7</v>
      </c>
      <c r="J105">
        <v>144.5</v>
      </c>
      <c r="K105" s="64">
        <f t="shared" si="5"/>
        <v>45.244444444444447</v>
      </c>
      <c r="L105" s="64">
        <f t="shared" si="6"/>
        <v>9.2321006289308176</v>
      </c>
      <c r="M105" s="66">
        <f>C107*Scoring!$B$32+D107/Scoring!$C$32+E107*Scoring!$D$32+F107*Scoring!$E$32+G107/Scoring!$F$32+H107*Scoring!$G$32+I107*Scoring!$H$32+K107*Scoring!$I$32+RB!L107*Scoring!$J$32+U105</f>
        <v>125.7</v>
      </c>
      <c r="N105" s="66">
        <f>C105*Scoring!$B$32+D105/Scoring!$C$32+E105*Scoring!$D$32+F105*Scoring!$E$32+G105/Scoring!$F$32+H105*Scoring!$G$32+I105*Scoring!$H$32+K105*Scoring!$I$32+RB!L105*Scoring!$J$32+U105</f>
        <v>144.06</v>
      </c>
      <c r="O105" s="66">
        <f>C106*Scoring!$B$32+D106/Scoring!$C$32+E106*Scoring!$D$32+F106*Scoring!$E$32+G106/Scoring!$F$32+H106*Scoring!$G$32+I106*Scoring!$H$32+K106*Scoring!$I$32+L106*Scoring!$J$32+U105</f>
        <v>165.42</v>
      </c>
      <c r="P105" s="20">
        <f>IF(COUNTIF(Rookies!$A:$A,A105)&gt;0,1,0)</f>
        <v>0</v>
      </c>
      <c r="S105" s="20">
        <f>V105/17</f>
        <v>8.474117647058824</v>
      </c>
      <c r="T105" s="20">
        <f>IF(P105=1,MAX(0,0.258*(14.9-S105)),0)</f>
        <v>0</v>
      </c>
      <c r="U105" s="20">
        <f>T105*17</f>
        <v>0</v>
      </c>
      <c r="V105" s="20">
        <f>C105*Scoring!$B$32+D105/Scoring!$C$32+E105*Scoring!$D$32+F105*Scoring!$E$32+G105/Scoring!$F$32+H105*Scoring!$G$32+I105*Scoring!$H$32+K105*Scoring!$I$32+RB!L105*Scoring!$J$32</f>
        <v>144.06</v>
      </c>
      <c r="X105" s="20">
        <f t="shared" si="7"/>
        <v>1009.5999999999999</v>
      </c>
      <c r="Y105" s="20">
        <f t="shared" si="8"/>
        <v>5.5</v>
      </c>
      <c r="Z105" s="20">
        <f t="shared" si="9"/>
        <v>183.56363636363633</v>
      </c>
    </row>
    <row r="106" spans="1:26" ht="14.25" customHeight="1" x14ac:dyDescent="0.3">
      <c r="B106" t="s">
        <v>472</v>
      </c>
      <c r="C106">
        <v>206</v>
      </c>
      <c r="D106">
        <v>855</v>
      </c>
      <c r="E106">
        <v>6.4</v>
      </c>
      <c r="F106">
        <v>25.9</v>
      </c>
      <c r="G106">
        <v>215.7</v>
      </c>
      <c r="H106">
        <v>1.3</v>
      </c>
      <c r="I106">
        <v>0.4</v>
      </c>
      <c r="J106">
        <v>160.80000000000001</v>
      </c>
      <c r="K106" s="64">
        <f t="shared" si="5"/>
        <v>47.5</v>
      </c>
      <c r="L106" s="64">
        <f t="shared" si="6"/>
        <v>10.20166037735849</v>
      </c>
      <c r="M106" s="66"/>
      <c r="N106" s="66"/>
      <c r="O106" s="66"/>
      <c r="X106" s="20">
        <f t="shared" si="7"/>
        <v>1070.7</v>
      </c>
      <c r="Y106" s="20">
        <f t="shared" si="8"/>
        <v>7.7</v>
      </c>
      <c r="Z106" s="20">
        <f t="shared" si="9"/>
        <v>139.05194805194805</v>
      </c>
    </row>
    <row r="107" spans="1:26" ht="14.25" customHeight="1" x14ac:dyDescent="0.3">
      <c r="B107" t="s">
        <v>473</v>
      </c>
      <c r="C107">
        <v>176</v>
      </c>
      <c r="D107">
        <v>775</v>
      </c>
      <c r="E107">
        <v>4</v>
      </c>
      <c r="F107">
        <v>20</v>
      </c>
      <c r="G107">
        <v>162</v>
      </c>
      <c r="H107">
        <v>0</v>
      </c>
      <c r="I107">
        <v>1</v>
      </c>
      <c r="J107">
        <v>130.5</v>
      </c>
      <c r="K107" s="64">
        <f t="shared" si="5"/>
        <v>43.05555555555555</v>
      </c>
      <c r="L107" s="64">
        <f t="shared" si="6"/>
        <v>7.6618867924528296</v>
      </c>
      <c r="M107" s="66"/>
      <c r="N107" s="66"/>
      <c r="O107" s="66"/>
      <c r="X107" s="20">
        <f t="shared" si="7"/>
        <v>937</v>
      </c>
      <c r="Y107" s="20">
        <f t="shared" si="8"/>
        <v>4</v>
      </c>
      <c r="Z107" s="20">
        <f t="shared" si="9"/>
        <v>234.25</v>
      </c>
    </row>
    <row r="108" spans="1:26" ht="14.25" customHeight="1" x14ac:dyDescent="0.3">
      <c r="A108" t="s">
        <v>618</v>
      </c>
      <c r="B108" t="s">
        <v>479</v>
      </c>
      <c r="C108">
        <v>137</v>
      </c>
      <c r="D108">
        <v>605.20000000000005</v>
      </c>
      <c r="E108">
        <v>5.4</v>
      </c>
      <c r="F108">
        <v>35.700000000000003</v>
      </c>
      <c r="G108">
        <v>247.7</v>
      </c>
      <c r="H108">
        <v>1.6</v>
      </c>
      <c r="I108">
        <v>0.8</v>
      </c>
      <c r="J108">
        <v>143.19999999999999</v>
      </c>
      <c r="K108" s="64">
        <f t="shared" si="5"/>
        <v>33.622222222222227</v>
      </c>
      <c r="L108" s="64">
        <f t="shared" si="6"/>
        <v>11.715119496855346</v>
      </c>
      <c r="M108" s="66">
        <f>C110*Scoring!$B$32+D110/Scoring!$C$32+E110*Scoring!$D$32+F110*Scoring!$E$32+G110/Scoring!$F$32+H110*Scoring!$G$32+I110*Scoring!$H$32+K110*Scoring!$I$32+RB!L110*Scoring!$J$32+U108</f>
        <v>117.10000000000001</v>
      </c>
      <c r="N108" s="66">
        <f>C108*Scoring!$B$32+D108/Scoring!$C$32+E108*Scoring!$D$32+F108*Scoring!$E$32+G108/Scoring!$F$32+H108*Scoring!$G$32+I108*Scoring!$H$32+K108*Scoring!$I$32+RB!L108*Scoring!$J$32+U108</f>
        <v>143.54000000000002</v>
      </c>
      <c r="O108" s="66">
        <f>C109*Scoring!$B$32+D109/Scoring!$C$32+E109*Scoring!$D$32+F109*Scoring!$E$32+G109/Scoring!$F$32+H109*Scoring!$G$32+I109*Scoring!$H$32+K109*Scoring!$I$32+L109*Scoring!$J$32+U108</f>
        <v>169.8</v>
      </c>
      <c r="P108" s="20">
        <f>IF(COUNTIF(Rookies!$A:$A,A108)&gt;0,1,0)</f>
        <v>0</v>
      </c>
      <c r="S108" s="20">
        <f>V108/17</f>
        <v>8.4435294117647075</v>
      </c>
      <c r="T108" s="20">
        <f>IF(P108=1,MAX(0,0.258*(14.9-S108)),0)</f>
        <v>0</v>
      </c>
      <c r="U108" s="20">
        <f>T108*17</f>
        <v>0</v>
      </c>
      <c r="V108" s="20">
        <f>C108*Scoring!$B$32+D108/Scoring!$C$32+E108*Scoring!$D$32+F108*Scoring!$E$32+G108/Scoring!$F$32+H108*Scoring!$G$32+I108*Scoring!$H$32+K108*Scoring!$I$32+RB!L108*Scoring!$J$32</f>
        <v>143.54000000000002</v>
      </c>
      <c r="X108" s="20">
        <f t="shared" si="7"/>
        <v>852.90000000000009</v>
      </c>
      <c r="Y108" s="20">
        <f t="shared" si="8"/>
        <v>7</v>
      </c>
      <c r="Z108" s="20">
        <f t="shared" si="9"/>
        <v>121.84285714285716</v>
      </c>
    </row>
    <row r="109" spans="1:26" ht="14.25" customHeight="1" x14ac:dyDescent="0.3">
      <c r="B109" t="s">
        <v>472</v>
      </c>
      <c r="C109">
        <v>145</v>
      </c>
      <c r="D109">
        <v>710</v>
      </c>
      <c r="E109">
        <v>6</v>
      </c>
      <c r="F109">
        <v>42</v>
      </c>
      <c r="G109">
        <v>310</v>
      </c>
      <c r="H109">
        <v>2</v>
      </c>
      <c r="I109">
        <v>0.6</v>
      </c>
      <c r="J109">
        <v>165.8</v>
      </c>
      <c r="K109" s="64">
        <f t="shared" si="5"/>
        <v>39.444444444444436</v>
      </c>
      <c r="L109" s="64">
        <f t="shared" si="6"/>
        <v>14.661635220125786</v>
      </c>
      <c r="M109" s="66"/>
      <c r="N109" s="66"/>
      <c r="O109" s="66"/>
      <c r="X109" s="20">
        <f t="shared" si="7"/>
        <v>1020</v>
      </c>
      <c r="Y109" s="20">
        <f t="shared" si="8"/>
        <v>8</v>
      </c>
      <c r="Z109" s="20">
        <f t="shared" si="9"/>
        <v>127.5</v>
      </c>
    </row>
    <row r="110" spans="1:26" ht="14.25" customHeight="1" x14ac:dyDescent="0.3">
      <c r="B110" t="s">
        <v>473</v>
      </c>
      <c r="C110">
        <v>131</v>
      </c>
      <c r="D110">
        <v>539</v>
      </c>
      <c r="E110">
        <v>5</v>
      </c>
      <c r="F110">
        <v>25</v>
      </c>
      <c r="G110">
        <v>167</v>
      </c>
      <c r="H110">
        <v>1</v>
      </c>
      <c r="I110">
        <v>1</v>
      </c>
      <c r="J110">
        <v>127.9</v>
      </c>
      <c r="K110" s="64">
        <f t="shared" si="5"/>
        <v>29.944444444444443</v>
      </c>
      <c r="L110" s="64">
        <f t="shared" si="6"/>
        <v>7.8983647798742131</v>
      </c>
      <c r="M110" s="66"/>
      <c r="N110" s="66"/>
      <c r="O110" s="66"/>
      <c r="X110" s="20">
        <f t="shared" si="7"/>
        <v>706</v>
      </c>
      <c r="Y110" s="20">
        <f t="shared" si="8"/>
        <v>6</v>
      </c>
      <c r="Z110" s="20">
        <f t="shared" si="9"/>
        <v>117.66666666666667</v>
      </c>
    </row>
    <row r="111" spans="1:26" ht="14.25" customHeight="1" x14ac:dyDescent="0.3">
      <c r="A111" t="s">
        <v>621</v>
      </c>
      <c r="B111" t="s">
        <v>509</v>
      </c>
      <c r="C111">
        <v>150.30000000000001</v>
      </c>
      <c r="D111">
        <v>640.79999999999995</v>
      </c>
      <c r="E111">
        <v>3.1</v>
      </c>
      <c r="F111">
        <v>40.799999999999997</v>
      </c>
      <c r="G111">
        <v>301.60000000000002</v>
      </c>
      <c r="H111">
        <v>1.7</v>
      </c>
      <c r="I111">
        <v>1</v>
      </c>
      <c r="J111">
        <v>141.30000000000001</v>
      </c>
      <c r="K111" s="64">
        <f t="shared" si="5"/>
        <v>35.599999999999994</v>
      </c>
      <c r="L111" s="64">
        <f t="shared" si="6"/>
        <v>14.264352201257861</v>
      </c>
      <c r="M111" s="66">
        <f>C113*Scoring!$B$32+D113/Scoring!$C$32+E113*Scoring!$D$32+F113*Scoring!$E$32+G113/Scoring!$F$32+H113*Scoring!$G$32+I113*Scoring!$H$32+K113*Scoring!$I$32+RB!L113*Scoring!$J$32+U111</f>
        <v>127.5</v>
      </c>
      <c r="N111" s="66">
        <f>C111*Scoring!$B$32+D111/Scoring!$C$32+E111*Scoring!$D$32+F111*Scoring!$E$32+G111/Scoring!$F$32+H111*Scoring!$G$32+I111*Scoring!$H$32+K111*Scoring!$I$32+RB!L111*Scoring!$J$32+U111</f>
        <v>141.44</v>
      </c>
      <c r="O111" s="66">
        <f>C112*Scoring!$B$32+D112/Scoring!$C$32+E112*Scoring!$D$32+F112*Scoring!$E$32+G112/Scoring!$F$32+H112*Scoring!$G$32+I112*Scoring!$H$32+K112*Scoring!$I$32+L112*Scoring!$J$32+U111</f>
        <v>155.12999999999997</v>
      </c>
      <c r="P111" s="20">
        <f>IF(COUNTIF(Rookies!$A:$A,A111)&gt;0,1,0)</f>
        <v>0</v>
      </c>
      <c r="S111" s="20">
        <f>V111/17</f>
        <v>8.32</v>
      </c>
      <c r="T111" s="20">
        <f>IF(P111=1,MAX(0,0.258*(14.9-S111)),0)</f>
        <v>0</v>
      </c>
      <c r="U111" s="20">
        <f>T111*17</f>
        <v>0</v>
      </c>
      <c r="V111" s="20">
        <f>C111*Scoring!$B$32+D111/Scoring!$C$32+E111*Scoring!$D$32+F111*Scoring!$E$32+G111/Scoring!$F$32+H111*Scoring!$G$32+I111*Scoring!$H$32+K111*Scoring!$I$32+RB!L111*Scoring!$J$32</f>
        <v>141.44</v>
      </c>
      <c r="X111" s="20">
        <f t="shared" si="7"/>
        <v>942.4</v>
      </c>
      <c r="Y111" s="20">
        <f t="shared" si="8"/>
        <v>4.8</v>
      </c>
      <c r="Z111" s="20">
        <f t="shared" si="9"/>
        <v>196.33333333333334</v>
      </c>
    </row>
    <row r="112" spans="1:26" ht="14.25" customHeight="1" x14ac:dyDescent="0.3">
      <c r="B112" t="s">
        <v>472</v>
      </c>
      <c r="C112">
        <v>158</v>
      </c>
      <c r="D112">
        <v>666</v>
      </c>
      <c r="E112">
        <v>3.3</v>
      </c>
      <c r="F112">
        <v>47.3</v>
      </c>
      <c r="G112">
        <v>344.8</v>
      </c>
      <c r="H112">
        <v>2.1</v>
      </c>
      <c r="I112">
        <v>1</v>
      </c>
      <c r="J112">
        <v>151.1</v>
      </c>
      <c r="K112" s="64">
        <f t="shared" si="5"/>
        <v>37.000000000000007</v>
      </c>
      <c r="L112" s="64">
        <f t="shared" si="6"/>
        <v>16.307522012578616</v>
      </c>
      <c r="M112" s="66"/>
      <c r="N112" s="66"/>
      <c r="O112" s="66"/>
      <c r="X112" s="20">
        <f t="shared" si="7"/>
        <v>1010.8</v>
      </c>
      <c r="Y112" s="20">
        <f t="shared" si="8"/>
        <v>5.4</v>
      </c>
      <c r="Z112" s="20">
        <f t="shared" si="9"/>
        <v>187.18518518518516</v>
      </c>
    </row>
    <row r="113" spans="1:26" ht="14.25" customHeight="1" x14ac:dyDescent="0.3">
      <c r="B113" t="s">
        <v>473</v>
      </c>
      <c r="C113">
        <v>143</v>
      </c>
      <c r="D113">
        <v>602</v>
      </c>
      <c r="E113">
        <v>3</v>
      </c>
      <c r="F113">
        <v>37</v>
      </c>
      <c r="G113">
        <v>268</v>
      </c>
      <c r="H113">
        <v>1</v>
      </c>
      <c r="I113">
        <v>1</v>
      </c>
      <c r="J113">
        <v>127.4</v>
      </c>
      <c r="K113" s="64">
        <f t="shared" si="5"/>
        <v>33.444444444444443</v>
      </c>
      <c r="L113" s="64">
        <f t="shared" si="6"/>
        <v>12.675220125786163</v>
      </c>
      <c r="M113" s="66"/>
      <c r="N113" s="66"/>
      <c r="O113" s="66"/>
      <c r="X113" s="20">
        <f t="shared" si="7"/>
        <v>870</v>
      </c>
      <c r="Y113" s="20">
        <f t="shared" si="8"/>
        <v>4</v>
      </c>
      <c r="Z113" s="20">
        <f t="shared" si="9"/>
        <v>217.5</v>
      </c>
    </row>
    <row r="114" spans="1:26" ht="14.25" customHeight="1" x14ac:dyDescent="0.3">
      <c r="A114" t="s">
        <v>620</v>
      </c>
      <c r="B114" t="s">
        <v>479</v>
      </c>
      <c r="C114">
        <v>185.1</v>
      </c>
      <c r="D114">
        <v>831</v>
      </c>
      <c r="E114">
        <v>7.5</v>
      </c>
      <c r="F114">
        <v>12.3</v>
      </c>
      <c r="G114">
        <v>91.2</v>
      </c>
      <c r="H114">
        <v>0.2</v>
      </c>
      <c r="I114">
        <v>1.8</v>
      </c>
      <c r="J114">
        <v>141.1</v>
      </c>
      <c r="K114" s="64">
        <f t="shared" si="5"/>
        <v>46.166666666666664</v>
      </c>
      <c r="L114" s="64">
        <f t="shared" si="6"/>
        <v>4.3133584905660376</v>
      </c>
      <c r="M114" s="66">
        <f>C116*Scoring!$B$32+D116/Scoring!$C$32+E116*Scoring!$D$32+F116*Scoring!$E$32+G116/Scoring!$F$32+H116*Scoring!$G$32+I116*Scoring!$H$32+K116*Scoring!$I$32+RB!L116*Scoring!$J$32+U114</f>
        <v>128.4</v>
      </c>
      <c r="N114" s="66">
        <f>C114*Scoring!$B$32+D114/Scoring!$C$32+E114*Scoring!$D$32+F114*Scoring!$E$32+G114/Scoring!$F$32+H114*Scoring!$G$32+I114*Scoring!$H$32+K114*Scoring!$I$32+RB!L114*Scoring!$J$32+U114</f>
        <v>140.97</v>
      </c>
      <c r="O114" s="66">
        <f>C115*Scoring!$B$32+D115/Scoring!$C$32+E115*Scoring!$D$32+F115*Scoring!$E$32+G115/Scoring!$F$32+H115*Scoring!$G$32+I115*Scoring!$H$32+K115*Scoring!$I$32+L115*Scoring!$J$32+U114</f>
        <v>154.97</v>
      </c>
      <c r="P114" s="20">
        <f>IF(COUNTIF(Rookies!$A:$A,A114)&gt;0,1,0)</f>
        <v>0</v>
      </c>
      <c r="S114" s="20">
        <f>V114/17</f>
        <v>8.2923529411764711</v>
      </c>
      <c r="T114" s="20">
        <f>IF(P114=1,MAX(0,0.258*(14.9-S114)),0)</f>
        <v>0</v>
      </c>
      <c r="U114" s="20">
        <f>T114*17</f>
        <v>0</v>
      </c>
      <c r="V114" s="20">
        <f>C114*Scoring!$B$32+D114/Scoring!$C$32+E114*Scoring!$D$32+F114*Scoring!$E$32+G114/Scoring!$F$32+H114*Scoring!$G$32+I114*Scoring!$H$32+K114*Scoring!$I$32+RB!L114*Scoring!$J$32</f>
        <v>140.97</v>
      </c>
      <c r="X114" s="20">
        <f t="shared" si="7"/>
        <v>922.2</v>
      </c>
      <c r="Y114" s="20">
        <f t="shared" si="8"/>
        <v>7.7</v>
      </c>
      <c r="Z114" s="20">
        <f t="shared" si="9"/>
        <v>119.76623376623377</v>
      </c>
    </row>
    <row r="115" spans="1:26" ht="14.25" customHeight="1" x14ac:dyDescent="0.3">
      <c r="B115" t="s">
        <v>472</v>
      </c>
      <c r="C115">
        <v>196.2</v>
      </c>
      <c r="D115">
        <v>859</v>
      </c>
      <c r="E115">
        <v>8</v>
      </c>
      <c r="F115">
        <v>16</v>
      </c>
      <c r="G115">
        <v>118.7</v>
      </c>
      <c r="H115">
        <v>0.7</v>
      </c>
      <c r="I115">
        <v>1.5</v>
      </c>
      <c r="J115">
        <v>149.19999999999999</v>
      </c>
      <c r="K115" s="64">
        <f t="shared" si="5"/>
        <v>47.722222222222221</v>
      </c>
      <c r="L115" s="64">
        <f t="shared" si="6"/>
        <v>5.6139874213836478</v>
      </c>
      <c r="M115" s="66"/>
      <c r="N115" s="66"/>
      <c r="O115" s="66"/>
      <c r="X115" s="20">
        <f t="shared" si="7"/>
        <v>977.7</v>
      </c>
      <c r="Y115" s="20">
        <f t="shared" si="8"/>
        <v>8.6999999999999993</v>
      </c>
      <c r="Z115" s="20">
        <f t="shared" si="9"/>
        <v>112.3793103448276</v>
      </c>
    </row>
    <row r="116" spans="1:26" ht="14.25" customHeight="1" x14ac:dyDescent="0.3">
      <c r="B116" t="s">
        <v>473</v>
      </c>
      <c r="C116">
        <v>179</v>
      </c>
      <c r="D116">
        <v>788</v>
      </c>
      <c r="E116">
        <v>7</v>
      </c>
      <c r="F116">
        <v>9</v>
      </c>
      <c r="G116">
        <v>71</v>
      </c>
      <c r="H116">
        <v>0</v>
      </c>
      <c r="I116">
        <v>2</v>
      </c>
      <c r="J116">
        <v>131.19999999999999</v>
      </c>
      <c r="K116" s="64">
        <f t="shared" si="5"/>
        <v>43.777777777777779</v>
      </c>
      <c r="L116" s="64">
        <f t="shared" si="6"/>
        <v>3.357987421383648</v>
      </c>
      <c r="M116" s="66"/>
      <c r="N116" s="66"/>
      <c r="O116" s="66"/>
      <c r="X116" s="20">
        <f t="shared" si="7"/>
        <v>859</v>
      </c>
      <c r="Y116" s="20">
        <f t="shared" si="8"/>
        <v>7</v>
      </c>
      <c r="Z116" s="20">
        <f t="shared" si="9"/>
        <v>122.71428571428571</v>
      </c>
    </row>
    <row r="117" spans="1:26" ht="14.25" customHeight="1" x14ac:dyDescent="0.3">
      <c r="A117" t="s">
        <v>622</v>
      </c>
      <c r="B117" t="s">
        <v>499</v>
      </c>
      <c r="C117">
        <v>107.6</v>
      </c>
      <c r="D117">
        <v>406.2</v>
      </c>
      <c r="E117">
        <v>4</v>
      </c>
      <c r="F117">
        <v>45.9</v>
      </c>
      <c r="G117">
        <v>341.5</v>
      </c>
      <c r="H117">
        <v>3.2</v>
      </c>
      <c r="I117">
        <v>0.7</v>
      </c>
      <c r="J117">
        <v>139.1</v>
      </c>
      <c r="K117" s="64">
        <f t="shared" si="5"/>
        <v>22.566666666666666</v>
      </c>
      <c r="L117" s="64">
        <f t="shared" si="6"/>
        <v>16.151446540880499</v>
      </c>
      <c r="M117" s="66">
        <f>C119*Scoring!$B$32+D119/Scoring!$C$32+E119*Scoring!$D$32+F119*Scoring!$E$32+G119/Scoring!$F$32+H119*Scoring!$G$32+I119*Scoring!$H$32+K119*Scoring!$I$32+RB!L119*Scoring!$J$32+U117</f>
        <v>117.16</v>
      </c>
      <c r="N117" s="66">
        <f>C117*Scoring!$B$32+D117/Scoring!$C$32+E117*Scoring!$D$32+F117*Scoring!$E$32+G117/Scoring!$F$32+H117*Scoring!$G$32+I117*Scoring!$H$32+K117*Scoring!$I$32+RB!L117*Scoring!$J$32+U117</f>
        <v>139.52000000000001</v>
      </c>
      <c r="O117" s="66">
        <f>C118*Scoring!$B$32+D118/Scoring!$C$32+E118*Scoring!$D$32+F118*Scoring!$E$32+G118/Scoring!$F$32+H118*Scoring!$G$32+I118*Scoring!$H$32+K118*Scoring!$I$32+L118*Scoring!$J$32+U117</f>
        <v>173.2</v>
      </c>
      <c r="P117" s="20">
        <f>IF(COUNTIF(Rookies!$A:$A,A117)&gt;0,1,0)</f>
        <v>0</v>
      </c>
      <c r="S117" s="20">
        <f>V117/17</f>
        <v>8.2070588235294117</v>
      </c>
      <c r="T117" s="20">
        <f>IF(P117=1,MAX(0,0.258*(14.9-S117)),0)</f>
        <v>0</v>
      </c>
      <c r="U117" s="20">
        <f>T117*17</f>
        <v>0</v>
      </c>
      <c r="V117" s="20">
        <f>C117*Scoring!$B$32+D117/Scoring!$C$32+E117*Scoring!$D$32+F117*Scoring!$E$32+G117/Scoring!$F$32+H117*Scoring!$G$32+I117*Scoring!$H$32+K117*Scoring!$I$32+RB!L117*Scoring!$J$32</f>
        <v>139.52000000000001</v>
      </c>
      <c r="X117" s="20">
        <f t="shared" si="7"/>
        <v>747.7</v>
      </c>
      <c r="Y117" s="20">
        <f t="shared" si="8"/>
        <v>7.2</v>
      </c>
      <c r="Z117" s="20">
        <f t="shared" si="9"/>
        <v>103.84722222222223</v>
      </c>
    </row>
    <row r="118" spans="1:26" ht="14.25" customHeight="1" x14ac:dyDescent="0.3">
      <c r="B118" t="s">
        <v>472</v>
      </c>
      <c r="C118">
        <v>149</v>
      </c>
      <c r="D118">
        <v>530</v>
      </c>
      <c r="E118">
        <v>6</v>
      </c>
      <c r="F118">
        <v>48.7</v>
      </c>
      <c r="G118">
        <v>366.5</v>
      </c>
      <c r="H118">
        <v>4</v>
      </c>
      <c r="I118">
        <v>0.4</v>
      </c>
      <c r="J118">
        <v>151</v>
      </c>
      <c r="K118" s="64">
        <f t="shared" si="5"/>
        <v>29.444444444444446</v>
      </c>
      <c r="L118" s="64">
        <f t="shared" si="6"/>
        <v>17.333836477987422</v>
      </c>
      <c r="M118" s="66"/>
      <c r="N118" s="66"/>
      <c r="O118" s="66"/>
      <c r="X118" s="20">
        <f t="shared" si="7"/>
        <v>896.5</v>
      </c>
      <c r="Y118" s="20">
        <f t="shared" si="8"/>
        <v>10</v>
      </c>
      <c r="Z118" s="20">
        <f t="shared" si="9"/>
        <v>89.65</v>
      </c>
    </row>
    <row r="119" spans="1:26" ht="14.25" customHeight="1" x14ac:dyDescent="0.3">
      <c r="B119" t="s">
        <v>473</v>
      </c>
      <c r="C119">
        <v>77.8</v>
      </c>
      <c r="D119">
        <v>315.60000000000002</v>
      </c>
      <c r="E119">
        <v>2.9</v>
      </c>
      <c r="F119">
        <v>44</v>
      </c>
      <c r="G119">
        <v>326</v>
      </c>
      <c r="H119">
        <v>2.6</v>
      </c>
      <c r="I119">
        <v>1</v>
      </c>
      <c r="J119">
        <v>123.6</v>
      </c>
      <c r="K119" s="64">
        <f t="shared" si="5"/>
        <v>17.533333333333339</v>
      </c>
      <c r="L119" s="64">
        <f t="shared" si="6"/>
        <v>15.418364779874214</v>
      </c>
      <c r="M119" s="66"/>
      <c r="N119" s="66"/>
      <c r="O119" s="66"/>
      <c r="X119" s="20">
        <f t="shared" si="7"/>
        <v>641.6</v>
      </c>
      <c r="Y119" s="20">
        <f t="shared" si="8"/>
        <v>5.5</v>
      </c>
      <c r="Z119" s="20">
        <f t="shared" si="9"/>
        <v>116.65454545454546</v>
      </c>
    </row>
    <row r="120" spans="1:26" ht="14.25" customHeight="1" x14ac:dyDescent="0.3">
      <c r="A120" t="s">
        <v>623</v>
      </c>
      <c r="B120" t="s">
        <v>509</v>
      </c>
      <c r="C120">
        <v>192.9</v>
      </c>
      <c r="D120">
        <v>881.3</v>
      </c>
      <c r="E120">
        <v>6.2</v>
      </c>
      <c r="F120">
        <v>14.5</v>
      </c>
      <c r="G120">
        <v>75.8</v>
      </c>
      <c r="H120">
        <v>0.1</v>
      </c>
      <c r="I120">
        <v>1.1000000000000001</v>
      </c>
      <c r="J120">
        <v>138.5</v>
      </c>
      <c r="K120" s="64">
        <f t="shared" si="5"/>
        <v>48.961111111111101</v>
      </c>
      <c r="L120" s="64">
        <f t="shared" si="6"/>
        <v>3.5850062893081764</v>
      </c>
      <c r="M120" s="66">
        <f>C122*Scoring!$B$32+D122/Scoring!$C$32+E122*Scoring!$D$32+F122*Scoring!$E$32+G122/Scoring!$F$32+H122*Scoring!$G$32+I122*Scoring!$H$32+K122*Scoring!$I$32+RB!L122*Scoring!$J$32+U120</f>
        <v>122.89999999999999</v>
      </c>
      <c r="N120" s="66">
        <f>C120*Scoring!$B$32+D120/Scoring!$C$32+E120*Scoring!$D$32+F120*Scoring!$E$32+G120/Scoring!$F$32+H120*Scoring!$G$32+I120*Scoring!$H$32+K120*Scoring!$I$32+RB!L120*Scoring!$J$32+U120</f>
        <v>138.56</v>
      </c>
      <c r="O120" s="66">
        <f>C121*Scoring!$B$32+D121/Scoring!$C$32+E121*Scoring!$D$32+F121*Scoring!$E$32+G121/Scoring!$F$32+H121*Scoring!$G$32+I121*Scoring!$H$32+K121*Scoring!$I$32+L121*Scoring!$J$32+U120</f>
        <v>150.25</v>
      </c>
      <c r="P120" s="20">
        <f>IF(COUNTIF(Rookies!$A:$A,A120)&gt;0,1,0)</f>
        <v>0</v>
      </c>
      <c r="S120" s="20">
        <f>V120/17</f>
        <v>8.1505882352941175</v>
      </c>
      <c r="T120" s="20">
        <f>IF(P120=1,MAX(0,0.258*(14.9-S120)),0)</f>
        <v>0</v>
      </c>
      <c r="U120" s="20">
        <f>T120*17</f>
        <v>0</v>
      </c>
      <c r="V120" s="20">
        <f>C120*Scoring!$B$32+D120/Scoring!$C$32+E120*Scoring!$D$32+F120*Scoring!$E$32+G120/Scoring!$F$32+H120*Scoring!$G$32+I120*Scoring!$H$32+K120*Scoring!$I$32+RB!L120*Scoring!$J$32</f>
        <v>138.56</v>
      </c>
      <c r="X120" s="20">
        <f t="shared" si="7"/>
        <v>957.09999999999991</v>
      </c>
      <c r="Y120" s="20">
        <f t="shared" si="8"/>
        <v>6.3</v>
      </c>
      <c r="Z120" s="20">
        <f t="shared" si="9"/>
        <v>151.92063492063491</v>
      </c>
    </row>
    <row r="121" spans="1:26" ht="14.25" customHeight="1" x14ac:dyDescent="0.3">
      <c r="B121" t="s">
        <v>472</v>
      </c>
      <c r="C121">
        <v>195</v>
      </c>
      <c r="D121">
        <v>911</v>
      </c>
      <c r="E121">
        <v>7</v>
      </c>
      <c r="F121">
        <v>18</v>
      </c>
      <c r="G121">
        <v>83.5</v>
      </c>
      <c r="H121">
        <v>0.3</v>
      </c>
      <c r="I121">
        <v>1</v>
      </c>
      <c r="J121">
        <v>145.5</v>
      </c>
      <c r="K121" s="64">
        <f t="shared" si="5"/>
        <v>50.611111111111114</v>
      </c>
      <c r="L121" s="64">
        <f t="shared" si="6"/>
        <v>3.949182389937107</v>
      </c>
      <c r="M121" s="66"/>
      <c r="N121" s="66"/>
      <c r="O121" s="66"/>
      <c r="X121" s="20">
        <f t="shared" si="7"/>
        <v>994.5</v>
      </c>
      <c r="Y121" s="20">
        <f t="shared" si="8"/>
        <v>7.3</v>
      </c>
      <c r="Z121" s="20">
        <f t="shared" si="9"/>
        <v>136.23287671232876</v>
      </c>
    </row>
    <row r="122" spans="1:26" ht="14.25" customHeight="1" x14ac:dyDescent="0.3">
      <c r="B122" t="s">
        <v>473</v>
      </c>
      <c r="C122">
        <v>189</v>
      </c>
      <c r="D122">
        <v>831</v>
      </c>
      <c r="E122">
        <v>5</v>
      </c>
      <c r="F122">
        <v>12</v>
      </c>
      <c r="G122">
        <v>62</v>
      </c>
      <c r="H122">
        <v>0</v>
      </c>
      <c r="I122">
        <v>1.2</v>
      </c>
      <c r="J122">
        <v>132.5</v>
      </c>
      <c r="K122" s="64">
        <f t="shared" si="5"/>
        <v>46.166666666666671</v>
      </c>
      <c r="L122" s="64">
        <f t="shared" si="6"/>
        <v>2.9323270440251572</v>
      </c>
      <c r="M122" s="66"/>
      <c r="N122" s="66"/>
      <c r="O122" s="66"/>
      <c r="X122" s="20">
        <f t="shared" si="7"/>
        <v>893</v>
      </c>
      <c r="Y122" s="20">
        <f t="shared" si="8"/>
        <v>5</v>
      </c>
      <c r="Z122" s="20">
        <f t="shared" si="9"/>
        <v>178.6</v>
      </c>
    </row>
    <row r="123" spans="1:26" ht="14.25" customHeight="1" x14ac:dyDescent="0.3">
      <c r="A123" t="s">
        <v>624</v>
      </c>
      <c r="B123" t="s">
        <v>501</v>
      </c>
      <c r="C123">
        <v>172</v>
      </c>
      <c r="D123">
        <v>822.9</v>
      </c>
      <c r="E123">
        <v>6.4</v>
      </c>
      <c r="F123">
        <v>11.9</v>
      </c>
      <c r="G123">
        <v>80.599999999999994</v>
      </c>
      <c r="H123">
        <v>0.2</v>
      </c>
      <c r="I123">
        <v>0.7</v>
      </c>
      <c r="J123">
        <v>134.80000000000001</v>
      </c>
      <c r="K123" s="64">
        <f t="shared" si="5"/>
        <v>45.716666666666669</v>
      </c>
      <c r="L123" s="64">
        <f t="shared" si="6"/>
        <v>3.812025157232704</v>
      </c>
      <c r="M123" s="66">
        <f>C125*Scoring!$B$32+D125/Scoring!$C$32+E125*Scoring!$D$32+F125*Scoring!$E$32+G125/Scoring!$F$32+H125*Scoring!$G$32+I125*Scoring!$H$32+K125*Scoring!$I$32+RB!L125*Scoring!$J$32+U123</f>
        <v>115.1</v>
      </c>
      <c r="N123" s="66">
        <f>C123*Scoring!$B$32+D123/Scoring!$C$32+E123*Scoring!$D$32+F123*Scoring!$E$32+G123/Scoring!$F$32+H123*Scoring!$G$32+I123*Scoring!$H$32+K123*Scoring!$I$32+RB!L123*Scoring!$J$32+U123</f>
        <v>134.49999999999997</v>
      </c>
      <c r="O123" s="66">
        <f>C124*Scoring!$B$32+D124/Scoring!$C$32+E124*Scoring!$D$32+F124*Scoring!$E$32+G124/Scoring!$F$32+H124*Scoring!$G$32+I124*Scoring!$H$32+K124*Scoring!$I$32+L124*Scoring!$J$32+U123</f>
        <v>155.31999999999996</v>
      </c>
      <c r="P123" s="20">
        <f>IF(COUNTIF(Rookies!$A:$A,A123)&gt;0,1,0)</f>
        <v>0</v>
      </c>
      <c r="S123" s="20">
        <f>V123/17</f>
        <v>7.9117647058823515</v>
      </c>
      <c r="T123" s="20">
        <f>IF(P123=1,MAX(0,0.258*(14.9-S123)),0)</f>
        <v>0</v>
      </c>
      <c r="U123" s="20">
        <f>T123*17</f>
        <v>0</v>
      </c>
      <c r="V123" s="20">
        <f>C123*Scoring!$B$32+D123/Scoring!$C$32+E123*Scoring!$D$32+F123*Scoring!$E$32+G123/Scoring!$F$32+H123*Scoring!$G$32+I123*Scoring!$H$32+K123*Scoring!$I$32+RB!L123*Scoring!$J$32</f>
        <v>134.49999999999997</v>
      </c>
      <c r="X123" s="20">
        <f t="shared" si="7"/>
        <v>903.5</v>
      </c>
      <c r="Y123" s="20">
        <f t="shared" si="8"/>
        <v>6.6000000000000005</v>
      </c>
      <c r="Z123" s="20">
        <f t="shared" si="9"/>
        <v>136.89393939393938</v>
      </c>
    </row>
    <row r="124" spans="1:26" ht="14.25" customHeight="1" x14ac:dyDescent="0.3">
      <c r="B124" t="s">
        <v>472</v>
      </c>
      <c r="C124">
        <v>181.9</v>
      </c>
      <c r="D124">
        <v>887</v>
      </c>
      <c r="E124">
        <v>7.3</v>
      </c>
      <c r="F124">
        <v>16.7</v>
      </c>
      <c r="G124">
        <v>116.7</v>
      </c>
      <c r="H124">
        <v>0.6</v>
      </c>
      <c r="I124">
        <v>0.4</v>
      </c>
      <c r="J124">
        <v>148.5</v>
      </c>
      <c r="K124" s="64">
        <f t="shared" si="5"/>
        <v>49.277777777777779</v>
      </c>
      <c r="L124" s="64">
        <f t="shared" si="6"/>
        <v>5.5193962264150942</v>
      </c>
      <c r="M124" s="66"/>
      <c r="N124" s="66"/>
      <c r="O124" s="66"/>
      <c r="X124" s="20">
        <f t="shared" si="7"/>
        <v>1003.7</v>
      </c>
      <c r="Y124" s="20">
        <f t="shared" si="8"/>
        <v>7.8999999999999995</v>
      </c>
      <c r="Z124" s="20">
        <f t="shared" si="9"/>
        <v>127.05063291139241</v>
      </c>
    </row>
    <row r="125" spans="1:26" ht="14.25" customHeight="1" x14ac:dyDescent="0.3">
      <c r="B125" t="s">
        <v>473</v>
      </c>
      <c r="C125">
        <v>159</v>
      </c>
      <c r="D125">
        <v>745</v>
      </c>
      <c r="E125">
        <v>6</v>
      </c>
      <c r="F125">
        <v>6</v>
      </c>
      <c r="G125">
        <v>36</v>
      </c>
      <c r="H125">
        <v>0</v>
      </c>
      <c r="I125">
        <v>1</v>
      </c>
      <c r="J125">
        <v>122</v>
      </c>
      <c r="K125" s="64">
        <f t="shared" si="5"/>
        <v>41.388888888888893</v>
      </c>
      <c r="L125" s="64">
        <f t="shared" si="6"/>
        <v>1.702641509433962</v>
      </c>
      <c r="M125" s="66"/>
      <c r="N125" s="66"/>
      <c r="O125" s="66"/>
      <c r="X125" s="20">
        <f t="shared" si="7"/>
        <v>781</v>
      </c>
      <c r="Y125" s="20">
        <f t="shared" si="8"/>
        <v>6</v>
      </c>
      <c r="Z125" s="20">
        <f t="shared" si="9"/>
        <v>130.16666666666666</v>
      </c>
    </row>
    <row r="126" spans="1:26" ht="14.25" customHeight="1" x14ac:dyDescent="0.3">
      <c r="A126" t="s">
        <v>594</v>
      </c>
      <c r="B126" t="s">
        <v>515</v>
      </c>
      <c r="C126">
        <v>151.6</v>
      </c>
      <c r="D126">
        <v>615.5</v>
      </c>
      <c r="E126">
        <v>5.9</v>
      </c>
      <c r="F126">
        <v>19.899999999999999</v>
      </c>
      <c r="G126">
        <v>158.4</v>
      </c>
      <c r="H126">
        <v>1</v>
      </c>
      <c r="I126">
        <v>1</v>
      </c>
      <c r="J126">
        <v>126.7</v>
      </c>
      <c r="K126" s="64">
        <f t="shared" si="5"/>
        <v>34.194444444444443</v>
      </c>
      <c r="L126" s="64">
        <f t="shared" si="6"/>
        <v>7.4916226415094345</v>
      </c>
      <c r="M126" s="66">
        <f>C128*Scoring!$B$32+D128/Scoring!$C$32+E128*Scoring!$D$32+F128*Scoring!$E$32+G128/Scoring!$F$32+H128*Scoring!$G$32+I128*Scoring!$H$32+K128*Scoring!$I$32+RB!L128*Scoring!$J$32+U126</f>
        <v>98.199999999999989</v>
      </c>
      <c r="N126" s="66">
        <f>C126*Scoring!$B$32+D126/Scoring!$C$32+E126*Scoring!$D$32+F126*Scoring!$E$32+G126/Scoring!$F$32+H126*Scoring!$G$32+I126*Scoring!$H$32+K126*Scoring!$I$32+RB!L126*Scoring!$J$32+U126</f>
        <v>126.74000000000001</v>
      </c>
      <c r="O126" s="66">
        <f>C127*Scoring!$B$32+D127/Scoring!$C$32+E127*Scoring!$D$32+F127*Scoring!$E$32+G127/Scoring!$F$32+H127*Scoring!$G$32+I127*Scoring!$H$32+K127*Scoring!$I$32+L127*Scoring!$J$32+U126</f>
        <v>152.21999999999997</v>
      </c>
      <c r="P126" s="20">
        <f>IF(COUNTIF(Rookies!$A:$A,A126)&gt;0,1,0)</f>
        <v>0</v>
      </c>
      <c r="S126" s="20">
        <f>V126/17</f>
        <v>7.4552941176470595</v>
      </c>
      <c r="T126" s="20">
        <f>IF(P126=1,MAX(0,0.258*(14.9-S126)),0)</f>
        <v>0</v>
      </c>
      <c r="U126" s="20">
        <f>T126*17</f>
        <v>0</v>
      </c>
      <c r="V126" s="20">
        <f>C126*Scoring!$B$32+D126/Scoring!$C$32+E126*Scoring!$D$32+F126*Scoring!$E$32+G126/Scoring!$F$32+H126*Scoring!$G$32+I126*Scoring!$H$32+K126*Scoring!$I$32+RB!L126*Scoring!$J$32</f>
        <v>126.74000000000001</v>
      </c>
      <c r="X126" s="20">
        <f t="shared" si="7"/>
        <v>773.9</v>
      </c>
      <c r="Y126" s="20">
        <f t="shared" si="8"/>
        <v>6.9</v>
      </c>
      <c r="Z126" s="20">
        <f t="shared" si="9"/>
        <v>112.15942028985506</v>
      </c>
    </row>
    <row r="127" spans="1:26" ht="14.25" customHeight="1" x14ac:dyDescent="0.3">
      <c r="B127" t="s">
        <v>472</v>
      </c>
      <c r="C127">
        <v>174.9</v>
      </c>
      <c r="D127">
        <v>718.5</v>
      </c>
      <c r="E127">
        <v>7.6</v>
      </c>
      <c r="F127">
        <v>23.7</v>
      </c>
      <c r="G127">
        <v>183.2</v>
      </c>
      <c r="H127">
        <v>1.1000000000000001</v>
      </c>
      <c r="I127">
        <v>1</v>
      </c>
      <c r="J127">
        <v>150.69999999999999</v>
      </c>
      <c r="K127" s="64">
        <f t="shared" si="5"/>
        <v>39.916666666666664</v>
      </c>
      <c r="L127" s="64">
        <f t="shared" si="6"/>
        <v>8.6645534591194959</v>
      </c>
      <c r="M127" s="66"/>
      <c r="N127" s="66"/>
      <c r="O127" s="66"/>
      <c r="X127" s="20">
        <f t="shared" si="7"/>
        <v>901.7</v>
      </c>
      <c r="Y127" s="20">
        <f t="shared" si="8"/>
        <v>8.6999999999999993</v>
      </c>
      <c r="Z127" s="20">
        <f t="shared" si="9"/>
        <v>103.64367816091955</v>
      </c>
    </row>
    <row r="128" spans="1:26" ht="14.25" customHeight="1" x14ac:dyDescent="0.3">
      <c r="B128" t="s">
        <v>473</v>
      </c>
      <c r="C128">
        <v>128</v>
      </c>
      <c r="D128">
        <v>506</v>
      </c>
      <c r="E128">
        <v>4</v>
      </c>
      <c r="F128">
        <v>15</v>
      </c>
      <c r="G128">
        <v>121</v>
      </c>
      <c r="H128">
        <v>1</v>
      </c>
      <c r="I128">
        <v>1</v>
      </c>
      <c r="J128">
        <v>100.9</v>
      </c>
      <c r="K128" s="64">
        <f t="shared" si="5"/>
        <v>28.111111111111111</v>
      </c>
      <c r="L128" s="64">
        <f t="shared" si="6"/>
        <v>5.7227672955974844</v>
      </c>
      <c r="M128" s="66"/>
      <c r="N128" s="66"/>
      <c r="O128" s="66"/>
      <c r="X128" s="20">
        <f t="shared" si="7"/>
        <v>627</v>
      </c>
      <c r="Y128" s="20">
        <f t="shared" si="8"/>
        <v>5</v>
      </c>
      <c r="Z128" s="20">
        <f t="shared" si="9"/>
        <v>125.4</v>
      </c>
    </row>
    <row r="129" spans="1:26" ht="14.25" customHeight="1" x14ac:dyDescent="0.3">
      <c r="A129" t="s">
        <v>625</v>
      </c>
      <c r="B129" t="s">
        <v>525</v>
      </c>
      <c r="C129">
        <v>94.8</v>
      </c>
      <c r="D129">
        <v>379.1</v>
      </c>
      <c r="E129">
        <v>3</v>
      </c>
      <c r="F129">
        <v>45.8</v>
      </c>
      <c r="G129">
        <v>306</v>
      </c>
      <c r="H129">
        <v>1.2</v>
      </c>
      <c r="I129">
        <v>0.7</v>
      </c>
      <c r="J129">
        <v>115.1</v>
      </c>
      <c r="K129" s="64">
        <f t="shared" si="5"/>
        <v>21.06111111111111</v>
      </c>
      <c r="L129" s="64">
        <f t="shared" si="6"/>
        <v>14.472452830188679</v>
      </c>
      <c r="M129" s="66">
        <f>C131*Scoring!$B$32+D131/Scoring!$C$32+E131*Scoring!$D$32+F131*Scoring!$E$32+G131/Scoring!$F$32+H131*Scoring!$G$32+I131*Scoring!$H$32+K131*Scoring!$I$32+RB!L131*Scoring!$J$32+U129</f>
        <v>94.9</v>
      </c>
      <c r="N129" s="66">
        <f>C129*Scoring!$B$32+D129/Scoring!$C$32+E129*Scoring!$D$32+F129*Scoring!$E$32+G129/Scoring!$F$32+H129*Scoring!$G$32+I129*Scoring!$H$32+K129*Scoring!$I$32+RB!L129*Scoring!$J$32+U129</f>
        <v>115.21</v>
      </c>
      <c r="O129" s="66">
        <f>C130*Scoring!$B$32+D130/Scoring!$C$32+E130*Scoring!$D$32+F130*Scoring!$E$32+G130/Scoring!$F$32+H130*Scoring!$G$32+I130*Scoring!$H$32+K130*Scoring!$I$32+L130*Scoring!$J$32+U129</f>
        <v>135.83000000000001</v>
      </c>
      <c r="P129" s="20">
        <f>IF(COUNTIF(Rookies!$A:$A,A129)&gt;0,1,0)</f>
        <v>0</v>
      </c>
      <c r="S129" s="20">
        <f>V129/17</f>
        <v>6.7770588235294111</v>
      </c>
      <c r="T129" s="20">
        <f>IF(P129=1,MAX(0,0.258*(14.9-S129)),0)</f>
        <v>0</v>
      </c>
      <c r="U129" s="20">
        <f>T129*17</f>
        <v>0</v>
      </c>
      <c r="V129" s="20">
        <f>C129*Scoring!$B$32+D129/Scoring!$C$32+E129*Scoring!$D$32+F129*Scoring!$E$32+G129/Scoring!$F$32+H129*Scoring!$G$32+I129*Scoring!$H$32+K129*Scoring!$I$32+RB!L129*Scoring!$J$32</f>
        <v>115.21</v>
      </c>
      <c r="X129" s="20">
        <f t="shared" si="7"/>
        <v>685.1</v>
      </c>
      <c r="Y129" s="20">
        <f t="shared" si="8"/>
        <v>4.2</v>
      </c>
      <c r="Z129" s="20">
        <f t="shared" si="9"/>
        <v>163.11904761904762</v>
      </c>
    </row>
    <row r="130" spans="1:26" ht="14.25" customHeight="1" x14ac:dyDescent="0.3">
      <c r="B130" t="s">
        <v>472</v>
      </c>
      <c r="C130">
        <v>105.5</v>
      </c>
      <c r="D130">
        <v>446.2</v>
      </c>
      <c r="E130">
        <v>4</v>
      </c>
      <c r="F130">
        <v>50</v>
      </c>
      <c r="G130">
        <v>336.1</v>
      </c>
      <c r="H130">
        <v>1.6</v>
      </c>
      <c r="I130">
        <v>0.5</v>
      </c>
      <c r="J130">
        <v>127.7</v>
      </c>
      <c r="K130" s="64">
        <f t="shared" si="5"/>
        <v>24.788888888888888</v>
      </c>
      <c r="L130" s="64">
        <f t="shared" si="6"/>
        <v>15.896050314465409</v>
      </c>
      <c r="M130" s="66"/>
      <c r="N130" s="66"/>
      <c r="O130" s="66"/>
      <c r="X130" s="20">
        <f t="shared" si="7"/>
        <v>782.3</v>
      </c>
      <c r="Y130" s="20">
        <f t="shared" si="8"/>
        <v>5.6</v>
      </c>
      <c r="Z130" s="20">
        <f t="shared" si="9"/>
        <v>139.69642857142858</v>
      </c>
    </row>
    <row r="131" spans="1:26" ht="14.25" customHeight="1" x14ac:dyDescent="0.3">
      <c r="B131" t="s">
        <v>473</v>
      </c>
      <c r="C131">
        <v>86</v>
      </c>
      <c r="D131">
        <v>344</v>
      </c>
      <c r="E131">
        <v>2</v>
      </c>
      <c r="F131">
        <v>38</v>
      </c>
      <c r="G131">
        <v>255</v>
      </c>
      <c r="H131">
        <v>1</v>
      </c>
      <c r="I131">
        <v>1</v>
      </c>
      <c r="J131">
        <v>101.9</v>
      </c>
      <c r="K131" s="64">
        <f t="shared" ref="K131:K194" si="10">IFERROR((D131/C131)/4.5*0.25*C131,0)</f>
        <v>19.111111111111111</v>
      </c>
      <c r="L131" s="64">
        <f t="shared" ref="L131:L194" si="11">IFERROR((G131/F131)/7.95*0.376*F131,0)</f>
        <v>12.060377358490564</v>
      </c>
      <c r="M131" s="66"/>
      <c r="N131" s="66"/>
      <c r="O131" s="66"/>
      <c r="X131" s="20">
        <f t="shared" si="7"/>
        <v>599</v>
      </c>
      <c r="Y131" s="20">
        <f t="shared" si="8"/>
        <v>3</v>
      </c>
      <c r="Z131" s="20">
        <f t="shared" si="9"/>
        <v>199.66666666666666</v>
      </c>
    </row>
    <row r="132" spans="1:26" ht="14.25" customHeight="1" x14ac:dyDescent="0.3">
      <c r="A132" t="s">
        <v>627</v>
      </c>
      <c r="B132" t="s">
        <v>519</v>
      </c>
      <c r="C132">
        <v>145.5</v>
      </c>
      <c r="D132">
        <v>567.29999999999995</v>
      </c>
      <c r="E132">
        <v>2.7</v>
      </c>
      <c r="F132">
        <v>24.1</v>
      </c>
      <c r="G132">
        <v>197.2</v>
      </c>
      <c r="H132">
        <v>1.8</v>
      </c>
      <c r="I132">
        <v>0.8</v>
      </c>
      <c r="J132">
        <v>113.7</v>
      </c>
      <c r="K132" s="64">
        <f t="shared" si="10"/>
        <v>31.516666666666662</v>
      </c>
      <c r="L132" s="64">
        <f t="shared" si="11"/>
        <v>9.3266918238993703</v>
      </c>
      <c r="M132" s="66">
        <f>C134*Scoring!$B$32+D134/Scoring!$C$32+E134*Scoring!$D$32+F134*Scoring!$E$32+G134/Scoring!$F$32+H134*Scoring!$G$32+I134*Scoring!$H$32+K134*Scoring!$I$32+RB!L134*Scoring!$J$32+U132</f>
        <v>97.1</v>
      </c>
      <c r="N132" s="66">
        <f>C132*Scoring!$B$32+D132/Scoring!$C$32+E132*Scoring!$D$32+F132*Scoring!$E$32+G132/Scoring!$F$32+H132*Scoring!$G$32+I132*Scoring!$H$32+K132*Scoring!$I$32+RB!L132*Scoring!$J$32+U132</f>
        <v>113.9</v>
      </c>
      <c r="O132" s="66">
        <f>C133*Scoring!$B$32+D133/Scoring!$C$32+E133*Scoring!$D$32+F133*Scoring!$E$32+G133/Scoring!$F$32+H133*Scoring!$G$32+I133*Scoring!$H$32+K133*Scoring!$I$32+L133*Scoring!$J$32+U132</f>
        <v>131.47999999999999</v>
      </c>
      <c r="P132" s="20">
        <f>IF(COUNTIF(Rookies!$A:$A,A132)&gt;0,1,0)</f>
        <v>0</v>
      </c>
      <c r="S132" s="20">
        <f>V132/17</f>
        <v>6.7</v>
      </c>
      <c r="T132" s="20">
        <f>IF(P132=1,MAX(0,0.258*(14.9-S132)),0)</f>
        <v>0</v>
      </c>
      <c r="U132" s="20">
        <f>T132*17</f>
        <v>0</v>
      </c>
      <c r="V132" s="20">
        <f>C132*Scoring!$B$32+D132/Scoring!$C$32+E132*Scoring!$D$32+F132*Scoring!$E$32+G132/Scoring!$F$32+H132*Scoring!$G$32+I132*Scoring!$H$32+K132*Scoring!$I$32+RB!L132*Scoring!$J$32</f>
        <v>113.9</v>
      </c>
      <c r="X132" s="20">
        <f t="shared" ref="X132:X195" si="12">D132+G132</f>
        <v>764.5</v>
      </c>
      <c r="Y132" s="20">
        <f t="shared" ref="Y132:Y195" si="13">H132+E132</f>
        <v>4.5</v>
      </c>
      <c r="Z132" s="20">
        <f t="shared" ref="Z132:Z195" si="14">X132/Y132</f>
        <v>169.88888888888889</v>
      </c>
    </row>
    <row r="133" spans="1:26" ht="14.25" customHeight="1" x14ac:dyDescent="0.3">
      <c r="B133" t="s">
        <v>472</v>
      </c>
      <c r="C133">
        <v>151.4</v>
      </c>
      <c r="D133">
        <v>613.79999999999995</v>
      </c>
      <c r="E133">
        <v>3.1</v>
      </c>
      <c r="F133">
        <v>27</v>
      </c>
      <c r="G133">
        <v>214</v>
      </c>
      <c r="H133">
        <v>3</v>
      </c>
      <c r="I133">
        <v>0.7</v>
      </c>
      <c r="J133">
        <v>119.6</v>
      </c>
      <c r="K133" s="64">
        <f t="shared" si="10"/>
        <v>34.099999999999994</v>
      </c>
      <c r="L133" s="64">
        <f t="shared" si="11"/>
        <v>10.12125786163522</v>
      </c>
      <c r="M133" s="66"/>
      <c r="N133" s="66"/>
      <c r="O133" s="66"/>
      <c r="X133" s="20">
        <f t="shared" si="12"/>
        <v>827.8</v>
      </c>
      <c r="Y133" s="20">
        <f t="shared" si="13"/>
        <v>6.1</v>
      </c>
      <c r="Z133" s="20">
        <f t="shared" si="14"/>
        <v>135.70491803278688</v>
      </c>
    </row>
    <row r="134" spans="1:26" ht="14.25" customHeight="1" x14ac:dyDescent="0.3">
      <c r="B134" t="s">
        <v>473</v>
      </c>
      <c r="C134">
        <v>135</v>
      </c>
      <c r="D134">
        <v>527</v>
      </c>
      <c r="E134">
        <v>2</v>
      </c>
      <c r="F134">
        <v>21</v>
      </c>
      <c r="G134">
        <v>179</v>
      </c>
      <c r="H134">
        <v>1</v>
      </c>
      <c r="I134">
        <v>1</v>
      </c>
      <c r="J134">
        <v>105</v>
      </c>
      <c r="K134" s="64">
        <f t="shared" si="10"/>
        <v>29.277777777777782</v>
      </c>
      <c r="L134" s="64">
        <f t="shared" si="11"/>
        <v>8.465911949685534</v>
      </c>
      <c r="M134" s="66"/>
      <c r="N134" s="66"/>
      <c r="O134" s="66"/>
      <c r="X134" s="20">
        <f t="shared" si="12"/>
        <v>706</v>
      </c>
      <c r="Y134" s="20">
        <f t="shared" si="13"/>
        <v>3</v>
      </c>
      <c r="Z134" s="20">
        <f t="shared" si="14"/>
        <v>235.33333333333334</v>
      </c>
    </row>
    <row r="135" spans="1:26" ht="14.25" customHeight="1" x14ac:dyDescent="0.3">
      <c r="A135" t="s">
        <v>626</v>
      </c>
      <c r="B135" t="s">
        <v>517</v>
      </c>
      <c r="C135">
        <v>125.9</v>
      </c>
      <c r="D135">
        <v>513.79999999999995</v>
      </c>
      <c r="E135">
        <v>5.3</v>
      </c>
      <c r="F135">
        <v>18.399999999999999</v>
      </c>
      <c r="G135">
        <v>136.30000000000001</v>
      </c>
      <c r="H135">
        <v>0.5</v>
      </c>
      <c r="I135">
        <v>0.7</v>
      </c>
      <c r="J135">
        <v>107.5</v>
      </c>
      <c r="K135" s="64">
        <f t="shared" si="10"/>
        <v>28.544444444444441</v>
      </c>
      <c r="L135" s="64">
        <f t="shared" si="11"/>
        <v>6.4463899371069182</v>
      </c>
      <c r="M135" s="66">
        <f>C137*Scoring!$B$32+D137/Scoring!$C$32+E137*Scoring!$D$32+F137*Scoring!$E$32+G137/Scoring!$F$32+H137*Scoring!$G$32+I137*Scoring!$H$32+K137*Scoring!$I$32+RB!L137*Scoring!$J$32+U135</f>
        <v>81.800000000000011</v>
      </c>
      <c r="N135" s="66">
        <f>C135*Scoring!$B$32+D135/Scoring!$C$32+E135*Scoring!$D$32+F135*Scoring!$E$32+G135/Scoring!$F$32+H135*Scoring!$G$32+I135*Scoring!$H$32+K135*Scoring!$I$32+RB!L135*Scoring!$J$32+U135</f>
        <v>107.60999999999999</v>
      </c>
      <c r="O135" s="66">
        <f>C136*Scoring!$B$32+D136/Scoring!$C$32+E136*Scoring!$D$32+F136*Scoring!$E$32+G136/Scoring!$F$32+H136*Scoring!$G$32+I136*Scoring!$H$32+K136*Scoring!$I$32+L136*Scoring!$J$32+U135</f>
        <v>126.98000000000002</v>
      </c>
      <c r="P135" s="20">
        <f>IF(COUNTIF(Rookies!$A:$A,A135)&gt;0,1,0)</f>
        <v>0</v>
      </c>
      <c r="S135" s="20">
        <f>V135/17</f>
        <v>6.3299999999999992</v>
      </c>
      <c r="T135" s="20">
        <f>IF(P135=1,MAX(0,0.258*(14.9-S135)),0)</f>
        <v>0</v>
      </c>
      <c r="U135" s="20">
        <f>T135*17</f>
        <v>0</v>
      </c>
      <c r="V135" s="20">
        <f>C135*Scoring!$B$32+D135/Scoring!$C$32+E135*Scoring!$D$32+F135*Scoring!$E$32+G135/Scoring!$F$32+H135*Scoring!$G$32+I135*Scoring!$H$32+K135*Scoring!$I$32+RB!L135*Scoring!$J$32</f>
        <v>107.60999999999999</v>
      </c>
      <c r="X135" s="20">
        <f t="shared" si="12"/>
        <v>650.09999999999991</v>
      </c>
      <c r="Y135" s="20">
        <f t="shared" si="13"/>
        <v>5.8</v>
      </c>
      <c r="Z135" s="20">
        <f t="shared" si="14"/>
        <v>112.08620689655172</v>
      </c>
    </row>
    <row r="136" spans="1:26" ht="14.25" customHeight="1" x14ac:dyDescent="0.3">
      <c r="B136" t="s">
        <v>472</v>
      </c>
      <c r="C136">
        <v>136.6</v>
      </c>
      <c r="D136">
        <v>555.29999999999995</v>
      </c>
      <c r="E136">
        <v>6.9</v>
      </c>
      <c r="F136">
        <v>20.3</v>
      </c>
      <c r="G136">
        <v>145</v>
      </c>
      <c r="H136">
        <v>1</v>
      </c>
      <c r="I136">
        <v>0.3</v>
      </c>
      <c r="J136">
        <v>122.9</v>
      </c>
      <c r="K136" s="64">
        <f t="shared" si="10"/>
        <v>30.849999999999998</v>
      </c>
      <c r="L136" s="64">
        <f t="shared" si="11"/>
        <v>6.8578616352201252</v>
      </c>
      <c r="M136" s="66"/>
      <c r="N136" s="66"/>
      <c r="O136" s="66"/>
      <c r="X136" s="20">
        <f t="shared" si="12"/>
        <v>700.3</v>
      </c>
      <c r="Y136" s="20">
        <f t="shared" si="13"/>
        <v>7.9</v>
      </c>
      <c r="Z136" s="20">
        <f t="shared" si="14"/>
        <v>88.645569620253156</v>
      </c>
    </row>
    <row r="137" spans="1:26" ht="14.25" customHeight="1" x14ac:dyDescent="0.3">
      <c r="B137" t="s">
        <v>473</v>
      </c>
      <c r="C137">
        <v>113</v>
      </c>
      <c r="D137">
        <v>449</v>
      </c>
      <c r="E137">
        <v>3</v>
      </c>
      <c r="F137">
        <v>16</v>
      </c>
      <c r="G137">
        <v>129</v>
      </c>
      <c r="H137">
        <v>0</v>
      </c>
      <c r="I137">
        <v>1</v>
      </c>
      <c r="J137">
        <v>82.2</v>
      </c>
      <c r="K137" s="64">
        <f t="shared" si="10"/>
        <v>24.944444444444446</v>
      </c>
      <c r="L137" s="64">
        <f t="shared" si="11"/>
        <v>6.101132075471698</v>
      </c>
      <c r="M137" s="66"/>
      <c r="N137" s="66"/>
      <c r="O137" s="66"/>
      <c r="X137" s="20">
        <f t="shared" si="12"/>
        <v>578</v>
      </c>
      <c r="Y137" s="20">
        <f t="shared" si="13"/>
        <v>3</v>
      </c>
      <c r="Z137" s="20">
        <f t="shared" si="14"/>
        <v>192.66666666666666</v>
      </c>
    </row>
    <row r="138" spans="1:26" ht="14.25" customHeight="1" x14ac:dyDescent="0.3">
      <c r="A138" t="s">
        <v>631</v>
      </c>
      <c r="B138" t="s">
        <v>475</v>
      </c>
      <c r="C138">
        <v>61.3</v>
      </c>
      <c r="D138">
        <v>296.39999999999998</v>
      </c>
      <c r="E138">
        <v>2.2999999999999998</v>
      </c>
      <c r="F138">
        <v>32.700000000000003</v>
      </c>
      <c r="G138">
        <v>283.10000000000002</v>
      </c>
      <c r="H138">
        <v>1.8</v>
      </c>
      <c r="I138">
        <v>0.2</v>
      </c>
      <c r="J138">
        <v>98.7</v>
      </c>
      <c r="K138" s="64">
        <f t="shared" si="10"/>
        <v>16.466666666666665</v>
      </c>
      <c r="L138" s="64">
        <f t="shared" si="11"/>
        <v>13.389383647798743</v>
      </c>
      <c r="M138" s="66">
        <f>C140*Scoring!$B$32+D140/Scoring!$C$32+E140*Scoring!$D$32+F140*Scoring!$E$32+G140/Scoring!$F$32+H140*Scoring!$G$32+I140*Scoring!$H$32+K140*Scoring!$I$32+RB!L140*Scoring!$J$32+U138</f>
        <v>80.38000000000001</v>
      </c>
      <c r="N138" s="66">
        <f>C138*Scoring!$B$32+D138/Scoring!$C$32+E138*Scoring!$D$32+F138*Scoring!$E$32+G138/Scoring!$F$32+H138*Scoring!$G$32+I138*Scoring!$H$32+K138*Scoring!$I$32+RB!L138*Scoring!$J$32+U138</f>
        <v>98.499999999999986</v>
      </c>
      <c r="O138" s="66">
        <f>C139*Scoring!$B$32+D139/Scoring!$C$32+E139*Scoring!$D$32+F139*Scoring!$E$32+G139/Scoring!$F$32+H139*Scoring!$G$32+I139*Scoring!$H$32+K139*Scoring!$I$32+L139*Scoring!$J$32+U138</f>
        <v>117.03</v>
      </c>
      <c r="P138" s="20">
        <f>IF(COUNTIF(Rookies!$A:$A,A138)&gt;0,1,0)</f>
        <v>0</v>
      </c>
      <c r="S138" s="20">
        <f>V138/17</f>
        <v>5.7941176470588225</v>
      </c>
      <c r="T138" s="20">
        <f>IF(P138=1,MAX(0,0.258*(14.9-S138)),0)</f>
        <v>0</v>
      </c>
      <c r="U138" s="20">
        <f>T138*17</f>
        <v>0</v>
      </c>
      <c r="V138" s="20">
        <f>C138*Scoring!$B$32+D138/Scoring!$C$32+E138*Scoring!$D$32+F138*Scoring!$E$32+G138/Scoring!$F$32+H138*Scoring!$G$32+I138*Scoring!$H$32+K138*Scoring!$I$32+RB!L138*Scoring!$J$32</f>
        <v>98.499999999999986</v>
      </c>
      <c r="X138" s="20">
        <f t="shared" si="12"/>
        <v>579.5</v>
      </c>
      <c r="Y138" s="20">
        <f t="shared" si="13"/>
        <v>4.0999999999999996</v>
      </c>
      <c r="Z138" s="20">
        <f t="shared" si="14"/>
        <v>141.34146341463415</v>
      </c>
    </row>
    <row r="139" spans="1:26" ht="14.25" customHeight="1" x14ac:dyDescent="0.3">
      <c r="B139" t="s">
        <v>472</v>
      </c>
      <c r="C139">
        <v>64</v>
      </c>
      <c r="D139">
        <v>325</v>
      </c>
      <c r="E139">
        <v>3</v>
      </c>
      <c r="F139">
        <v>39.4</v>
      </c>
      <c r="G139">
        <v>348.3</v>
      </c>
      <c r="H139">
        <v>2</v>
      </c>
      <c r="I139">
        <v>0</v>
      </c>
      <c r="J139">
        <v>97</v>
      </c>
      <c r="K139" s="64">
        <f t="shared" si="10"/>
        <v>18.055555555555557</v>
      </c>
      <c r="L139" s="64">
        <f t="shared" si="11"/>
        <v>16.473056603773589</v>
      </c>
      <c r="M139" s="66"/>
      <c r="N139" s="66"/>
      <c r="O139" s="66"/>
      <c r="X139" s="20">
        <f t="shared" si="12"/>
        <v>673.3</v>
      </c>
      <c r="Y139" s="20">
        <f t="shared" si="13"/>
        <v>5</v>
      </c>
      <c r="Z139" s="20">
        <f t="shared" si="14"/>
        <v>134.66</v>
      </c>
    </row>
    <row r="140" spans="1:26" ht="14.25" customHeight="1" x14ac:dyDescent="0.3">
      <c r="B140" t="s">
        <v>473</v>
      </c>
      <c r="C140">
        <v>58.5</v>
      </c>
      <c r="D140">
        <v>267.8</v>
      </c>
      <c r="E140">
        <v>1.6</v>
      </c>
      <c r="F140">
        <v>26</v>
      </c>
      <c r="G140">
        <v>218</v>
      </c>
      <c r="H140">
        <v>1.7</v>
      </c>
      <c r="I140">
        <v>0.5</v>
      </c>
      <c r="J140">
        <v>83.4</v>
      </c>
      <c r="K140" s="64">
        <f t="shared" si="10"/>
        <v>14.87777777777778</v>
      </c>
      <c r="L140" s="64">
        <f t="shared" si="11"/>
        <v>10.310440251572327</v>
      </c>
      <c r="M140" s="66"/>
      <c r="N140" s="66"/>
      <c r="O140" s="66"/>
      <c r="X140" s="20">
        <f t="shared" si="12"/>
        <v>485.8</v>
      </c>
      <c r="Y140" s="20">
        <f t="shared" si="13"/>
        <v>3.3</v>
      </c>
      <c r="Z140" s="20">
        <f t="shared" si="14"/>
        <v>147.21212121212122</v>
      </c>
    </row>
    <row r="141" spans="1:26" ht="14.25" customHeight="1" x14ac:dyDescent="0.3">
      <c r="A141" t="s">
        <v>629</v>
      </c>
      <c r="B141" t="s">
        <v>505</v>
      </c>
      <c r="C141">
        <v>105</v>
      </c>
      <c r="D141">
        <v>406.6</v>
      </c>
      <c r="E141">
        <v>2.4</v>
      </c>
      <c r="F141">
        <v>30.9</v>
      </c>
      <c r="G141">
        <v>216.7</v>
      </c>
      <c r="H141">
        <v>0.6</v>
      </c>
      <c r="I141">
        <v>0.8</v>
      </c>
      <c r="J141">
        <v>94.1</v>
      </c>
      <c r="K141" s="64">
        <f t="shared" si="10"/>
        <v>22.588888888888892</v>
      </c>
      <c r="L141" s="64">
        <f t="shared" si="11"/>
        <v>10.248955974842769</v>
      </c>
      <c r="M141" s="66">
        <f>C143*Scoring!$B$32+D143/Scoring!$C$32+E143*Scoring!$D$32+F143*Scoring!$E$32+G143/Scoring!$F$32+H143*Scoring!$G$32+I143*Scoring!$H$32+K143*Scoring!$I$32+RB!L143*Scoring!$J$32+U141</f>
        <v>78.95</v>
      </c>
      <c r="N141" s="66">
        <f>C141*Scoring!$B$32+D141/Scoring!$C$32+E141*Scoring!$D$32+F141*Scoring!$E$32+G141/Scoring!$F$32+H141*Scoring!$G$32+I141*Scoring!$H$32+K141*Scoring!$I$32+RB!L141*Scoring!$J$32+U141</f>
        <v>94.18</v>
      </c>
      <c r="O141" s="66">
        <f>C142*Scoring!$B$32+D142/Scoring!$C$32+E142*Scoring!$D$32+F142*Scoring!$E$32+G142/Scoring!$F$32+H142*Scoring!$G$32+I142*Scoring!$H$32+K142*Scoring!$I$32+L142*Scoring!$J$32+U141</f>
        <v>106.07</v>
      </c>
      <c r="P141" s="20">
        <f>IF(COUNTIF(Rookies!$A:$A,A141)&gt;0,1,0)</f>
        <v>0</v>
      </c>
      <c r="S141" s="20">
        <f>V141/17</f>
        <v>5.54</v>
      </c>
      <c r="T141" s="20">
        <f>IF(P141=1,MAX(0,0.258*(14.9-S141)),0)</f>
        <v>0</v>
      </c>
      <c r="U141" s="20">
        <f>T141*17</f>
        <v>0</v>
      </c>
      <c r="V141" s="20">
        <f>C141*Scoring!$B$32+D141/Scoring!$C$32+E141*Scoring!$D$32+F141*Scoring!$E$32+G141/Scoring!$F$32+H141*Scoring!$G$32+I141*Scoring!$H$32+K141*Scoring!$I$32+RB!L141*Scoring!$J$32</f>
        <v>94.18</v>
      </c>
      <c r="X141" s="20">
        <f t="shared" si="12"/>
        <v>623.29999999999995</v>
      </c>
      <c r="Y141" s="20">
        <f t="shared" si="13"/>
        <v>3</v>
      </c>
      <c r="Z141" s="20">
        <f t="shared" si="14"/>
        <v>207.76666666666665</v>
      </c>
    </row>
    <row r="142" spans="1:26" ht="14.25" customHeight="1" x14ac:dyDescent="0.3">
      <c r="B142" t="s">
        <v>472</v>
      </c>
      <c r="C142">
        <v>117</v>
      </c>
      <c r="D142">
        <v>450.7</v>
      </c>
      <c r="E142">
        <v>3</v>
      </c>
      <c r="F142">
        <v>31</v>
      </c>
      <c r="G142">
        <v>227</v>
      </c>
      <c r="H142">
        <v>1</v>
      </c>
      <c r="I142">
        <v>0.6</v>
      </c>
      <c r="J142">
        <v>103.3</v>
      </c>
      <c r="K142" s="64">
        <f t="shared" si="10"/>
        <v>25.038888888888888</v>
      </c>
      <c r="L142" s="64">
        <f t="shared" si="11"/>
        <v>10.736100628930815</v>
      </c>
      <c r="M142" s="66"/>
      <c r="N142" s="66"/>
      <c r="O142" s="66"/>
      <c r="X142" s="20">
        <f t="shared" si="12"/>
        <v>677.7</v>
      </c>
      <c r="Y142" s="20">
        <f t="shared" si="13"/>
        <v>4</v>
      </c>
      <c r="Z142" s="20">
        <f t="shared" si="14"/>
        <v>169.42500000000001</v>
      </c>
    </row>
    <row r="143" spans="1:26" ht="14.25" customHeight="1" x14ac:dyDescent="0.3">
      <c r="B143" t="s">
        <v>473</v>
      </c>
      <c r="C143">
        <v>86</v>
      </c>
      <c r="D143">
        <v>328</v>
      </c>
      <c r="E143">
        <v>2</v>
      </c>
      <c r="F143">
        <v>30.7</v>
      </c>
      <c r="G143">
        <v>208</v>
      </c>
      <c r="H143">
        <v>0</v>
      </c>
      <c r="I143">
        <v>1</v>
      </c>
      <c r="J143">
        <v>82.5</v>
      </c>
      <c r="K143" s="64">
        <f t="shared" si="10"/>
        <v>18.222222222222221</v>
      </c>
      <c r="L143" s="64">
        <f t="shared" si="11"/>
        <v>9.8374842767295601</v>
      </c>
      <c r="M143" s="66"/>
      <c r="N143" s="66"/>
      <c r="O143" s="66"/>
      <c r="X143" s="20">
        <f t="shared" si="12"/>
        <v>536</v>
      </c>
      <c r="Y143" s="20">
        <f t="shared" si="13"/>
        <v>2</v>
      </c>
      <c r="Z143" s="20">
        <f t="shared" si="14"/>
        <v>268</v>
      </c>
    </row>
    <row r="144" spans="1:26" ht="14.25" customHeight="1" x14ac:dyDescent="0.3">
      <c r="A144" t="s">
        <v>632</v>
      </c>
      <c r="B144" t="s">
        <v>489</v>
      </c>
      <c r="C144">
        <v>135.80000000000001</v>
      </c>
      <c r="D144">
        <v>561.20000000000005</v>
      </c>
      <c r="E144">
        <v>5.0999999999999996</v>
      </c>
      <c r="F144">
        <v>5.5</v>
      </c>
      <c r="G144">
        <v>43.4</v>
      </c>
      <c r="H144">
        <v>0.1</v>
      </c>
      <c r="I144">
        <v>0.6</v>
      </c>
      <c r="J144">
        <v>93.1</v>
      </c>
      <c r="K144" s="64">
        <f t="shared" si="10"/>
        <v>31.177777777777784</v>
      </c>
      <c r="L144" s="64">
        <f t="shared" si="11"/>
        <v>2.05262893081761</v>
      </c>
      <c r="M144" s="66">
        <f>C146*Scoring!$B$32+D146/Scoring!$C$32+E146*Scoring!$D$32+F146*Scoring!$E$32+G146/Scoring!$F$32+H146*Scoring!$G$32+I146*Scoring!$H$32+K146*Scoring!$I$32+RB!L146*Scoring!$J$32+U144</f>
        <v>64.959999999999994</v>
      </c>
      <c r="N144" s="66">
        <f>C144*Scoring!$B$32+D144/Scoring!$C$32+E144*Scoring!$D$32+F144*Scoring!$E$32+G144/Scoring!$F$32+H144*Scoring!$G$32+I144*Scoring!$H$32+K144*Scoring!$I$32+RB!L144*Scoring!$J$32+U144</f>
        <v>93.21</v>
      </c>
      <c r="O144" s="66">
        <f>C145*Scoring!$B$32+D145/Scoring!$C$32+E145*Scoring!$D$32+F145*Scoring!$E$32+G145/Scoring!$F$32+H145*Scoring!$G$32+I145*Scoring!$H$32+K145*Scoring!$I$32+L145*Scoring!$J$32+U144</f>
        <v>130.69999999999999</v>
      </c>
      <c r="P144" s="20">
        <f>IF(COUNTIF(Rookies!$A:$A,A144)&gt;0,1,0)</f>
        <v>0</v>
      </c>
      <c r="S144" s="20">
        <f>V144/17</f>
        <v>5.4829411764705878</v>
      </c>
      <c r="T144" s="20">
        <f>IF(P144=1,MAX(0,0.258*(14.9-S144)),0)</f>
        <v>0</v>
      </c>
      <c r="U144" s="20">
        <f>T144*17</f>
        <v>0</v>
      </c>
      <c r="V144" s="20">
        <f>C144*Scoring!$B$32+D144/Scoring!$C$32+E144*Scoring!$D$32+F144*Scoring!$E$32+G144/Scoring!$F$32+H144*Scoring!$G$32+I144*Scoring!$H$32+K144*Scoring!$I$32+RB!L144*Scoring!$J$32</f>
        <v>93.21</v>
      </c>
      <c r="X144" s="20">
        <f t="shared" si="12"/>
        <v>604.6</v>
      </c>
      <c r="Y144" s="20">
        <f t="shared" si="13"/>
        <v>5.1999999999999993</v>
      </c>
      <c r="Z144" s="20">
        <f t="shared" si="14"/>
        <v>116.26923076923079</v>
      </c>
    </row>
    <row r="145" spans="1:26" ht="14.25" customHeight="1" x14ac:dyDescent="0.3">
      <c r="B145" t="s">
        <v>472</v>
      </c>
      <c r="C145">
        <v>178</v>
      </c>
      <c r="D145">
        <v>695</v>
      </c>
      <c r="E145">
        <v>8</v>
      </c>
      <c r="F145">
        <v>10</v>
      </c>
      <c r="G145">
        <v>76</v>
      </c>
      <c r="H145">
        <v>0.2</v>
      </c>
      <c r="I145">
        <v>0.3</v>
      </c>
      <c r="J145">
        <v>110.7</v>
      </c>
      <c r="K145" s="64">
        <f t="shared" si="10"/>
        <v>38.611111111111114</v>
      </c>
      <c r="L145" s="64">
        <f t="shared" si="11"/>
        <v>3.5944654088050312</v>
      </c>
      <c r="M145" s="66"/>
      <c r="N145" s="66"/>
      <c r="O145" s="66"/>
      <c r="X145" s="20">
        <f t="shared" si="12"/>
        <v>771</v>
      </c>
      <c r="Y145" s="20">
        <f t="shared" si="13"/>
        <v>8.1999999999999993</v>
      </c>
      <c r="Z145" s="20">
        <f t="shared" si="14"/>
        <v>94.024390243902445</v>
      </c>
    </row>
    <row r="146" spans="1:26" ht="14.25" customHeight="1" x14ac:dyDescent="0.3">
      <c r="B146" t="s">
        <v>473</v>
      </c>
      <c r="C146">
        <v>100.5</v>
      </c>
      <c r="D146">
        <v>432.6</v>
      </c>
      <c r="E146">
        <v>3.4</v>
      </c>
      <c r="F146">
        <v>2</v>
      </c>
      <c r="G146">
        <v>23</v>
      </c>
      <c r="H146">
        <v>0</v>
      </c>
      <c r="I146">
        <v>1</v>
      </c>
      <c r="J146">
        <v>70.400000000000006</v>
      </c>
      <c r="K146" s="64">
        <f t="shared" si="10"/>
        <v>24.033333333333335</v>
      </c>
      <c r="L146" s="64">
        <f t="shared" si="11"/>
        <v>1.0877987421383648</v>
      </c>
      <c r="M146" s="66"/>
      <c r="N146" s="66"/>
      <c r="O146" s="66"/>
      <c r="X146" s="20">
        <f t="shared" si="12"/>
        <v>455.6</v>
      </c>
      <c r="Y146" s="20">
        <f t="shared" si="13"/>
        <v>3.4</v>
      </c>
      <c r="Z146" s="20">
        <f t="shared" si="14"/>
        <v>134</v>
      </c>
    </row>
    <row r="147" spans="1:26" ht="14.25" customHeight="1" x14ac:dyDescent="0.3">
      <c r="A147" t="s">
        <v>630</v>
      </c>
      <c r="B147" t="s">
        <v>531</v>
      </c>
      <c r="C147">
        <v>126.7</v>
      </c>
      <c r="D147">
        <v>489.7</v>
      </c>
      <c r="E147">
        <v>3.1</v>
      </c>
      <c r="F147">
        <v>17.899999999999999</v>
      </c>
      <c r="G147">
        <v>145.5</v>
      </c>
      <c r="H147">
        <v>0.6</v>
      </c>
      <c r="I147">
        <v>1.2</v>
      </c>
      <c r="J147">
        <v>92.8</v>
      </c>
      <c r="K147" s="64">
        <f t="shared" si="10"/>
        <v>27.205555555555556</v>
      </c>
      <c r="L147" s="64">
        <f t="shared" si="11"/>
        <v>6.8815094339622647</v>
      </c>
      <c r="M147" s="66">
        <f>C149*Scoring!$B$32+D149/Scoring!$C$32+E149*Scoring!$D$32+F149*Scoring!$E$32+G149/Scoring!$F$32+H149*Scoring!$G$32+I149*Scoring!$H$32+K149*Scoring!$I$32+RB!L149*Scoring!$J$32+U147</f>
        <v>100.82574</v>
      </c>
      <c r="N147" s="66">
        <f>C147*Scoring!$B$32+D147/Scoring!$C$32+E147*Scoring!$D$32+F147*Scoring!$E$32+G147/Scoring!$F$32+H147*Scoring!$G$32+I147*Scoring!$H$32+K147*Scoring!$I$32+RB!L147*Scoring!$J$32+U147</f>
        <v>133.81573999999998</v>
      </c>
      <c r="O147" s="66">
        <f>C148*Scoring!$B$32+D148/Scoring!$C$32+E148*Scoring!$D$32+F148*Scoring!$E$32+G148/Scoring!$F$32+H148*Scoring!$G$32+I148*Scoring!$H$32+K148*Scoring!$I$32+L148*Scoring!$J$32+U147</f>
        <v>168.04574</v>
      </c>
      <c r="P147" s="20">
        <f>IF(COUNTIF(Rookies!$A:$A,A147)&gt;0,1,0)</f>
        <v>1</v>
      </c>
      <c r="S147" s="20">
        <f>V147/17</f>
        <v>5.4276470588235286</v>
      </c>
      <c r="T147" s="20">
        <f>IF(P147=1,MAX(0,0.258*(14.9-S147)),0)</f>
        <v>2.4438670588235296</v>
      </c>
      <c r="U147" s="20">
        <f>T147*17</f>
        <v>41.545740000000002</v>
      </c>
      <c r="V147" s="20">
        <f>C147*Scoring!$B$32+D147/Scoring!$C$32+E147*Scoring!$D$32+F147*Scoring!$E$32+G147/Scoring!$F$32+H147*Scoring!$G$32+I147*Scoring!$H$32+K147*Scoring!$I$32+RB!L147*Scoring!$J$32</f>
        <v>92.269999999999982</v>
      </c>
      <c r="X147" s="20">
        <f t="shared" si="12"/>
        <v>635.20000000000005</v>
      </c>
      <c r="Y147" s="20">
        <f t="shared" si="13"/>
        <v>3.7</v>
      </c>
      <c r="Z147" s="20">
        <f t="shared" si="14"/>
        <v>171.67567567567568</v>
      </c>
    </row>
    <row r="148" spans="1:26" ht="14.25" customHeight="1" x14ac:dyDescent="0.3">
      <c r="B148" t="s">
        <v>472</v>
      </c>
      <c r="C148">
        <v>164</v>
      </c>
      <c r="D148">
        <v>611</v>
      </c>
      <c r="E148">
        <v>4</v>
      </c>
      <c r="F148">
        <v>27</v>
      </c>
      <c r="G148">
        <v>227</v>
      </c>
      <c r="H148">
        <v>1</v>
      </c>
      <c r="I148">
        <v>0.4</v>
      </c>
      <c r="J148">
        <v>102</v>
      </c>
      <c r="K148" s="64">
        <f t="shared" si="10"/>
        <v>33.944444444444443</v>
      </c>
      <c r="L148" s="64">
        <f t="shared" si="11"/>
        <v>10.736100628930817</v>
      </c>
      <c r="M148" s="66"/>
      <c r="N148" s="66"/>
      <c r="O148" s="66"/>
      <c r="X148" s="20">
        <f t="shared" si="12"/>
        <v>838</v>
      </c>
      <c r="Y148" s="20">
        <f t="shared" si="13"/>
        <v>5</v>
      </c>
      <c r="Z148" s="20">
        <f t="shared" si="14"/>
        <v>167.6</v>
      </c>
    </row>
    <row r="149" spans="1:26" ht="14.25" customHeight="1" x14ac:dyDescent="0.3">
      <c r="B149" t="s">
        <v>473</v>
      </c>
      <c r="C149">
        <v>89.4</v>
      </c>
      <c r="D149">
        <v>368.4</v>
      </c>
      <c r="E149">
        <v>2.2999999999999998</v>
      </c>
      <c r="F149">
        <v>8.9</v>
      </c>
      <c r="G149">
        <v>63.9</v>
      </c>
      <c r="H149">
        <v>0.3</v>
      </c>
      <c r="I149">
        <v>2</v>
      </c>
      <c r="J149">
        <v>67.2</v>
      </c>
      <c r="K149" s="64">
        <f t="shared" si="10"/>
        <v>20.466666666666665</v>
      </c>
      <c r="L149" s="64">
        <f t="shared" si="11"/>
        <v>3.022188679245283</v>
      </c>
      <c r="M149" s="66"/>
      <c r="N149" s="66"/>
      <c r="O149" s="66"/>
      <c r="X149" s="20">
        <f t="shared" si="12"/>
        <v>432.29999999999995</v>
      </c>
      <c r="Y149" s="20">
        <f t="shared" si="13"/>
        <v>2.5999999999999996</v>
      </c>
      <c r="Z149" s="20">
        <f t="shared" si="14"/>
        <v>166.26923076923077</v>
      </c>
    </row>
    <row r="150" spans="1:26" ht="14.25" customHeight="1" x14ac:dyDescent="0.3">
      <c r="A150" t="s">
        <v>635</v>
      </c>
      <c r="B150" t="s">
        <v>535</v>
      </c>
      <c r="C150">
        <v>74.2</v>
      </c>
      <c r="D150">
        <v>256.7</v>
      </c>
      <c r="E150">
        <v>1.4</v>
      </c>
      <c r="F150">
        <v>37.9</v>
      </c>
      <c r="G150">
        <v>291.7</v>
      </c>
      <c r="H150">
        <v>2.1</v>
      </c>
      <c r="I150">
        <v>1.2</v>
      </c>
      <c r="J150">
        <v>92</v>
      </c>
      <c r="K150" s="64">
        <f t="shared" si="10"/>
        <v>14.261111111111111</v>
      </c>
      <c r="L150" s="64">
        <f t="shared" si="11"/>
        <v>13.796125786163522</v>
      </c>
      <c r="M150" s="66">
        <f>C152*Scoring!$B$32+D152/Scoring!$C$32+E152*Scoring!$D$32+F152*Scoring!$E$32+G152/Scoring!$F$32+H152*Scoring!$G$32+I152*Scoring!$H$32+K152*Scoring!$I$32+RB!L152*Scoring!$J$32+U150</f>
        <v>68.52</v>
      </c>
      <c r="N150" s="66">
        <f>C150*Scoring!$B$32+D150/Scoring!$C$32+E150*Scoring!$D$32+F150*Scoring!$E$32+G150/Scoring!$F$32+H150*Scoring!$G$32+I150*Scoring!$H$32+K150*Scoring!$I$32+RB!L150*Scoring!$J$32+U150</f>
        <v>92.389999999999986</v>
      </c>
      <c r="O150" s="66">
        <f>C151*Scoring!$B$32+D151/Scoring!$C$32+E151*Scoring!$D$32+F151*Scoring!$E$32+G151/Scoring!$F$32+H151*Scoring!$G$32+I151*Scoring!$H$32+K151*Scoring!$I$32+L151*Scoring!$J$32+U150</f>
        <v>115.2</v>
      </c>
      <c r="P150" s="20">
        <f>IF(COUNTIF(Rookies!$A:$A,A150)&gt;0,1,0)</f>
        <v>0</v>
      </c>
      <c r="S150" s="20">
        <f>V150/17</f>
        <v>5.4347058823529402</v>
      </c>
      <c r="T150" s="20">
        <f>IF(P150=1,MAX(0,0.258*(14.9-S150)),0)</f>
        <v>0</v>
      </c>
      <c r="U150" s="20">
        <f>T150*17</f>
        <v>0</v>
      </c>
      <c r="V150" s="20">
        <f>C150*Scoring!$B$32+D150/Scoring!$C$32+E150*Scoring!$D$32+F150*Scoring!$E$32+G150/Scoring!$F$32+H150*Scoring!$G$32+I150*Scoring!$H$32+K150*Scoring!$I$32+RB!L150*Scoring!$J$32</f>
        <v>92.389999999999986</v>
      </c>
      <c r="X150" s="20">
        <f t="shared" si="12"/>
        <v>548.4</v>
      </c>
      <c r="Y150" s="20">
        <f t="shared" si="13"/>
        <v>3.5</v>
      </c>
      <c r="Z150" s="20">
        <f t="shared" si="14"/>
        <v>156.68571428571428</v>
      </c>
    </row>
    <row r="151" spans="1:26" ht="14.25" customHeight="1" x14ac:dyDescent="0.3">
      <c r="B151" t="s">
        <v>472</v>
      </c>
      <c r="C151">
        <v>105</v>
      </c>
      <c r="D151">
        <v>289</v>
      </c>
      <c r="E151">
        <v>2</v>
      </c>
      <c r="F151">
        <v>44</v>
      </c>
      <c r="G151">
        <v>351</v>
      </c>
      <c r="H151">
        <v>3</v>
      </c>
      <c r="I151">
        <v>0.4</v>
      </c>
      <c r="J151">
        <v>113.1</v>
      </c>
      <c r="K151" s="64">
        <f t="shared" si="10"/>
        <v>16.055555555555557</v>
      </c>
      <c r="L151" s="64">
        <f t="shared" si="11"/>
        <v>16.600754716981132</v>
      </c>
      <c r="M151" s="66"/>
      <c r="N151" s="66"/>
      <c r="O151" s="66"/>
      <c r="X151" s="20">
        <f t="shared" si="12"/>
        <v>640</v>
      </c>
      <c r="Y151" s="20">
        <f t="shared" si="13"/>
        <v>5</v>
      </c>
      <c r="Z151" s="20">
        <f t="shared" si="14"/>
        <v>128</v>
      </c>
    </row>
    <row r="152" spans="1:26" ht="14.25" customHeight="1" x14ac:dyDescent="0.3">
      <c r="B152" t="s">
        <v>473</v>
      </c>
      <c r="C152">
        <v>56.6</v>
      </c>
      <c r="D152">
        <v>236.1</v>
      </c>
      <c r="E152">
        <v>1</v>
      </c>
      <c r="F152">
        <v>29.8</v>
      </c>
      <c r="G152">
        <v>208.1</v>
      </c>
      <c r="H152">
        <v>1.2</v>
      </c>
      <c r="I152">
        <v>2</v>
      </c>
      <c r="J152">
        <v>77.3</v>
      </c>
      <c r="K152" s="64">
        <f t="shared" si="10"/>
        <v>13.116666666666665</v>
      </c>
      <c r="L152" s="64">
        <f t="shared" si="11"/>
        <v>9.8422138364779848</v>
      </c>
      <c r="M152" s="66"/>
      <c r="N152" s="66"/>
      <c r="O152" s="66"/>
      <c r="X152" s="20">
        <f t="shared" si="12"/>
        <v>444.2</v>
      </c>
      <c r="Y152" s="20">
        <f t="shared" si="13"/>
        <v>2.2000000000000002</v>
      </c>
      <c r="Z152" s="20">
        <f t="shared" si="14"/>
        <v>201.90909090909088</v>
      </c>
    </row>
    <row r="153" spans="1:26" ht="14.25" customHeight="1" x14ac:dyDescent="0.3">
      <c r="A153" t="s">
        <v>634</v>
      </c>
      <c r="B153" t="s">
        <v>521</v>
      </c>
      <c r="C153">
        <v>121</v>
      </c>
      <c r="D153">
        <v>532</v>
      </c>
      <c r="E153">
        <v>3</v>
      </c>
      <c r="F153">
        <v>18</v>
      </c>
      <c r="G153">
        <v>146</v>
      </c>
      <c r="H153">
        <v>1</v>
      </c>
      <c r="I153">
        <v>5</v>
      </c>
      <c r="J153">
        <v>90.8</v>
      </c>
      <c r="K153" s="64">
        <f t="shared" si="10"/>
        <v>29.555555555555554</v>
      </c>
      <c r="L153" s="64">
        <f t="shared" si="11"/>
        <v>6.9051572327044015</v>
      </c>
      <c r="M153" s="66">
        <f>C155*Scoring!$B$32+D155/Scoring!$C$32+E155*Scoring!$D$32+F155*Scoring!$E$32+G155/Scoring!$F$32+H155*Scoring!$G$32+I155*Scoring!$H$32+K155*Scoring!$I$32+RB!L155*Scoring!$J$32+U153</f>
        <v>90.8</v>
      </c>
      <c r="N153" s="66">
        <f>C153*Scoring!$B$32+D153/Scoring!$C$32+E153*Scoring!$D$32+F153*Scoring!$E$32+G153/Scoring!$F$32+H153*Scoring!$G$32+I153*Scoring!$H$32+K153*Scoring!$I$32+RB!L153*Scoring!$J$32+U153</f>
        <v>90.8</v>
      </c>
      <c r="O153" s="66">
        <f>C154*Scoring!$B$32+D154/Scoring!$C$32+E154*Scoring!$D$32+F154*Scoring!$E$32+G154/Scoring!$F$32+H154*Scoring!$G$32+I154*Scoring!$H$32+K154*Scoring!$I$32+L154*Scoring!$J$32+U153</f>
        <v>90.8</v>
      </c>
      <c r="P153" s="20">
        <f>IF(COUNTIF(Rookies!$A:$A,A153)&gt;0,1,0)</f>
        <v>0</v>
      </c>
      <c r="S153" s="20">
        <f>V153/17</f>
        <v>5.341176470588235</v>
      </c>
      <c r="T153" s="20">
        <f>IF(P153=1,MAX(0,0.258*(14.9-S153)),0)</f>
        <v>0</v>
      </c>
      <c r="U153" s="20">
        <f>T153*17</f>
        <v>0</v>
      </c>
      <c r="V153" s="20">
        <f>C153*Scoring!$B$32+D153/Scoring!$C$32+E153*Scoring!$D$32+F153*Scoring!$E$32+G153/Scoring!$F$32+H153*Scoring!$G$32+I153*Scoring!$H$32+K153*Scoring!$I$32+RB!L153*Scoring!$J$32</f>
        <v>90.8</v>
      </c>
      <c r="X153" s="20">
        <f t="shared" si="12"/>
        <v>678</v>
      </c>
      <c r="Y153" s="20">
        <f t="shared" si="13"/>
        <v>4</v>
      </c>
      <c r="Z153" s="20">
        <f t="shared" si="14"/>
        <v>169.5</v>
      </c>
    </row>
    <row r="154" spans="1:26" ht="14.25" customHeight="1" x14ac:dyDescent="0.3">
      <c r="B154" t="s">
        <v>472</v>
      </c>
      <c r="C154">
        <v>121</v>
      </c>
      <c r="D154">
        <v>532</v>
      </c>
      <c r="E154">
        <v>3</v>
      </c>
      <c r="F154">
        <v>18</v>
      </c>
      <c r="G154">
        <v>146</v>
      </c>
      <c r="H154">
        <v>1</v>
      </c>
      <c r="I154">
        <v>5</v>
      </c>
      <c r="J154">
        <v>75</v>
      </c>
      <c r="K154" s="64">
        <f t="shared" si="10"/>
        <v>29.555555555555554</v>
      </c>
      <c r="L154" s="64">
        <f t="shared" si="11"/>
        <v>6.9051572327044015</v>
      </c>
      <c r="M154" s="66"/>
      <c r="N154" s="66"/>
      <c r="O154" s="66"/>
      <c r="X154" s="20">
        <f t="shared" si="12"/>
        <v>678</v>
      </c>
      <c r="Y154" s="20">
        <f t="shared" si="13"/>
        <v>4</v>
      </c>
      <c r="Z154" s="20">
        <f t="shared" si="14"/>
        <v>169.5</v>
      </c>
    </row>
    <row r="155" spans="1:26" ht="14.25" customHeight="1" x14ac:dyDescent="0.3">
      <c r="B155" t="s">
        <v>473</v>
      </c>
      <c r="C155">
        <v>121</v>
      </c>
      <c r="D155">
        <v>532</v>
      </c>
      <c r="E155">
        <v>3</v>
      </c>
      <c r="F155">
        <v>18</v>
      </c>
      <c r="G155">
        <v>146</v>
      </c>
      <c r="H155">
        <v>1</v>
      </c>
      <c r="I155">
        <v>5</v>
      </c>
      <c r="J155">
        <v>75</v>
      </c>
      <c r="K155" s="64">
        <f t="shared" si="10"/>
        <v>29.555555555555554</v>
      </c>
      <c r="L155" s="64">
        <f t="shared" si="11"/>
        <v>6.9051572327044015</v>
      </c>
      <c r="M155" s="66"/>
      <c r="N155" s="66"/>
      <c r="O155" s="66"/>
      <c r="X155" s="20">
        <f t="shared" si="12"/>
        <v>678</v>
      </c>
      <c r="Y155" s="20">
        <f t="shared" si="13"/>
        <v>4</v>
      </c>
      <c r="Z155" s="20">
        <f t="shared" si="14"/>
        <v>169.5</v>
      </c>
    </row>
    <row r="156" spans="1:26" ht="14.25" customHeight="1" x14ac:dyDescent="0.3">
      <c r="A156" t="s">
        <v>637</v>
      </c>
      <c r="B156" t="s">
        <v>523</v>
      </c>
      <c r="C156">
        <v>111.7</v>
      </c>
      <c r="D156">
        <v>448.9</v>
      </c>
      <c r="E156">
        <v>4.5</v>
      </c>
      <c r="F156">
        <v>13.9</v>
      </c>
      <c r="G156">
        <v>100.8</v>
      </c>
      <c r="H156">
        <v>0.7</v>
      </c>
      <c r="I156">
        <v>1.7</v>
      </c>
      <c r="J156">
        <v>89.6</v>
      </c>
      <c r="K156" s="64">
        <f t="shared" si="10"/>
        <v>24.93888888888889</v>
      </c>
      <c r="L156" s="64">
        <f t="shared" si="11"/>
        <v>4.7673962264150935</v>
      </c>
      <c r="M156" s="66">
        <f>C158*Scoring!$B$32+D158/Scoring!$C$32+E158*Scoring!$D$32+F158*Scoring!$E$32+G158/Scoring!$F$32+H158*Scoring!$G$32+I158*Scoring!$H$32+K158*Scoring!$I$32+RB!L158*Scoring!$J$32+U156</f>
        <v>64.02</v>
      </c>
      <c r="N156" s="66">
        <f>C156*Scoring!$B$32+D156/Scoring!$C$32+E156*Scoring!$D$32+F156*Scoring!$E$32+G156/Scoring!$F$32+H156*Scoring!$G$32+I156*Scoring!$H$32+K156*Scoring!$I$32+RB!L156*Scoring!$J$32+U156</f>
        <v>89.72</v>
      </c>
      <c r="O156" s="66">
        <f>C157*Scoring!$B$32+D157/Scoring!$C$32+E157*Scoring!$D$32+F157*Scoring!$E$32+G157/Scoring!$F$32+H157*Scoring!$G$32+I157*Scoring!$H$32+K157*Scoring!$I$32+L157*Scoring!$J$32+U156</f>
        <v>114.8</v>
      </c>
      <c r="P156" s="20">
        <f>IF(COUNTIF(Rookies!$A:$A,A156)&gt;0,1,0)</f>
        <v>0</v>
      </c>
      <c r="S156" s="20">
        <f>V156/17</f>
        <v>5.2776470588235291</v>
      </c>
      <c r="T156" s="20">
        <f>IF(P156=1,MAX(0,0.258*(14.9-S156)),0)</f>
        <v>0</v>
      </c>
      <c r="U156" s="20">
        <f>T156*17</f>
        <v>0</v>
      </c>
      <c r="V156" s="20">
        <f>C156*Scoring!$B$32+D156/Scoring!$C$32+E156*Scoring!$D$32+F156*Scoring!$E$32+G156/Scoring!$F$32+H156*Scoring!$G$32+I156*Scoring!$H$32+K156*Scoring!$I$32+RB!L156*Scoring!$J$32</f>
        <v>89.72</v>
      </c>
      <c r="X156" s="20">
        <f t="shared" si="12"/>
        <v>549.69999999999993</v>
      </c>
      <c r="Y156" s="20">
        <f t="shared" si="13"/>
        <v>5.2</v>
      </c>
      <c r="Z156" s="20">
        <f t="shared" si="14"/>
        <v>105.71153846153844</v>
      </c>
    </row>
    <row r="157" spans="1:26" ht="14.25" customHeight="1" x14ac:dyDescent="0.3">
      <c r="B157" t="s">
        <v>472</v>
      </c>
      <c r="C157">
        <v>141</v>
      </c>
      <c r="D157">
        <v>550</v>
      </c>
      <c r="E157">
        <v>6</v>
      </c>
      <c r="F157">
        <v>15</v>
      </c>
      <c r="G157">
        <v>111</v>
      </c>
      <c r="H157">
        <v>1</v>
      </c>
      <c r="I157">
        <v>0.4</v>
      </c>
      <c r="J157">
        <v>93.9</v>
      </c>
      <c r="K157" s="64">
        <f t="shared" si="10"/>
        <v>30.555555555555557</v>
      </c>
      <c r="L157" s="64">
        <f t="shared" si="11"/>
        <v>5.2498113207547172</v>
      </c>
      <c r="M157" s="66"/>
      <c r="N157" s="66"/>
      <c r="O157" s="66"/>
      <c r="X157" s="20">
        <f t="shared" si="12"/>
        <v>661</v>
      </c>
      <c r="Y157" s="20">
        <f t="shared" si="13"/>
        <v>7</v>
      </c>
      <c r="Z157" s="20">
        <f t="shared" si="14"/>
        <v>94.428571428571431</v>
      </c>
    </row>
    <row r="158" spans="1:26" ht="14.25" customHeight="1" x14ac:dyDescent="0.3">
      <c r="B158" t="s">
        <v>473</v>
      </c>
      <c r="C158">
        <v>82.4</v>
      </c>
      <c r="D158">
        <v>347.7</v>
      </c>
      <c r="E158">
        <v>2.9</v>
      </c>
      <c r="F158">
        <v>12.8</v>
      </c>
      <c r="G158">
        <v>90.5</v>
      </c>
      <c r="H158">
        <v>0.4</v>
      </c>
      <c r="I158">
        <v>3</v>
      </c>
      <c r="J158">
        <v>71</v>
      </c>
      <c r="K158" s="64">
        <f t="shared" si="10"/>
        <v>19.316666666666663</v>
      </c>
      <c r="L158" s="64">
        <f t="shared" si="11"/>
        <v>4.2802515723270442</v>
      </c>
      <c r="M158" s="66"/>
      <c r="N158" s="66"/>
      <c r="O158" s="66"/>
      <c r="X158" s="20">
        <f t="shared" si="12"/>
        <v>438.2</v>
      </c>
      <c r="Y158" s="20">
        <f t="shared" si="13"/>
        <v>3.3</v>
      </c>
      <c r="Z158" s="20">
        <f t="shared" si="14"/>
        <v>132.78787878787878</v>
      </c>
    </row>
    <row r="159" spans="1:26" ht="14.25" customHeight="1" x14ac:dyDescent="0.3">
      <c r="A159" t="s">
        <v>638</v>
      </c>
      <c r="B159" t="s">
        <v>483</v>
      </c>
      <c r="C159">
        <v>98.4</v>
      </c>
      <c r="D159">
        <v>441.3</v>
      </c>
      <c r="E159">
        <v>3.7</v>
      </c>
      <c r="F159">
        <v>17.899999999999999</v>
      </c>
      <c r="G159">
        <v>135.6</v>
      </c>
      <c r="H159">
        <v>0.4</v>
      </c>
      <c r="I159">
        <v>1.9</v>
      </c>
      <c r="J159">
        <v>87.1</v>
      </c>
      <c r="K159" s="64">
        <f t="shared" si="10"/>
        <v>24.516666666666666</v>
      </c>
      <c r="L159" s="64">
        <f t="shared" si="11"/>
        <v>6.4132830188679248</v>
      </c>
      <c r="M159" s="66">
        <f>C161*Scoring!$B$32+D161/Scoring!$C$32+E161*Scoring!$D$32+F161*Scoring!$E$32+G161/Scoring!$F$32+H161*Scoring!$G$32+I161*Scoring!$H$32+K161*Scoring!$I$32+RB!L161*Scoring!$J$32+U159</f>
        <v>79.459999999999994</v>
      </c>
      <c r="N159" s="66">
        <f>C159*Scoring!$B$32+D159/Scoring!$C$32+E159*Scoring!$D$32+F159*Scoring!$E$32+G159/Scoring!$F$32+H159*Scoring!$G$32+I159*Scoring!$H$32+K159*Scoring!$I$32+RB!L159*Scoring!$J$32+U159</f>
        <v>87.440000000000026</v>
      </c>
      <c r="O159" s="66">
        <f>C160*Scoring!$B$32+D160/Scoring!$C$32+E160*Scoring!$D$32+F160*Scoring!$E$32+G160/Scoring!$F$32+H160*Scoring!$G$32+I160*Scoring!$H$32+K160*Scoring!$I$32+L160*Scoring!$J$32+U159</f>
        <v>94.220000000000013</v>
      </c>
      <c r="P159" s="20">
        <f>IF(COUNTIF(Rookies!$A:$A,A159)&gt;0,1,0)</f>
        <v>0</v>
      </c>
      <c r="S159" s="20">
        <f>V159/17</f>
        <v>5.1435294117647077</v>
      </c>
      <c r="T159" s="20">
        <f>IF(P159=1,MAX(0,0.258*(14.9-S159)),0)</f>
        <v>0</v>
      </c>
      <c r="U159" s="20">
        <f>T159*17</f>
        <v>0</v>
      </c>
      <c r="V159" s="20">
        <f>C159*Scoring!$B$32+D159/Scoring!$C$32+E159*Scoring!$D$32+F159*Scoring!$E$32+G159/Scoring!$F$32+H159*Scoring!$G$32+I159*Scoring!$H$32+K159*Scoring!$I$32+RB!L159*Scoring!$J$32</f>
        <v>87.440000000000026</v>
      </c>
      <c r="X159" s="20">
        <f t="shared" si="12"/>
        <v>576.9</v>
      </c>
      <c r="Y159" s="20">
        <f t="shared" si="13"/>
        <v>4.1000000000000005</v>
      </c>
      <c r="Z159" s="20">
        <f t="shared" si="14"/>
        <v>140.70731707317071</v>
      </c>
    </row>
    <row r="160" spans="1:26" ht="14.25" customHeight="1" x14ac:dyDescent="0.3">
      <c r="B160" t="s">
        <v>472</v>
      </c>
      <c r="C160">
        <v>100.9</v>
      </c>
      <c r="D160">
        <v>443</v>
      </c>
      <c r="E160">
        <v>4</v>
      </c>
      <c r="F160">
        <v>18.8</v>
      </c>
      <c r="G160">
        <v>139.19999999999999</v>
      </c>
      <c r="H160">
        <v>0.7</v>
      </c>
      <c r="I160">
        <v>0.8</v>
      </c>
      <c r="J160">
        <v>90.5</v>
      </c>
      <c r="K160" s="64">
        <f t="shared" si="10"/>
        <v>24.611111111111114</v>
      </c>
      <c r="L160" s="64">
        <f t="shared" si="11"/>
        <v>6.5835471698113199</v>
      </c>
      <c r="M160" s="66"/>
      <c r="N160" s="66"/>
      <c r="O160" s="66"/>
      <c r="X160" s="20">
        <f t="shared" si="12"/>
        <v>582.20000000000005</v>
      </c>
      <c r="Y160" s="20">
        <f t="shared" si="13"/>
        <v>4.7</v>
      </c>
      <c r="Z160" s="20">
        <f t="shared" si="14"/>
        <v>123.87234042553192</v>
      </c>
    </row>
    <row r="161" spans="1:26" ht="14.25" customHeight="1" x14ac:dyDescent="0.3">
      <c r="B161" t="s">
        <v>473</v>
      </c>
      <c r="C161">
        <v>96</v>
      </c>
      <c r="D161">
        <v>439.6</v>
      </c>
      <c r="E161">
        <v>3.3</v>
      </c>
      <c r="F161">
        <v>17</v>
      </c>
      <c r="G161">
        <v>132</v>
      </c>
      <c r="H161">
        <v>0</v>
      </c>
      <c r="I161">
        <v>3</v>
      </c>
      <c r="J161">
        <v>68</v>
      </c>
      <c r="K161" s="64">
        <f t="shared" si="10"/>
        <v>24.422222222222224</v>
      </c>
      <c r="L161" s="64">
        <f t="shared" si="11"/>
        <v>6.243018867924528</v>
      </c>
      <c r="M161" s="66"/>
      <c r="N161" s="66"/>
      <c r="O161" s="66"/>
      <c r="X161" s="20">
        <f t="shared" si="12"/>
        <v>571.6</v>
      </c>
      <c r="Y161" s="20">
        <f t="shared" si="13"/>
        <v>3.3</v>
      </c>
      <c r="Z161" s="20">
        <f t="shared" si="14"/>
        <v>173.21212121212122</v>
      </c>
    </row>
    <row r="162" spans="1:26" ht="14.25" customHeight="1" x14ac:dyDescent="0.3">
      <c r="A162" t="s">
        <v>639</v>
      </c>
      <c r="B162" t="s">
        <v>527</v>
      </c>
      <c r="C162">
        <v>107.7</v>
      </c>
      <c r="D162">
        <v>408</v>
      </c>
      <c r="E162">
        <v>3.8</v>
      </c>
      <c r="F162">
        <v>17.5</v>
      </c>
      <c r="G162">
        <v>115.9</v>
      </c>
      <c r="H162">
        <v>0.1</v>
      </c>
      <c r="I162">
        <v>0.6</v>
      </c>
      <c r="J162">
        <v>83.4</v>
      </c>
      <c r="K162" s="64">
        <f t="shared" si="10"/>
        <v>22.666666666666668</v>
      </c>
      <c r="L162" s="64">
        <f t="shared" si="11"/>
        <v>5.4815597484276726</v>
      </c>
      <c r="M162" s="66">
        <f>C164*Scoring!$B$32+D164/Scoring!$C$32+E164*Scoring!$D$32+F164*Scoring!$E$32+G164/Scoring!$F$32+H164*Scoring!$G$32+I164*Scoring!$H$32+K164*Scoring!$I$32+RB!L164*Scoring!$J$32+U162</f>
        <v>72.699999999999989</v>
      </c>
      <c r="N162" s="66">
        <f>C162*Scoring!$B$32+D162/Scoring!$C$32+E162*Scoring!$D$32+F162*Scoring!$E$32+G162/Scoring!$F$32+H162*Scoring!$G$32+I162*Scoring!$H$32+K162*Scoring!$I$32+RB!L162*Scoring!$J$32+U162</f>
        <v>83.339999999999989</v>
      </c>
      <c r="O162" s="66">
        <f>C163*Scoring!$B$32+D163/Scoring!$C$32+E163*Scoring!$D$32+F163*Scoring!$E$32+G163/Scoring!$F$32+H163*Scoring!$G$32+I163*Scoring!$H$32+K163*Scoring!$I$32+L163*Scoring!$J$32+U162</f>
        <v>98.160000000000011</v>
      </c>
      <c r="P162" s="20">
        <f>IF(COUNTIF(Rookies!$A:$A,A162)&gt;0,1,0)</f>
        <v>0</v>
      </c>
      <c r="S162" s="20">
        <f>V162/17</f>
        <v>4.9023529411764697</v>
      </c>
      <c r="T162" s="20">
        <f>IF(P162=1,MAX(0,0.258*(14.9-S162)),0)</f>
        <v>0</v>
      </c>
      <c r="U162" s="20">
        <f>T162*17</f>
        <v>0</v>
      </c>
      <c r="V162" s="20">
        <f>C162*Scoring!$B$32+D162/Scoring!$C$32+E162*Scoring!$D$32+F162*Scoring!$E$32+G162/Scoring!$F$32+H162*Scoring!$G$32+I162*Scoring!$H$32+K162*Scoring!$I$32+RB!L162*Scoring!$J$32</f>
        <v>83.339999999999989</v>
      </c>
      <c r="X162" s="20">
        <f t="shared" si="12"/>
        <v>523.9</v>
      </c>
      <c r="Y162" s="20">
        <f t="shared" si="13"/>
        <v>3.9</v>
      </c>
      <c r="Z162" s="20">
        <f t="shared" si="14"/>
        <v>134.33333333333334</v>
      </c>
    </row>
    <row r="163" spans="1:26" ht="14.25" customHeight="1" x14ac:dyDescent="0.3">
      <c r="B163" t="s">
        <v>472</v>
      </c>
      <c r="C163">
        <v>126</v>
      </c>
      <c r="D163">
        <v>442</v>
      </c>
      <c r="E163">
        <v>5</v>
      </c>
      <c r="F163">
        <v>18.399999999999999</v>
      </c>
      <c r="G163">
        <v>127.6</v>
      </c>
      <c r="H163">
        <v>0.4</v>
      </c>
      <c r="I163">
        <v>0.2</v>
      </c>
      <c r="J163">
        <v>87.2</v>
      </c>
      <c r="K163" s="64">
        <f t="shared" si="10"/>
        <v>24.555555555555554</v>
      </c>
      <c r="L163" s="64">
        <f t="shared" si="11"/>
        <v>6.0349182389937095</v>
      </c>
      <c r="M163" s="66"/>
      <c r="N163" s="66"/>
      <c r="O163" s="66"/>
      <c r="X163" s="20">
        <f t="shared" si="12"/>
        <v>569.6</v>
      </c>
      <c r="Y163" s="20">
        <f t="shared" si="13"/>
        <v>5.4</v>
      </c>
      <c r="Z163" s="20">
        <f t="shared" si="14"/>
        <v>105.48148148148148</v>
      </c>
    </row>
    <row r="164" spans="1:26" ht="14.25" customHeight="1" x14ac:dyDescent="0.3">
      <c r="B164" t="s">
        <v>473</v>
      </c>
      <c r="C164">
        <v>98</v>
      </c>
      <c r="D164">
        <v>391</v>
      </c>
      <c r="E164">
        <v>3</v>
      </c>
      <c r="F164">
        <v>16</v>
      </c>
      <c r="G164">
        <v>96</v>
      </c>
      <c r="H164">
        <v>0</v>
      </c>
      <c r="I164">
        <v>1</v>
      </c>
      <c r="J164">
        <v>76.7</v>
      </c>
      <c r="K164" s="64">
        <f t="shared" si="10"/>
        <v>21.722222222222221</v>
      </c>
      <c r="L164" s="64">
        <f t="shared" si="11"/>
        <v>4.5403773584905656</v>
      </c>
      <c r="M164" s="66"/>
      <c r="N164" s="66"/>
      <c r="O164" s="66"/>
      <c r="X164" s="20">
        <f t="shared" si="12"/>
        <v>487</v>
      </c>
      <c r="Y164" s="20">
        <f t="shared" si="13"/>
        <v>3</v>
      </c>
      <c r="Z164" s="20">
        <f t="shared" si="14"/>
        <v>162.33333333333334</v>
      </c>
    </row>
    <row r="165" spans="1:26" ht="14.25" customHeight="1" x14ac:dyDescent="0.3">
      <c r="A165" t="s">
        <v>640</v>
      </c>
      <c r="B165" t="s">
        <v>487</v>
      </c>
      <c r="C165">
        <v>113.6</v>
      </c>
      <c r="D165">
        <v>452.1</v>
      </c>
      <c r="E165">
        <v>3.6</v>
      </c>
      <c r="F165">
        <v>10.6</v>
      </c>
      <c r="G165">
        <v>95.2</v>
      </c>
      <c r="H165">
        <v>0.7</v>
      </c>
      <c r="I165">
        <v>1.2</v>
      </c>
      <c r="J165">
        <v>83.3</v>
      </c>
      <c r="K165" s="64">
        <f t="shared" si="10"/>
        <v>25.116666666666671</v>
      </c>
      <c r="L165" s="64">
        <f t="shared" si="11"/>
        <v>4.5025408805031448</v>
      </c>
      <c r="M165" s="66">
        <f>C167*Scoring!$B$32+D167/Scoring!$C$32+E167*Scoring!$D$32+F167*Scoring!$E$32+G167/Scoring!$F$32+H167*Scoring!$G$32+I167*Scoring!$H$32+K167*Scoring!$I$32+RB!L167*Scoring!$J$32+U165</f>
        <v>96.836459999999988</v>
      </c>
      <c r="N165" s="66">
        <f>C165*Scoring!$B$32+D165/Scoring!$C$32+E165*Scoring!$D$32+F165*Scoring!$E$32+G165/Scoring!$F$32+H165*Scoring!$G$32+I165*Scoring!$H$32+K165*Scoring!$I$32+RB!L165*Scoring!$J$32+U165</f>
        <v>127.25645999999999</v>
      </c>
      <c r="O165" s="66">
        <f>C166*Scoring!$B$32+D166/Scoring!$C$32+E166*Scoring!$D$32+F166*Scoring!$E$32+G166/Scoring!$F$32+H166*Scoring!$G$32+I166*Scoring!$H$32+K166*Scoring!$I$32+L166*Scoring!$J$32+U165</f>
        <v>157.82646</v>
      </c>
      <c r="P165" s="20">
        <f>IF(COUNTIF(Rookies!$A:$A,A165)&gt;0,1,0)</f>
        <v>1</v>
      </c>
      <c r="S165" s="20">
        <f>V165/17</f>
        <v>4.907647058823529</v>
      </c>
      <c r="T165" s="20">
        <f>IF(P165=1,MAX(0,0.258*(14.9-S165)),0)</f>
        <v>2.5780270588235292</v>
      </c>
      <c r="U165" s="20">
        <f>T165*17</f>
        <v>43.826459999999997</v>
      </c>
      <c r="V165" s="20">
        <f>C165*Scoring!$B$32+D165/Scoring!$C$32+E165*Scoring!$D$32+F165*Scoring!$E$32+G165/Scoring!$F$32+H165*Scoring!$G$32+I165*Scoring!$H$32+K165*Scoring!$I$32+RB!L165*Scoring!$J$32</f>
        <v>83.429999999999993</v>
      </c>
      <c r="X165" s="20">
        <f t="shared" si="12"/>
        <v>547.30000000000007</v>
      </c>
      <c r="Y165" s="20">
        <f t="shared" si="13"/>
        <v>4.3</v>
      </c>
      <c r="Z165" s="20">
        <f t="shared" si="14"/>
        <v>127.27906976744188</v>
      </c>
    </row>
    <row r="166" spans="1:26" ht="14.25" customHeight="1" x14ac:dyDescent="0.3">
      <c r="B166" t="s">
        <v>472</v>
      </c>
      <c r="C166">
        <v>152</v>
      </c>
      <c r="D166">
        <v>593</v>
      </c>
      <c r="E166">
        <v>5</v>
      </c>
      <c r="F166">
        <v>13</v>
      </c>
      <c r="G166">
        <v>128</v>
      </c>
      <c r="H166">
        <v>1</v>
      </c>
      <c r="I166">
        <v>0.3</v>
      </c>
      <c r="J166">
        <v>92.3</v>
      </c>
      <c r="K166" s="64">
        <f t="shared" si="10"/>
        <v>32.944444444444443</v>
      </c>
      <c r="L166" s="64">
        <f t="shared" si="11"/>
        <v>6.0538364779874216</v>
      </c>
      <c r="M166" s="66"/>
      <c r="N166" s="66"/>
      <c r="O166" s="66"/>
      <c r="X166" s="20">
        <f t="shared" si="12"/>
        <v>721</v>
      </c>
      <c r="Y166" s="20">
        <f t="shared" si="13"/>
        <v>6</v>
      </c>
      <c r="Z166" s="20">
        <f t="shared" si="14"/>
        <v>120.16666666666667</v>
      </c>
    </row>
    <row r="167" spans="1:26" ht="14.25" customHeight="1" x14ac:dyDescent="0.3">
      <c r="B167" t="s">
        <v>473</v>
      </c>
      <c r="C167">
        <v>75.2</v>
      </c>
      <c r="D167">
        <v>311.10000000000002</v>
      </c>
      <c r="E167">
        <v>2.2000000000000002</v>
      </c>
      <c r="F167">
        <v>8.1</v>
      </c>
      <c r="G167">
        <v>62.5</v>
      </c>
      <c r="H167">
        <v>0.4</v>
      </c>
      <c r="I167">
        <v>2</v>
      </c>
      <c r="J167">
        <v>57.5</v>
      </c>
      <c r="K167" s="64">
        <f t="shared" si="10"/>
        <v>17.283333333333331</v>
      </c>
      <c r="L167" s="64">
        <f t="shared" si="11"/>
        <v>2.9559748427672958</v>
      </c>
      <c r="M167" s="66"/>
      <c r="N167" s="66"/>
      <c r="O167" s="66"/>
      <c r="X167" s="20">
        <f t="shared" si="12"/>
        <v>373.6</v>
      </c>
      <c r="Y167" s="20">
        <f t="shared" si="13"/>
        <v>2.6</v>
      </c>
      <c r="Z167" s="20">
        <f t="shared" si="14"/>
        <v>143.69230769230771</v>
      </c>
    </row>
    <row r="168" spans="1:26" ht="14.25" customHeight="1" x14ac:dyDescent="0.3">
      <c r="A168" t="s">
        <v>641</v>
      </c>
      <c r="B168" t="s">
        <v>471</v>
      </c>
      <c r="C168">
        <v>51.9</v>
      </c>
      <c r="D168">
        <v>222.5</v>
      </c>
      <c r="E168">
        <v>2.1</v>
      </c>
      <c r="F168">
        <v>22.8</v>
      </c>
      <c r="G168">
        <v>244.1</v>
      </c>
      <c r="H168">
        <v>2.2000000000000002</v>
      </c>
      <c r="I168">
        <v>0.2</v>
      </c>
      <c r="J168">
        <v>83</v>
      </c>
      <c r="K168" s="64">
        <f t="shared" si="10"/>
        <v>12.361111111111111</v>
      </c>
      <c r="L168" s="64">
        <f t="shared" si="11"/>
        <v>11.54485534591195</v>
      </c>
      <c r="M168" s="66">
        <f>C170*Scoring!$B$32+D170/Scoring!$C$32+E170*Scoring!$D$32+F170*Scoring!$E$32+G170/Scoring!$F$32+H170*Scoring!$G$32+I170*Scoring!$H$32+K170*Scoring!$I$32+RB!L170*Scoring!$J$32+U168</f>
        <v>72.61</v>
      </c>
      <c r="N168" s="66">
        <f>C168*Scoring!$B$32+D168/Scoring!$C$32+E168*Scoring!$D$32+F168*Scoring!$E$32+G168/Scoring!$F$32+H168*Scoring!$G$32+I168*Scoring!$H$32+K168*Scoring!$I$32+RB!L168*Scoring!$J$32+U168</f>
        <v>83.46</v>
      </c>
      <c r="O168" s="66">
        <f>C169*Scoring!$B$32+D169/Scoring!$C$32+E169*Scoring!$D$32+F169*Scoring!$E$32+G169/Scoring!$F$32+H169*Scoring!$G$32+I169*Scoring!$H$32+K169*Scoring!$I$32+L169*Scoring!$J$32+U168</f>
        <v>93.1</v>
      </c>
      <c r="P168" s="20">
        <f>IF(COUNTIF(Rookies!$A:$A,A168)&gt;0,1,0)</f>
        <v>0</v>
      </c>
      <c r="S168" s="20">
        <f>V168/17</f>
        <v>4.9094117647058821</v>
      </c>
      <c r="T168" s="20">
        <f>IF(P168=1,MAX(0,0.258*(14.9-S168)),0)</f>
        <v>0</v>
      </c>
      <c r="U168" s="20">
        <f>T168*17</f>
        <v>0</v>
      </c>
      <c r="V168" s="20">
        <f>C168*Scoring!$B$32+D168/Scoring!$C$32+E168*Scoring!$D$32+F168*Scoring!$E$32+G168/Scoring!$F$32+H168*Scoring!$G$32+I168*Scoring!$H$32+K168*Scoring!$I$32+RB!L168*Scoring!$J$32</f>
        <v>83.46</v>
      </c>
      <c r="X168" s="20">
        <f t="shared" si="12"/>
        <v>466.6</v>
      </c>
      <c r="Y168" s="20">
        <f t="shared" si="13"/>
        <v>4.3000000000000007</v>
      </c>
      <c r="Z168" s="20">
        <f t="shared" si="14"/>
        <v>108.51162790697673</v>
      </c>
    </row>
    <row r="169" spans="1:26" ht="14.25" customHeight="1" x14ac:dyDescent="0.3">
      <c r="B169" t="s">
        <v>472</v>
      </c>
      <c r="C169">
        <v>53</v>
      </c>
      <c r="D169">
        <v>225</v>
      </c>
      <c r="E169">
        <v>2.1</v>
      </c>
      <c r="F169">
        <v>24</v>
      </c>
      <c r="G169">
        <v>280</v>
      </c>
      <c r="H169">
        <v>3</v>
      </c>
      <c r="I169">
        <v>0</v>
      </c>
      <c r="J169">
        <v>75.400000000000006</v>
      </c>
      <c r="K169" s="64">
        <f t="shared" si="10"/>
        <v>12.5</v>
      </c>
      <c r="L169" s="64">
        <f t="shared" si="11"/>
        <v>13.242767295597481</v>
      </c>
      <c r="M169" s="66"/>
      <c r="N169" s="66"/>
      <c r="O169" s="66"/>
      <c r="X169" s="20">
        <f t="shared" si="12"/>
        <v>505</v>
      </c>
      <c r="Y169" s="20">
        <f t="shared" si="13"/>
        <v>5.0999999999999996</v>
      </c>
      <c r="Z169" s="20">
        <f t="shared" si="14"/>
        <v>99.019607843137265</v>
      </c>
    </row>
    <row r="170" spans="1:26" ht="14.25" customHeight="1" x14ac:dyDescent="0.3">
      <c r="B170" t="s">
        <v>473</v>
      </c>
      <c r="C170">
        <v>50.8</v>
      </c>
      <c r="D170">
        <v>220</v>
      </c>
      <c r="E170">
        <v>2</v>
      </c>
      <c r="F170">
        <v>21.6</v>
      </c>
      <c r="G170">
        <v>208.1</v>
      </c>
      <c r="H170">
        <v>1.3</v>
      </c>
      <c r="I170">
        <v>0.4</v>
      </c>
      <c r="J170">
        <v>74.7</v>
      </c>
      <c r="K170" s="64">
        <f t="shared" si="10"/>
        <v>12.222222222222223</v>
      </c>
      <c r="L170" s="64">
        <f t="shared" si="11"/>
        <v>9.8422138364779865</v>
      </c>
      <c r="M170" s="66"/>
      <c r="N170" s="66"/>
      <c r="O170" s="66"/>
      <c r="X170" s="20">
        <f t="shared" si="12"/>
        <v>428.1</v>
      </c>
      <c r="Y170" s="20">
        <f t="shared" si="13"/>
        <v>3.3</v>
      </c>
      <c r="Z170" s="20">
        <f t="shared" si="14"/>
        <v>129.72727272727275</v>
      </c>
    </row>
    <row r="171" spans="1:26" ht="14.25" customHeight="1" x14ac:dyDescent="0.3">
      <c r="A171" t="s">
        <v>636</v>
      </c>
      <c r="B171" t="s">
        <v>533</v>
      </c>
      <c r="C171">
        <v>120.9</v>
      </c>
      <c r="D171">
        <v>517.1</v>
      </c>
      <c r="E171">
        <v>3.9</v>
      </c>
      <c r="F171">
        <v>7.3</v>
      </c>
      <c r="G171">
        <v>46.7</v>
      </c>
      <c r="H171">
        <v>0.1</v>
      </c>
      <c r="I171">
        <v>0.7</v>
      </c>
      <c r="J171">
        <v>82.5</v>
      </c>
      <c r="K171" s="64">
        <f t="shared" si="10"/>
        <v>28.727777777777778</v>
      </c>
      <c r="L171" s="64">
        <f t="shared" si="11"/>
        <v>2.208704402515723</v>
      </c>
      <c r="M171" s="66">
        <f>C173*Scoring!$B$32+D173/Scoring!$C$32+E173*Scoring!$D$32+F173*Scoring!$E$32+G173/Scoring!$F$32+H173*Scoring!$G$32+I173*Scoring!$H$32+K173*Scoring!$I$32+RB!L173*Scoring!$J$32+U171</f>
        <v>70.7</v>
      </c>
      <c r="N171" s="66">
        <f>C171*Scoring!$B$32+D171/Scoring!$C$32+E171*Scoring!$D$32+F171*Scoring!$E$32+G171/Scoring!$F$32+H171*Scoring!$G$32+I171*Scoring!$H$32+K171*Scoring!$I$32+RB!L171*Scoring!$J$32+U171</f>
        <v>82.63</v>
      </c>
      <c r="O171" s="66">
        <f>C172*Scoring!$B$32+D172/Scoring!$C$32+E172*Scoring!$D$32+F172*Scoring!$E$32+G172/Scoring!$F$32+H172*Scoring!$G$32+I172*Scoring!$H$32+K172*Scoring!$I$32+L172*Scoring!$J$32+U171</f>
        <v>91.249999999999986</v>
      </c>
      <c r="P171" s="20">
        <f>IF(COUNTIF(Rookies!$A:$A,A171)&gt;0,1,0)</f>
        <v>0</v>
      </c>
      <c r="S171" s="20">
        <f>V171/17</f>
        <v>4.8605882352941174</v>
      </c>
      <c r="T171" s="20">
        <f>IF(P171=1,MAX(0,0.258*(14.9-S171)),0)</f>
        <v>0</v>
      </c>
      <c r="U171" s="20">
        <f>T171*17</f>
        <v>0</v>
      </c>
      <c r="V171" s="20">
        <f>C171*Scoring!$B$32+D171/Scoring!$C$32+E171*Scoring!$D$32+F171*Scoring!$E$32+G171/Scoring!$F$32+H171*Scoring!$G$32+I171*Scoring!$H$32+K171*Scoring!$I$32+RB!L171*Scoring!$J$32</f>
        <v>82.63</v>
      </c>
      <c r="X171" s="20">
        <f t="shared" si="12"/>
        <v>563.80000000000007</v>
      </c>
      <c r="Y171" s="20">
        <f t="shared" si="13"/>
        <v>4</v>
      </c>
      <c r="Z171" s="20">
        <f t="shared" si="14"/>
        <v>140.95000000000002</v>
      </c>
    </row>
    <row r="172" spans="1:26" ht="14.25" customHeight="1" x14ac:dyDescent="0.3">
      <c r="B172" t="s">
        <v>472</v>
      </c>
      <c r="C172">
        <v>134.6</v>
      </c>
      <c r="D172">
        <v>560.4</v>
      </c>
      <c r="E172">
        <v>4</v>
      </c>
      <c r="F172">
        <v>9</v>
      </c>
      <c r="G172">
        <v>59.1</v>
      </c>
      <c r="H172">
        <v>0.3</v>
      </c>
      <c r="I172">
        <v>0.5</v>
      </c>
      <c r="J172">
        <v>88.8</v>
      </c>
      <c r="K172" s="64">
        <f t="shared" si="10"/>
        <v>31.133333333333333</v>
      </c>
      <c r="L172" s="64">
        <f t="shared" si="11"/>
        <v>2.7951698113207546</v>
      </c>
      <c r="M172" s="66"/>
      <c r="N172" s="66"/>
      <c r="O172" s="66"/>
      <c r="X172" s="20">
        <f t="shared" si="12"/>
        <v>619.5</v>
      </c>
      <c r="Y172" s="20">
        <f t="shared" si="13"/>
        <v>4.3</v>
      </c>
      <c r="Z172" s="20">
        <f t="shared" si="14"/>
        <v>144.06976744186048</v>
      </c>
    </row>
    <row r="173" spans="1:26" ht="14.25" customHeight="1" x14ac:dyDescent="0.3">
      <c r="B173" t="s">
        <v>473</v>
      </c>
      <c r="C173">
        <v>107</v>
      </c>
      <c r="D173">
        <v>462</v>
      </c>
      <c r="E173">
        <v>3.7</v>
      </c>
      <c r="F173">
        <v>4</v>
      </c>
      <c r="G173">
        <v>23</v>
      </c>
      <c r="H173">
        <v>0</v>
      </c>
      <c r="I173">
        <v>1</v>
      </c>
      <c r="J173">
        <v>72.599999999999994</v>
      </c>
      <c r="K173" s="64">
        <f t="shared" si="10"/>
        <v>25.666666666666668</v>
      </c>
      <c r="L173" s="64">
        <f t="shared" si="11"/>
        <v>1.0877987421383648</v>
      </c>
      <c r="M173" s="66"/>
      <c r="N173" s="66"/>
      <c r="O173" s="66"/>
      <c r="X173" s="20">
        <f t="shared" si="12"/>
        <v>485</v>
      </c>
      <c r="Y173" s="20">
        <f t="shared" si="13"/>
        <v>3.7</v>
      </c>
      <c r="Z173" s="20">
        <f t="shared" si="14"/>
        <v>131.08108108108107</v>
      </c>
    </row>
    <row r="174" spans="1:26" ht="14.25" customHeight="1" x14ac:dyDescent="0.3">
      <c r="A174" t="s">
        <v>642</v>
      </c>
      <c r="B174" t="s">
        <v>481</v>
      </c>
      <c r="C174">
        <v>104.6</v>
      </c>
      <c r="D174">
        <v>510.7</v>
      </c>
      <c r="E174">
        <v>4.2</v>
      </c>
      <c r="F174">
        <v>3.8</v>
      </c>
      <c r="G174">
        <v>31.8</v>
      </c>
      <c r="H174">
        <v>0.1</v>
      </c>
      <c r="I174">
        <v>0.7</v>
      </c>
      <c r="J174">
        <v>80.2</v>
      </c>
      <c r="K174" s="64">
        <f t="shared" si="10"/>
        <v>28.372222222222224</v>
      </c>
      <c r="L174" s="64">
        <f t="shared" si="11"/>
        <v>1.504</v>
      </c>
      <c r="M174" s="66">
        <f>C176*Scoring!$B$32+D176/Scoring!$C$32+E176*Scoring!$D$32+F176*Scoring!$E$32+G176/Scoring!$F$32+H176*Scoring!$G$32+I176*Scoring!$H$32+K176*Scoring!$I$32+RB!L176*Scoring!$J$32+U174</f>
        <v>60.309999999999988</v>
      </c>
      <c r="N174" s="66">
        <f>C174*Scoring!$B$32+D174/Scoring!$C$32+E174*Scoring!$D$32+F174*Scoring!$E$32+G174/Scoring!$F$32+H174*Scoring!$G$32+I174*Scoring!$H$32+K174*Scoring!$I$32+RB!L174*Scoring!$J$32+U174</f>
        <v>80.550000000000011</v>
      </c>
      <c r="O174" s="66">
        <f>C175*Scoring!$B$32+D175/Scoring!$C$32+E175*Scoring!$D$32+F175*Scoring!$E$32+G175/Scoring!$F$32+H175*Scoring!$G$32+I175*Scoring!$H$32+K175*Scoring!$I$32+L175*Scoring!$J$32+U174</f>
        <v>100.2</v>
      </c>
      <c r="P174" s="20">
        <f>IF(COUNTIF(Rookies!$A:$A,A174)&gt;0,1,0)</f>
        <v>0</v>
      </c>
      <c r="S174" s="20">
        <f>V174/17</f>
        <v>4.738235294117648</v>
      </c>
      <c r="T174" s="20">
        <f>IF(P174=1,MAX(0,0.258*(14.9-S174)),0)</f>
        <v>0</v>
      </c>
      <c r="U174" s="20">
        <f>T174*17</f>
        <v>0</v>
      </c>
      <c r="V174" s="20">
        <f>C174*Scoring!$B$32+D174/Scoring!$C$32+E174*Scoring!$D$32+F174*Scoring!$E$32+G174/Scoring!$F$32+H174*Scoring!$G$32+I174*Scoring!$H$32+K174*Scoring!$I$32+RB!L174*Scoring!$J$32</f>
        <v>80.550000000000011</v>
      </c>
      <c r="X174" s="20">
        <f t="shared" si="12"/>
        <v>542.5</v>
      </c>
      <c r="Y174" s="20">
        <f t="shared" si="13"/>
        <v>4.3</v>
      </c>
      <c r="Z174" s="20">
        <f t="shared" si="14"/>
        <v>126.16279069767442</v>
      </c>
    </row>
    <row r="175" spans="1:26" ht="14.25" customHeight="1" x14ac:dyDescent="0.3">
      <c r="B175" t="s">
        <v>472</v>
      </c>
      <c r="C175">
        <v>126</v>
      </c>
      <c r="D175">
        <v>649</v>
      </c>
      <c r="E175">
        <v>5</v>
      </c>
      <c r="F175">
        <v>4</v>
      </c>
      <c r="G175">
        <v>35</v>
      </c>
      <c r="H175">
        <v>0.1</v>
      </c>
      <c r="I175">
        <v>0.4</v>
      </c>
      <c r="J175">
        <v>86.9</v>
      </c>
      <c r="K175" s="64">
        <f t="shared" si="10"/>
        <v>36.055555555555557</v>
      </c>
      <c r="L175" s="64">
        <f t="shared" si="11"/>
        <v>1.6553459119496856</v>
      </c>
      <c r="M175" s="66"/>
      <c r="N175" s="66"/>
      <c r="O175" s="66"/>
      <c r="X175" s="20">
        <f t="shared" si="12"/>
        <v>684</v>
      </c>
      <c r="Y175" s="20">
        <f t="shared" si="13"/>
        <v>5.0999999999999996</v>
      </c>
      <c r="Z175" s="20">
        <f t="shared" si="14"/>
        <v>134.11764705882354</v>
      </c>
    </row>
    <row r="176" spans="1:26" ht="14.25" customHeight="1" x14ac:dyDescent="0.3">
      <c r="B176" t="s">
        <v>473</v>
      </c>
      <c r="C176">
        <v>83.2</v>
      </c>
      <c r="D176">
        <v>372.4</v>
      </c>
      <c r="E176">
        <v>3.4</v>
      </c>
      <c r="F176">
        <v>3.6</v>
      </c>
      <c r="G176">
        <v>28.7</v>
      </c>
      <c r="H176">
        <v>0</v>
      </c>
      <c r="I176">
        <v>1</v>
      </c>
      <c r="J176">
        <v>62.4</v>
      </c>
      <c r="K176" s="64">
        <f t="shared" si="10"/>
        <v>20.68888888888889</v>
      </c>
      <c r="L176" s="64">
        <f t="shared" si="11"/>
        <v>1.357383647798742</v>
      </c>
      <c r="M176" s="66"/>
      <c r="N176" s="66"/>
      <c r="O176" s="66"/>
      <c r="X176" s="20">
        <f t="shared" si="12"/>
        <v>401.09999999999997</v>
      </c>
      <c r="Y176" s="20">
        <f t="shared" si="13"/>
        <v>3.4</v>
      </c>
      <c r="Z176" s="20">
        <f t="shared" si="14"/>
        <v>117.97058823529412</v>
      </c>
    </row>
    <row r="177" spans="1:26" ht="14.25" customHeight="1" x14ac:dyDescent="0.3">
      <c r="A177" t="s">
        <v>643</v>
      </c>
      <c r="B177" t="s">
        <v>497</v>
      </c>
      <c r="C177">
        <v>95.6</v>
      </c>
      <c r="D177">
        <v>433.8</v>
      </c>
      <c r="E177">
        <v>2.2000000000000002</v>
      </c>
      <c r="F177">
        <v>15.5</v>
      </c>
      <c r="G177">
        <v>114.5</v>
      </c>
      <c r="H177">
        <v>0.4</v>
      </c>
      <c r="I177">
        <v>0.7</v>
      </c>
      <c r="J177">
        <v>76.7</v>
      </c>
      <c r="K177" s="64">
        <f t="shared" si="10"/>
        <v>24.1</v>
      </c>
      <c r="L177" s="64">
        <f t="shared" si="11"/>
        <v>5.415345911949685</v>
      </c>
      <c r="M177" s="66">
        <f>C179*Scoring!$B$32+D179/Scoring!$C$32+E179*Scoring!$D$32+F179*Scoring!$E$32+G179/Scoring!$F$32+H179*Scoring!$G$32+I179*Scoring!$H$32+K179*Scoring!$I$32+RB!L179*Scoring!$J$32+U177</f>
        <v>61.960000000000008</v>
      </c>
      <c r="N177" s="66">
        <f>C177*Scoring!$B$32+D177/Scoring!$C$32+E177*Scoring!$D$32+F177*Scoring!$E$32+G177/Scoring!$F$32+H177*Scoring!$G$32+I177*Scoring!$H$32+K177*Scoring!$I$32+RB!L177*Scoring!$J$32+U177</f>
        <v>76.780000000000015</v>
      </c>
      <c r="O177" s="66">
        <f>C178*Scoring!$B$32+D178/Scoring!$C$32+E178*Scoring!$D$32+F178*Scoring!$E$32+G178/Scoring!$F$32+H178*Scoring!$G$32+I178*Scoring!$H$32+K178*Scoring!$I$32+L178*Scoring!$J$32+U177</f>
        <v>91.39</v>
      </c>
      <c r="P177" s="20">
        <f>IF(COUNTIF(Rookies!$A:$A,A177)&gt;0,1,0)</f>
        <v>0</v>
      </c>
      <c r="S177" s="20">
        <f>V177/17</f>
        <v>4.5164705882352951</v>
      </c>
      <c r="T177" s="20">
        <f>IF(P177=1,MAX(0,0.258*(14.9-S177)),0)</f>
        <v>0</v>
      </c>
      <c r="U177" s="20">
        <f>T177*17</f>
        <v>0</v>
      </c>
      <c r="V177" s="20">
        <f>C177*Scoring!$B$32+D177/Scoring!$C$32+E177*Scoring!$D$32+F177*Scoring!$E$32+G177/Scoring!$F$32+H177*Scoring!$G$32+I177*Scoring!$H$32+K177*Scoring!$I$32+RB!L177*Scoring!$J$32</f>
        <v>76.780000000000015</v>
      </c>
      <c r="X177" s="20">
        <f t="shared" si="12"/>
        <v>548.29999999999995</v>
      </c>
      <c r="Y177" s="20">
        <f t="shared" si="13"/>
        <v>2.6</v>
      </c>
      <c r="Z177" s="20">
        <f t="shared" si="14"/>
        <v>210.88461538461536</v>
      </c>
    </row>
    <row r="178" spans="1:26" ht="14.25" customHeight="1" x14ac:dyDescent="0.3">
      <c r="B178" t="s">
        <v>472</v>
      </c>
      <c r="C178">
        <v>108</v>
      </c>
      <c r="D178">
        <v>475</v>
      </c>
      <c r="E178">
        <v>2.4</v>
      </c>
      <c r="F178">
        <v>20</v>
      </c>
      <c r="G178">
        <v>156.9</v>
      </c>
      <c r="H178">
        <v>0.8</v>
      </c>
      <c r="I178">
        <v>0.5</v>
      </c>
      <c r="J178">
        <v>81.599999999999994</v>
      </c>
      <c r="K178" s="64">
        <f t="shared" si="10"/>
        <v>26.388888888888886</v>
      </c>
      <c r="L178" s="64">
        <f t="shared" si="11"/>
        <v>7.4206792452830186</v>
      </c>
      <c r="M178" s="66"/>
      <c r="N178" s="66"/>
      <c r="O178" s="66"/>
      <c r="X178" s="20">
        <f t="shared" si="12"/>
        <v>631.9</v>
      </c>
      <c r="Y178" s="20">
        <f t="shared" si="13"/>
        <v>3.2</v>
      </c>
      <c r="Z178" s="20">
        <f t="shared" si="14"/>
        <v>197.46874999999997</v>
      </c>
    </row>
    <row r="179" spans="1:26" ht="14.25" customHeight="1" x14ac:dyDescent="0.3">
      <c r="B179" t="s">
        <v>473</v>
      </c>
      <c r="C179">
        <v>83.3</v>
      </c>
      <c r="D179">
        <v>392.6</v>
      </c>
      <c r="E179">
        <v>2</v>
      </c>
      <c r="F179">
        <v>11</v>
      </c>
      <c r="G179">
        <v>72</v>
      </c>
      <c r="H179">
        <v>0</v>
      </c>
      <c r="I179">
        <v>1</v>
      </c>
      <c r="J179">
        <v>58.8</v>
      </c>
      <c r="K179" s="64">
        <f t="shared" si="10"/>
        <v>21.811111111111117</v>
      </c>
      <c r="L179" s="64">
        <f t="shared" si="11"/>
        <v>3.4052830188679248</v>
      </c>
      <c r="M179" s="66"/>
      <c r="N179" s="66"/>
      <c r="O179" s="66"/>
      <c r="X179" s="20">
        <f t="shared" si="12"/>
        <v>464.6</v>
      </c>
      <c r="Y179" s="20">
        <f t="shared" si="13"/>
        <v>2</v>
      </c>
      <c r="Z179" s="20">
        <f t="shared" si="14"/>
        <v>232.3</v>
      </c>
    </row>
    <row r="180" spans="1:26" ht="14.25" customHeight="1" x14ac:dyDescent="0.3">
      <c r="A180" t="s">
        <v>628</v>
      </c>
      <c r="B180" t="s">
        <v>503</v>
      </c>
      <c r="C180">
        <v>100.7</v>
      </c>
      <c r="D180">
        <v>426.8</v>
      </c>
      <c r="E180">
        <v>2.2999999999999998</v>
      </c>
      <c r="F180">
        <v>14.6</v>
      </c>
      <c r="G180">
        <v>89.5</v>
      </c>
      <c r="H180">
        <v>0.7</v>
      </c>
      <c r="I180">
        <v>0.7</v>
      </c>
      <c r="J180">
        <v>75.900000000000006</v>
      </c>
      <c r="K180" s="64">
        <f t="shared" si="10"/>
        <v>23.711111111111112</v>
      </c>
      <c r="L180" s="64">
        <f t="shared" si="11"/>
        <v>4.232955974842767</v>
      </c>
      <c r="M180" s="66">
        <f>C182*Scoring!$B$32+D182/Scoring!$C$32+E182*Scoring!$D$32+F182*Scoring!$E$32+G182/Scoring!$F$32+H182*Scoring!$G$32+I182*Scoring!$H$32+K182*Scoring!$I$32+RB!L182*Scoring!$J$32+U180</f>
        <v>61.019999999999996</v>
      </c>
      <c r="N180" s="66">
        <f>C180*Scoring!$B$32+D180/Scoring!$C$32+E180*Scoring!$D$32+F180*Scoring!$E$32+G180/Scoring!$F$32+H180*Scoring!$G$32+I180*Scoring!$H$32+K180*Scoring!$I$32+RB!L180*Scoring!$J$32+U180</f>
        <v>75.529999999999987</v>
      </c>
      <c r="O180" s="66">
        <f>C181*Scoring!$B$32+D181/Scoring!$C$32+E181*Scoring!$D$32+F181*Scoring!$E$32+G181/Scoring!$F$32+H181*Scoring!$G$32+I181*Scoring!$H$32+K181*Scoring!$I$32+L181*Scoring!$J$32+U180</f>
        <v>90.800000000000011</v>
      </c>
      <c r="P180" s="20">
        <f>IF(COUNTIF(Rookies!$A:$A,A180)&gt;0,1,0)</f>
        <v>0</v>
      </c>
      <c r="S180" s="20">
        <f>V180/17</f>
        <v>4.4429411764705877</v>
      </c>
      <c r="T180" s="20">
        <f>IF(P180=1,MAX(0,0.258*(14.9-S180)),0)</f>
        <v>0</v>
      </c>
      <c r="U180" s="20">
        <f>T180*17</f>
        <v>0</v>
      </c>
      <c r="V180" s="20">
        <f>C180*Scoring!$B$32+D180/Scoring!$C$32+E180*Scoring!$D$32+F180*Scoring!$E$32+G180/Scoring!$F$32+H180*Scoring!$G$32+I180*Scoring!$H$32+K180*Scoring!$I$32+RB!L180*Scoring!$J$32</f>
        <v>75.529999999999987</v>
      </c>
      <c r="X180" s="20">
        <f t="shared" si="12"/>
        <v>516.29999999999995</v>
      </c>
      <c r="Y180" s="20">
        <f t="shared" si="13"/>
        <v>3</v>
      </c>
      <c r="Z180" s="20">
        <f t="shared" si="14"/>
        <v>172.1</v>
      </c>
    </row>
    <row r="181" spans="1:26" ht="14.25" customHeight="1" x14ac:dyDescent="0.3">
      <c r="B181" t="s">
        <v>472</v>
      </c>
      <c r="C181">
        <v>113</v>
      </c>
      <c r="D181">
        <v>473</v>
      </c>
      <c r="E181">
        <v>2.7</v>
      </c>
      <c r="F181">
        <v>20</v>
      </c>
      <c r="G181">
        <v>119</v>
      </c>
      <c r="H181">
        <v>1</v>
      </c>
      <c r="I181">
        <v>0.3</v>
      </c>
      <c r="J181">
        <v>69.400000000000006</v>
      </c>
      <c r="K181" s="64">
        <f t="shared" si="10"/>
        <v>26.277777777777775</v>
      </c>
      <c r="L181" s="64">
        <f t="shared" si="11"/>
        <v>5.6281761006289308</v>
      </c>
      <c r="M181" s="66"/>
      <c r="N181" s="66"/>
      <c r="O181" s="66"/>
      <c r="X181" s="20">
        <f t="shared" si="12"/>
        <v>592</v>
      </c>
      <c r="Y181" s="20">
        <f t="shared" si="13"/>
        <v>3.7</v>
      </c>
      <c r="Z181" s="20">
        <f t="shared" si="14"/>
        <v>160</v>
      </c>
    </row>
    <row r="182" spans="1:26" ht="14.25" customHeight="1" x14ac:dyDescent="0.3">
      <c r="B182" t="s">
        <v>473</v>
      </c>
      <c r="C182">
        <v>88.5</v>
      </c>
      <c r="D182">
        <v>380.6</v>
      </c>
      <c r="E182">
        <v>2</v>
      </c>
      <c r="F182">
        <v>9.1</v>
      </c>
      <c r="G182">
        <v>60.1</v>
      </c>
      <c r="H182">
        <v>0.4</v>
      </c>
      <c r="I182">
        <v>1</v>
      </c>
      <c r="J182">
        <v>65.3</v>
      </c>
      <c r="K182" s="64">
        <f t="shared" si="10"/>
        <v>21.144444444444446</v>
      </c>
      <c r="L182" s="64">
        <f t="shared" si="11"/>
        <v>2.8424654088050318</v>
      </c>
      <c r="M182" s="66"/>
      <c r="N182" s="66"/>
      <c r="O182" s="66"/>
      <c r="X182" s="20">
        <f t="shared" si="12"/>
        <v>440.70000000000005</v>
      </c>
      <c r="Y182" s="20">
        <f t="shared" si="13"/>
        <v>2.4</v>
      </c>
      <c r="Z182" s="20">
        <f t="shared" si="14"/>
        <v>183.62500000000003</v>
      </c>
    </row>
    <row r="183" spans="1:26" ht="14.25" customHeight="1" x14ac:dyDescent="0.3">
      <c r="A183" t="s">
        <v>656</v>
      </c>
      <c r="B183" t="s">
        <v>491</v>
      </c>
      <c r="C183">
        <v>90.9</v>
      </c>
      <c r="D183">
        <v>422</v>
      </c>
      <c r="E183">
        <v>3.1</v>
      </c>
      <c r="F183">
        <v>8.6</v>
      </c>
      <c r="G183">
        <v>67.2</v>
      </c>
      <c r="H183">
        <v>0.2</v>
      </c>
      <c r="I183">
        <v>0.6</v>
      </c>
      <c r="J183">
        <v>71.400000000000006</v>
      </c>
      <c r="K183" s="64">
        <f t="shared" si="10"/>
        <v>23.444444444444443</v>
      </c>
      <c r="L183" s="64">
        <f t="shared" si="11"/>
        <v>3.178264150943396</v>
      </c>
      <c r="M183" s="66">
        <f>C185*Scoring!$B$32+D185/Scoring!$C$32+E185*Scoring!$D$32+F185*Scoring!$E$32+G185/Scoring!$F$32+H185*Scoring!$G$32+I185*Scoring!$H$32+K185*Scoring!$I$32+RB!L185*Scoring!$J$32+U183</f>
        <v>49.67</v>
      </c>
      <c r="N183" s="66">
        <f>C183*Scoring!$B$32+D183/Scoring!$C$32+E183*Scoring!$D$32+F183*Scoring!$E$32+G183/Scoring!$F$32+H183*Scoring!$G$32+I183*Scoring!$H$32+K183*Scoring!$I$32+RB!L183*Scoring!$J$32+U183</f>
        <v>71.820000000000007</v>
      </c>
      <c r="O183" s="66">
        <f>C184*Scoring!$B$32+D184/Scoring!$C$32+E184*Scoring!$D$32+F184*Scoring!$E$32+G184/Scoring!$F$32+H184*Scoring!$G$32+I184*Scoring!$H$32+K184*Scoring!$I$32+L184*Scoring!$J$32+U183</f>
        <v>92.8</v>
      </c>
      <c r="P183" s="20">
        <f>IF(COUNTIF(Rookies!$A:$A,A183)&gt;0,1,0)</f>
        <v>0</v>
      </c>
      <c r="S183" s="20">
        <f>V183/17</f>
        <v>4.224705882352942</v>
      </c>
      <c r="T183" s="20">
        <f>IF(P183=1,MAX(0,0.258*(14.9-S183)),0)</f>
        <v>0</v>
      </c>
      <c r="U183" s="20">
        <f>T183*17</f>
        <v>0</v>
      </c>
      <c r="V183" s="20">
        <f>C183*Scoring!$B$32+D183/Scoring!$C$32+E183*Scoring!$D$32+F183*Scoring!$E$32+G183/Scoring!$F$32+H183*Scoring!$G$32+I183*Scoring!$H$32+K183*Scoring!$I$32+RB!L183*Scoring!$J$32</f>
        <v>71.820000000000007</v>
      </c>
      <c r="X183" s="20">
        <f t="shared" si="12"/>
        <v>489.2</v>
      </c>
      <c r="Y183" s="20">
        <f t="shared" si="13"/>
        <v>3.3000000000000003</v>
      </c>
      <c r="Z183" s="20">
        <f t="shared" si="14"/>
        <v>148.24242424242422</v>
      </c>
    </row>
    <row r="184" spans="1:26" ht="14.25" customHeight="1" x14ac:dyDescent="0.3">
      <c r="B184" t="s">
        <v>472</v>
      </c>
      <c r="C184">
        <v>115</v>
      </c>
      <c r="D184">
        <v>554</v>
      </c>
      <c r="E184">
        <v>4</v>
      </c>
      <c r="F184">
        <v>9</v>
      </c>
      <c r="G184">
        <v>75</v>
      </c>
      <c r="H184">
        <v>0.3</v>
      </c>
      <c r="I184">
        <v>0.2</v>
      </c>
      <c r="J184">
        <v>76.3</v>
      </c>
      <c r="K184" s="64">
        <f t="shared" si="10"/>
        <v>30.777777777777775</v>
      </c>
      <c r="L184" s="64">
        <f t="shared" si="11"/>
        <v>3.5471698113207553</v>
      </c>
      <c r="M184" s="66"/>
      <c r="N184" s="66"/>
      <c r="O184" s="66"/>
      <c r="X184" s="20">
        <f t="shared" si="12"/>
        <v>629</v>
      </c>
      <c r="Y184" s="20">
        <f t="shared" si="13"/>
        <v>4.3</v>
      </c>
      <c r="Z184" s="20">
        <f t="shared" si="14"/>
        <v>146.27906976744185</v>
      </c>
    </row>
    <row r="185" spans="1:26" ht="14.25" customHeight="1" x14ac:dyDescent="0.3">
      <c r="B185" t="s">
        <v>473</v>
      </c>
      <c r="C185">
        <v>66.8</v>
      </c>
      <c r="D185">
        <v>289.89999999999998</v>
      </c>
      <c r="E185">
        <v>2.1</v>
      </c>
      <c r="F185">
        <v>8.3000000000000007</v>
      </c>
      <c r="G185">
        <v>59.3</v>
      </c>
      <c r="H185">
        <v>0</v>
      </c>
      <c r="I185">
        <v>1</v>
      </c>
      <c r="J185">
        <v>53.7</v>
      </c>
      <c r="K185" s="64">
        <f t="shared" si="10"/>
        <v>16.105555555555554</v>
      </c>
      <c r="L185" s="64">
        <f t="shared" si="11"/>
        <v>2.8046289308176098</v>
      </c>
      <c r="M185" s="66"/>
      <c r="N185" s="66"/>
      <c r="O185" s="66"/>
      <c r="X185" s="20">
        <f t="shared" si="12"/>
        <v>349.2</v>
      </c>
      <c r="Y185" s="20">
        <f t="shared" si="13"/>
        <v>2.1</v>
      </c>
      <c r="Z185" s="20">
        <f t="shared" si="14"/>
        <v>166.28571428571428</v>
      </c>
    </row>
    <row r="186" spans="1:26" ht="14.25" customHeight="1" x14ac:dyDescent="0.3">
      <c r="A186" t="s">
        <v>647</v>
      </c>
      <c r="B186" t="s">
        <v>515</v>
      </c>
      <c r="C186">
        <v>85</v>
      </c>
      <c r="D186">
        <v>385.3</v>
      </c>
      <c r="E186">
        <v>1.9</v>
      </c>
      <c r="F186">
        <v>16.100000000000001</v>
      </c>
      <c r="G186">
        <v>113.8</v>
      </c>
      <c r="H186">
        <v>0.4</v>
      </c>
      <c r="I186">
        <v>0.6</v>
      </c>
      <c r="J186">
        <v>70.099999999999994</v>
      </c>
      <c r="K186" s="64">
        <f t="shared" si="10"/>
        <v>21.405555555555559</v>
      </c>
      <c r="L186" s="64">
        <f t="shared" si="11"/>
        <v>5.3822389937106907</v>
      </c>
      <c r="M186" s="66">
        <f>C188*Scoring!$B$32+D188/Scoring!$C$32+E188*Scoring!$D$32+F188*Scoring!$E$32+G188/Scoring!$F$32+H188*Scoring!$G$32+I188*Scoring!$H$32+K188*Scoring!$I$32+RB!L188*Scoring!$J$32+U186</f>
        <v>47.85</v>
      </c>
      <c r="N186" s="66">
        <f>C186*Scoring!$B$32+D186/Scoring!$C$32+E186*Scoring!$D$32+F186*Scoring!$E$32+G186/Scoring!$F$32+H186*Scoring!$G$32+I186*Scoring!$H$32+K186*Scoring!$I$32+RB!L186*Scoring!$J$32+U186</f>
        <v>70.56</v>
      </c>
      <c r="O186" s="66">
        <f>C187*Scoring!$B$32+D187/Scoring!$C$32+E187*Scoring!$D$32+F187*Scoring!$E$32+G187/Scoring!$F$32+H187*Scoring!$G$32+I187*Scoring!$H$32+K187*Scoring!$I$32+L187*Scoring!$J$32+U186</f>
        <v>92.609999999999985</v>
      </c>
      <c r="P186" s="20">
        <f>IF(COUNTIF(Rookies!$A:$A,A186)&gt;0,1,0)</f>
        <v>0</v>
      </c>
      <c r="S186" s="20">
        <f>V186/17</f>
        <v>4.1505882352941175</v>
      </c>
      <c r="T186" s="20">
        <f>IF(P186=1,MAX(0,0.258*(14.9-S186)),0)</f>
        <v>0</v>
      </c>
      <c r="U186" s="20">
        <f>T186*17</f>
        <v>0</v>
      </c>
      <c r="V186" s="20">
        <f>C186*Scoring!$B$32+D186/Scoring!$C$32+E186*Scoring!$D$32+F186*Scoring!$E$32+G186/Scoring!$F$32+H186*Scoring!$G$32+I186*Scoring!$H$32+K186*Scoring!$I$32+RB!L186*Scoring!$J$32</f>
        <v>70.56</v>
      </c>
      <c r="X186" s="20">
        <f t="shared" si="12"/>
        <v>499.1</v>
      </c>
      <c r="Y186" s="20">
        <f t="shared" si="13"/>
        <v>2.2999999999999998</v>
      </c>
      <c r="Z186" s="20">
        <f t="shared" si="14"/>
        <v>217.00000000000003</v>
      </c>
    </row>
    <row r="187" spans="1:26" ht="14.25" customHeight="1" x14ac:dyDescent="0.3">
      <c r="B187" t="s">
        <v>472</v>
      </c>
      <c r="C187">
        <v>117</v>
      </c>
      <c r="D187">
        <v>536</v>
      </c>
      <c r="E187">
        <v>2</v>
      </c>
      <c r="F187">
        <v>19.100000000000001</v>
      </c>
      <c r="G187">
        <v>136.6</v>
      </c>
      <c r="H187">
        <v>0.7</v>
      </c>
      <c r="I187">
        <v>0.2</v>
      </c>
      <c r="J187">
        <v>68</v>
      </c>
      <c r="K187" s="64">
        <f t="shared" si="10"/>
        <v>29.777777777777775</v>
      </c>
      <c r="L187" s="64">
        <f t="shared" si="11"/>
        <v>6.4605786163522012</v>
      </c>
      <c r="M187" s="66"/>
      <c r="N187" s="66"/>
      <c r="O187" s="66"/>
      <c r="X187" s="20">
        <f t="shared" si="12"/>
        <v>672.6</v>
      </c>
      <c r="Y187" s="20">
        <f t="shared" si="13"/>
        <v>2.7</v>
      </c>
      <c r="Z187" s="20">
        <f t="shared" si="14"/>
        <v>249.11111111111111</v>
      </c>
    </row>
    <row r="188" spans="1:26" ht="14.25" customHeight="1" x14ac:dyDescent="0.3">
      <c r="B188" t="s">
        <v>473</v>
      </c>
      <c r="C188">
        <v>53.1</v>
      </c>
      <c r="D188">
        <v>234.5</v>
      </c>
      <c r="E188">
        <v>1.8</v>
      </c>
      <c r="F188">
        <v>13</v>
      </c>
      <c r="G188">
        <v>91</v>
      </c>
      <c r="H188">
        <v>0</v>
      </c>
      <c r="I188">
        <v>1</v>
      </c>
      <c r="J188">
        <v>59.7</v>
      </c>
      <c r="K188" s="64">
        <f t="shared" si="10"/>
        <v>13.027777777777777</v>
      </c>
      <c r="L188" s="64">
        <f t="shared" si="11"/>
        <v>4.303899371069182</v>
      </c>
      <c r="M188" s="66"/>
      <c r="N188" s="66"/>
      <c r="O188" s="66"/>
      <c r="X188" s="20">
        <f t="shared" si="12"/>
        <v>325.5</v>
      </c>
      <c r="Y188" s="20">
        <f t="shared" si="13"/>
        <v>1.8</v>
      </c>
      <c r="Z188" s="20">
        <f t="shared" si="14"/>
        <v>180.83333333333334</v>
      </c>
    </row>
    <row r="189" spans="1:26" ht="14.25" customHeight="1" x14ac:dyDescent="0.3">
      <c r="A189" t="s">
        <v>648</v>
      </c>
      <c r="B189" t="s">
        <v>485</v>
      </c>
      <c r="C189">
        <v>93.6</v>
      </c>
      <c r="D189">
        <v>392.3</v>
      </c>
      <c r="E189">
        <v>2.6</v>
      </c>
      <c r="F189">
        <v>11.1</v>
      </c>
      <c r="G189">
        <v>75.5</v>
      </c>
      <c r="H189">
        <v>0.2</v>
      </c>
      <c r="I189">
        <v>0.2</v>
      </c>
      <c r="J189">
        <v>69</v>
      </c>
      <c r="K189" s="64">
        <f t="shared" si="10"/>
        <v>21.794444444444448</v>
      </c>
      <c r="L189" s="64">
        <f t="shared" si="11"/>
        <v>3.5708176100628926</v>
      </c>
      <c r="M189" s="66">
        <f>C191*Scoring!$B$32+D191/Scoring!$C$32+E191*Scoring!$D$32+F191*Scoring!$E$32+G191/Scoring!$F$32+H191*Scoring!$G$32+I191*Scoring!$H$32+K191*Scoring!$I$32+RB!L191*Scoring!$J$32+U189</f>
        <v>60.999999999999993</v>
      </c>
      <c r="N189" s="66">
        <f>C189*Scoring!$B$32+D189/Scoring!$C$32+E189*Scoring!$D$32+F189*Scoring!$E$32+G189/Scoring!$F$32+H189*Scoring!$G$32+I189*Scoring!$H$32+K189*Scoring!$I$32+RB!L189*Scoring!$J$32+U189</f>
        <v>68.73</v>
      </c>
      <c r="O189" s="66">
        <f>C190*Scoring!$B$32+D190/Scoring!$C$32+E190*Scoring!$D$32+F190*Scoring!$E$32+G190/Scoring!$F$32+H190*Scoring!$G$32+I190*Scoring!$H$32+K190*Scoring!$I$32+L190*Scoring!$J$32+U189</f>
        <v>77.23</v>
      </c>
      <c r="P189" s="20">
        <f>IF(COUNTIF(Rookies!$A:$A,A189)&gt;0,1,0)</f>
        <v>0</v>
      </c>
      <c r="S189" s="20">
        <f>V189/17</f>
        <v>4.0429411764705883</v>
      </c>
      <c r="T189" s="20">
        <f>IF(P189=1,MAX(0,0.258*(14.9-S189)),0)</f>
        <v>0</v>
      </c>
      <c r="U189" s="20">
        <f>T189*17</f>
        <v>0</v>
      </c>
      <c r="V189" s="20">
        <f>C189*Scoring!$B$32+D189/Scoring!$C$32+E189*Scoring!$D$32+F189*Scoring!$E$32+G189/Scoring!$F$32+H189*Scoring!$G$32+I189*Scoring!$H$32+K189*Scoring!$I$32+RB!L189*Scoring!$J$32</f>
        <v>68.73</v>
      </c>
      <c r="X189" s="20">
        <f t="shared" si="12"/>
        <v>467.8</v>
      </c>
      <c r="Y189" s="20">
        <f t="shared" si="13"/>
        <v>2.8000000000000003</v>
      </c>
      <c r="Z189" s="20">
        <f t="shared" si="14"/>
        <v>167.07142857142856</v>
      </c>
    </row>
    <row r="190" spans="1:26" ht="14.25" customHeight="1" x14ac:dyDescent="0.3">
      <c r="B190" t="s">
        <v>472</v>
      </c>
      <c r="C190">
        <v>107.2</v>
      </c>
      <c r="D190">
        <v>431.7</v>
      </c>
      <c r="E190">
        <v>3</v>
      </c>
      <c r="F190">
        <v>12.1</v>
      </c>
      <c r="G190">
        <v>76.099999999999994</v>
      </c>
      <c r="H190">
        <v>0.4</v>
      </c>
      <c r="I190">
        <v>0</v>
      </c>
      <c r="J190">
        <v>71.900000000000006</v>
      </c>
      <c r="K190" s="64">
        <f t="shared" si="10"/>
        <v>23.983333333333331</v>
      </c>
      <c r="L190" s="64">
        <f t="shared" si="11"/>
        <v>3.599194968553459</v>
      </c>
      <c r="M190" s="66"/>
      <c r="N190" s="66"/>
      <c r="O190" s="66"/>
      <c r="X190" s="20">
        <f t="shared" si="12"/>
        <v>507.79999999999995</v>
      </c>
      <c r="Y190" s="20">
        <f t="shared" si="13"/>
        <v>3.4</v>
      </c>
      <c r="Z190" s="20">
        <f t="shared" si="14"/>
        <v>149.35294117647058</v>
      </c>
    </row>
    <row r="191" spans="1:26" ht="14.25" customHeight="1" x14ac:dyDescent="0.3">
      <c r="B191" t="s">
        <v>473</v>
      </c>
      <c r="C191">
        <v>80</v>
      </c>
      <c r="D191">
        <v>353</v>
      </c>
      <c r="E191">
        <v>2.2999999999999998</v>
      </c>
      <c r="F191">
        <v>10</v>
      </c>
      <c r="G191">
        <v>75</v>
      </c>
      <c r="H191">
        <v>0</v>
      </c>
      <c r="I191">
        <v>0.3</v>
      </c>
      <c r="J191">
        <v>53.5</v>
      </c>
      <c r="K191" s="64">
        <f t="shared" si="10"/>
        <v>19.611111111111111</v>
      </c>
      <c r="L191" s="64">
        <f t="shared" si="11"/>
        <v>3.5471698113207548</v>
      </c>
      <c r="M191" s="66"/>
      <c r="N191" s="66"/>
      <c r="O191" s="66"/>
      <c r="X191" s="20">
        <f t="shared" si="12"/>
        <v>428</v>
      </c>
      <c r="Y191" s="20">
        <f t="shared" si="13"/>
        <v>2.2999999999999998</v>
      </c>
      <c r="Z191" s="20">
        <f t="shared" si="14"/>
        <v>186.08695652173915</v>
      </c>
    </row>
    <row r="192" spans="1:26" ht="14.25" customHeight="1" x14ac:dyDescent="0.3">
      <c r="A192" t="s">
        <v>645</v>
      </c>
      <c r="B192" t="s">
        <v>487</v>
      </c>
      <c r="C192">
        <v>80.7</v>
      </c>
      <c r="D192">
        <v>322.5</v>
      </c>
      <c r="E192">
        <v>2.5</v>
      </c>
      <c r="F192">
        <v>14</v>
      </c>
      <c r="G192">
        <v>133</v>
      </c>
      <c r="H192">
        <v>0.6</v>
      </c>
      <c r="I192">
        <v>1.1000000000000001</v>
      </c>
      <c r="J192">
        <v>69</v>
      </c>
      <c r="K192" s="64">
        <f t="shared" si="10"/>
        <v>17.916666666666664</v>
      </c>
      <c r="L192" s="64">
        <f t="shared" si="11"/>
        <v>6.2903144654088043</v>
      </c>
      <c r="M192" s="66">
        <f>C194*Scoring!$B$32+D194/Scoring!$C$32+E194*Scoring!$D$32+F194*Scoring!$E$32+G194/Scoring!$F$32+H194*Scoring!$G$32+I194*Scoring!$H$32+K194*Scoring!$I$32+RB!L194*Scoring!$J$32+U192</f>
        <v>23.450000000000003</v>
      </c>
      <c r="N192" s="66">
        <f>C192*Scoring!$B$32+D192/Scoring!$C$32+E192*Scoring!$D$32+F192*Scoring!$E$32+G192/Scoring!$F$32+H192*Scoring!$G$32+I192*Scoring!$H$32+K192*Scoring!$I$32+RB!L192*Scoring!$J$32+U192</f>
        <v>68.949999999999989</v>
      </c>
      <c r="O192" s="66">
        <f>C193*Scoring!$B$32+D193/Scoring!$C$32+E193*Scoring!$D$32+F193*Scoring!$E$32+G193/Scoring!$F$32+H193*Scoring!$G$32+I193*Scoring!$H$32+K193*Scoring!$I$32+L193*Scoring!$J$32+U192</f>
        <v>114.5</v>
      </c>
      <c r="P192" s="20">
        <f>IF(COUNTIF(Rookies!$A:$A,A192)&gt;0,1,0)</f>
        <v>0</v>
      </c>
      <c r="S192" s="20">
        <f>V192/17</f>
        <v>4.0558823529411754</v>
      </c>
      <c r="T192" s="20">
        <f>IF(P192=1,MAX(0,0.258*(14.9-S192)),0)</f>
        <v>0</v>
      </c>
      <c r="U192" s="20">
        <f>T192*17</f>
        <v>0</v>
      </c>
      <c r="V192" s="20">
        <f>C192*Scoring!$B$32+D192/Scoring!$C$32+E192*Scoring!$D$32+F192*Scoring!$E$32+G192/Scoring!$F$32+H192*Scoring!$G$32+I192*Scoring!$H$32+K192*Scoring!$I$32+RB!L192*Scoring!$J$32</f>
        <v>68.949999999999989</v>
      </c>
      <c r="X192" s="20">
        <f t="shared" si="12"/>
        <v>455.5</v>
      </c>
      <c r="Y192" s="20">
        <f t="shared" si="13"/>
        <v>3.1</v>
      </c>
      <c r="Z192" s="20">
        <f t="shared" si="14"/>
        <v>146.93548387096774</v>
      </c>
    </row>
    <row r="193" spans="1:26" ht="14.25" customHeight="1" x14ac:dyDescent="0.3">
      <c r="B193" t="s">
        <v>472</v>
      </c>
      <c r="C193">
        <v>126</v>
      </c>
      <c r="D193">
        <v>494</v>
      </c>
      <c r="E193">
        <v>4</v>
      </c>
      <c r="F193">
        <v>24</v>
      </c>
      <c r="G193">
        <v>235</v>
      </c>
      <c r="H193">
        <v>1</v>
      </c>
      <c r="I193">
        <v>0.2</v>
      </c>
      <c r="J193">
        <v>89</v>
      </c>
      <c r="K193" s="64">
        <f t="shared" si="10"/>
        <v>27.444444444444443</v>
      </c>
      <c r="L193" s="64">
        <f t="shared" si="11"/>
        <v>11.114465408805032</v>
      </c>
      <c r="M193" s="66"/>
      <c r="N193" s="66"/>
      <c r="O193" s="66"/>
      <c r="X193" s="20">
        <f t="shared" si="12"/>
        <v>729</v>
      </c>
      <c r="Y193" s="20">
        <f t="shared" si="13"/>
        <v>5</v>
      </c>
      <c r="Z193" s="20">
        <f t="shared" si="14"/>
        <v>145.80000000000001</v>
      </c>
    </row>
    <row r="194" spans="1:26" ht="14.25" customHeight="1" x14ac:dyDescent="0.3">
      <c r="B194" t="s">
        <v>473</v>
      </c>
      <c r="C194">
        <v>35.4</v>
      </c>
      <c r="D194">
        <v>151</v>
      </c>
      <c r="E194">
        <v>1</v>
      </c>
      <c r="F194">
        <v>4.0999999999999996</v>
      </c>
      <c r="G194">
        <v>31</v>
      </c>
      <c r="H194">
        <v>0.2</v>
      </c>
      <c r="I194">
        <v>2</v>
      </c>
      <c r="J194">
        <v>32.1</v>
      </c>
      <c r="K194" s="64">
        <f t="shared" si="10"/>
        <v>8.3888888888888893</v>
      </c>
      <c r="L194" s="64">
        <f t="shared" si="11"/>
        <v>1.4661635220125786</v>
      </c>
      <c r="M194" s="66"/>
      <c r="N194" s="66"/>
      <c r="O194" s="66"/>
      <c r="X194" s="20">
        <f t="shared" si="12"/>
        <v>182</v>
      </c>
      <c r="Y194" s="20">
        <f t="shared" si="13"/>
        <v>1.2</v>
      </c>
      <c r="Z194" s="20">
        <f t="shared" si="14"/>
        <v>151.66666666666669</v>
      </c>
    </row>
    <row r="195" spans="1:26" ht="14.25" customHeight="1" x14ac:dyDescent="0.3">
      <c r="A195" t="s">
        <v>633</v>
      </c>
      <c r="B195" t="s">
        <v>485</v>
      </c>
      <c r="C195">
        <v>79.400000000000006</v>
      </c>
      <c r="D195">
        <v>337.9</v>
      </c>
      <c r="E195">
        <v>1.3</v>
      </c>
      <c r="F195">
        <v>15.4</v>
      </c>
      <c r="G195">
        <v>113.4</v>
      </c>
      <c r="H195">
        <v>0.7</v>
      </c>
      <c r="I195">
        <v>0.6</v>
      </c>
      <c r="J195">
        <v>63.4</v>
      </c>
      <c r="K195" s="64">
        <f t="shared" ref="K195:K258" si="15">IFERROR((D195/C195)/4.5*0.25*C195,0)</f>
        <v>18.772222222222222</v>
      </c>
      <c r="L195" s="64">
        <f t="shared" ref="L195:L258" si="16">IFERROR((G195/F195)/7.95*0.376*F195,0)</f>
        <v>5.3633207547169812</v>
      </c>
      <c r="M195" s="66">
        <f>C197*Scoring!$B$32+D197/Scoring!$C$32+E197*Scoring!$D$32+F197*Scoring!$E$32+G197/Scoring!$F$32+H197*Scoring!$G$32+I197*Scoring!$H$32+K197*Scoring!$I$32+RB!L197*Scoring!$J$32+U195</f>
        <v>33.22</v>
      </c>
      <c r="N195" s="66">
        <f>C195*Scoring!$B$32+D195/Scoring!$C$32+E195*Scoring!$D$32+F195*Scoring!$E$32+G195/Scoring!$F$32+H195*Scoring!$G$32+I195*Scoring!$H$32+K195*Scoring!$I$32+RB!L195*Scoring!$J$32+U195</f>
        <v>63.63000000000001</v>
      </c>
      <c r="O195" s="66">
        <f>C196*Scoring!$B$32+D196/Scoring!$C$32+E196*Scoring!$D$32+F196*Scoring!$E$32+G196/Scoring!$F$32+H196*Scoring!$G$32+I196*Scoring!$H$32+K196*Scoring!$I$32+L196*Scoring!$J$32+U195</f>
        <v>93.5</v>
      </c>
      <c r="P195" s="20">
        <f>IF(COUNTIF(Rookies!$A:$A,A195)&gt;0,1,0)</f>
        <v>0</v>
      </c>
      <c r="S195" s="20">
        <f>V195/17</f>
        <v>3.7429411764705889</v>
      </c>
      <c r="T195" s="20">
        <f>IF(P195=1,MAX(0,0.258*(14.9-S195)),0)</f>
        <v>0</v>
      </c>
      <c r="U195" s="20">
        <f>T195*17</f>
        <v>0</v>
      </c>
      <c r="V195" s="20">
        <f>C195*Scoring!$B$32+D195/Scoring!$C$32+E195*Scoring!$D$32+F195*Scoring!$E$32+G195/Scoring!$F$32+H195*Scoring!$G$32+I195*Scoring!$H$32+K195*Scoring!$I$32+RB!L195*Scoring!$J$32</f>
        <v>63.63000000000001</v>
      </c>
      <c r="X195" s="20">
        <f t="shared" si="12"/>
        <v>451.29999999999995</v>
      </c>
      <c r="Y195" s="20">
        <f t="shared" si="13"/>
        <v>2</v>
      </c>
      <c r="Z195" s="20">
        <f t="shared" si="14"/>
        <v>225.64999999999998</v>
      </c>
    </row>
    <row r="196" spans="1:26" ht="14.25" customHeight="1" x14ac:dyDescent="0.3">
      <c r="B196" t="s">
        <v>472</v>
      </c>
      <c r="C196">
        <v>123</v>
      </c>
      <c r="D196">
        <v>524</v>
      </c>
      <c r="E196">
        <v>2</v>
      </c>
      <c r="F196">
        <v>19</v>
      </c>
      <c r="G196">
        <v>140</v>
      </c>
      <c r="H196">
        <v>1</v>
      </c>
      <c r="I196">
        <v>0.2</v>
      </c>
      <c r="J196">
        <v>73.7</v>
      </c>
      <c r="K196" s="64">
        <f t="shared" si="15"/>
        <v>29.111111111111111</v>
      </c>
      <c r="L196" s="64">
        <f t="shared" si="16"/>
        <v>6.6213836477987416</v>
      </c>
      <c r="M196" s="66"/>
      <c r="N196" s="66"/>
      <c r="O196" s="66"/>
      <c r="X196" s="20">
        <f t="shared" ref="X196:X259" si="17">D196+G196</f>
        <v>664</v>
      </c>
      <c r="Y196" s="20">
        <f t="shared" ref="Y196:Y259" si="18">H196+E196</f>
        <v>3</v>
      </c>
      <c r="Z196" s="20">
        <f t="shared" ref="Z196:Z259" si="19">X196/Y196</f>
        <v>221.33333333333334</v>
      </c>
    </row>
    <row r="197" spans="1:26" ht="14.25" customHeight="1" x14ac:dyDescent="0.3">
      <c r="B197" t="s">
        <v>473</v>
      </c>
      <c r="C197">
        <v>35.799999999999997</v>
      </c>
      <c r="D197">
        <v>151.9</v>
      </c>
      <c r="E197">
        <v>0.5</v>
      </c>
      <c r="F197">
        <v>11.9</v>
      </c>
      <c r="G197">
        <v>86.8</v>
      </c>
      <c r="H197">
        <v>0.4</v>
      </c>
      <c r="I197">
        <v>1</v>
      </c>
      <c r="J197">
        <v>36.700000000000003</v>
      </c>
      <c r="K197" s="64">
        <f t="shared" si="15"/>
        <v>8.4388888888888882</v>
      </c>
      <c r="L197" s="64">
        <f t="shared" si="16"/>
        <v>4.10525786163522</v>
      </c>
      <c r="M197" s="66"/>
      <c r="N197" s="66"/>
      <c r="O197" s="66"/>
      <c r="X197" s="20">
        <f t="shared" si="17"/>
        <v>238.7</v>
      </c>
      <c r="Y197" s="20">
        <f t="shared" si="18"/>
        <v>0.9</v>
      </c>
      <c r="Z197" s="20">
        <f t="shared" si="19"/>
        <v>265.22222222222223</v>
      </c>
    </row>
    <row r="198" spans="1:26" ht="14.25" customHeight="1" x14ac:dyDescent="0.3">
      <c r="A198" t="s">
        <v>649</v>
      </c>
      <c r="B198" t="s">
        <v>497</v>
      </c>
      <c r="C198">
        <v>60.2</v>
      </c>
      <c r="D198">
        <v>235.2</v>
      </c>
      <c r="E198">
        <v>1.6</v>
      </c>
      <c r="F198">
        <v>11.9</v>
      </c>
      <c r="G198">
        <v>104</v>
      </c>
      <c r="H198">
        <v>0.7</v>
      </c>
      <c r="I198">
        <v>0.1</v>
      </c>
      <c r="J198">
        <v>53.1</v>
      </c>
      <c r="K198" s="64">
        <f t="shared" si="15"/>
        <v>13.066666666666666</v>
      </c>
      <c r="L198" s="64">
        <f t="shared" si="16"/>
        <v>4.9187421383647791</v>
      </c>
      <c r="M198" s="66">
        <f>C200*Scoring!$B$32+D200/Scoring!$C$32+E200*Scoring!$D$32+F200*Scoring!$E$32+G200/Scoring!$F$32+H200*Scoring!$G$32+I200*Scoring!$H$32+K200*Scoring!$I$32+RB!L200*Scoring!$J$32+U198</f>
        <v>32.440000000000005</v>
      </c>
      <c r="N198" s="66">
        <f>C198*Scoring!$B$32+D198/Scoring!$C$32+E198*Scoring!$D$32+F198*Scoring!$E$32+G198/Scoring!$F$32+H198*Scoring!$G$32+I198*Scoring!$H$32+K198*Scoring!$I$32+RB!L198*Scoring!$J$32+U198</f>
        <v>53.47</v>
      </c>
      <c r="O198" s="66">
        <f>C199*Scoring!$B$32+D199/Scoring!$C$32+E199*Scoring!$D$32+F199*Scoring!$E$32+G199/Scoring!$F$32+H199*Scoring!$G$32+I199*Scoring!$H$32+K199*Scoring!$I$32+L199*Scoring!$J$32+U198</f>
        <v>73.900000000000006</v>
      </c>
      <c r="P198" s="20">
        <f>IF(COUNTIF(Rookies!$A:$A,A198)&gt;0,1,0)</f>
        <v>0</v>
      </c>
      <c r="S198" s="20">
        <f>V198/17</f>
        <v>3.1452941176470586</v>
      </c>
      <c r="T198" s="20">
        <f>IF(P198=1,MAX(0,0.258*(14.9-S198)),0)</f>
        <v>0</v>
      </c>
      <c r="U198" s="20">
        <f>T198*17</f>
        <v>0</v>
      </c>
      <c r="V198" s="20">
        <f>C198*Scoring!$B$32+D198/Scoring!$C$32+E198*Scoring!$D$32+F198*Scoring!$E$32+G198/Scoring!$F$32+H198*Scoring!$G$32+I198*Scoring!$H$32+K198*Scoring!$I$32+RB!L198*Scoring!$J$32</f>
        <v>53.47</v>
      </c>
      <c r="X198" s="20">
        <f t="shared" si="17"/>
        <v>339.2</v>
      </c>
      <c r="Y198" s="20">
        <f t="shared" si="18"/>
        <v>2.2999999999999998</v>
      </c>
      <c r="Z198" s="20">
        <f t="shared" si="19"/>
        <v>147.47826086956522</v>
      </c>
    </row>
    <row r="199" spans="1:26" ht="14.25" customHeight="1" x14ac:dyDescent="0.3">
      <c r="B199" t="s">
        <v>472</v>
      </c>
      <c r="C199">
        <v>87</v>
      </c>
      <c r="D199">
        <v>334</v>
      </c>
      <c r="E199">
        <v>2</v>
      </c>
      <c r="F199">
        <v>16</v>
      </c>
      <c r="G199">
        <v>145</v>
      </c>
      <c r="H199">
        <v>1</v>
      </c>
      <c r="I199">
        <v>0</v>
      </c>
      <c r="J199">
        <v>54</v>
      </c>
      <c r="K199" s="64">
        <f t="shared" si="15"/>
        <v>18.555555555555554</v>
      </c>
      <c r="L199" s="64">
        <f t="shared" si="16"/>
        <v>6.8578616352201252</v>
      </c>
      <c r="M199" s="66"/>
      <c r="N199" s="66"/>
      <c r="O199" s="66"/>
      <c r="X199" s="20">
        <f t="shared" si="17"/>
        <v>479</v>
      </c>
      <c r="Y199" s="20">
        <f t="shared" si="18"/>
        <v>3</v>
      </c>
      <c r="Z199" s="20">
        <f t="shared" si="19"/>
        <v>159.66666666666666</v>
      </c>
    </row>
    <row r="200" spans="1:26" ht="14.25" customHeight="1" x14ac:dyDescent="0.3">
      <c r="B200" t="s">
        <v>473</v>
      </c>
      <c r="C200">
        <v>33.299999999999997</v>
      </c>
      <c r="D200">
        <v>136.4</v>
      </c>
      <c r="E200">
        <v>1.1000000000000001</v>
      </c>
      <c r="F200">
        <v>7.8</v>
      </c>
      <c r="G200">
        <v>63</v>
      </c>
      <c r="H200">
        <v>0.4</v>
      </c>
      <c r="I200">
        <v>0.2</v>
      </c>
      <c r="J200">
        <v>34.5</v>
      </c>
      <c r="K200" s="64">
        <f t="shared" si="15"/>
        <v>7.5777777777777784</v>
      </c>
      <c r="L200" s="64">
        <f t="shared" si="16"/>
        <v>2.9796226415094331</v>
      </c>
      <c r="M200" s="66"/>
      <c r="N200" s="66"/>
      <c r="O200" s="66"/>
      <c r="X200" s="20">
        <f t="shared" si="17"/>
        <v>199.4</v>
      </c>
      <c r="Y200" s="20">
        <f t="shared" si="18"/>
        <v>1.5</v>
      </c>
      <c r="Z200" s="20">
        <f t="shared" si="19"/>
        <v>132.93333333333334</v>
      </c>
    </row>
    <row r="201" spans="1:26" ht="14.25" customHeight="1" x14ac:dyDescent="0.3">
      <c r="A201" t="s">
        <v>671</v>
      </c>
      <c r="B201" t="s">
        <v>493</v>
      </c>
      <c r="C201">
        <v>47.1</v>
      </c>
      <c r="D201">
        <v>180.4</v>
      </c>
      <c r="E201">
        <v>1.1000000000000001</v>
      </c>
      <c r="F201">
        <v>18.7</v>
      </c>
      <c r="G201">
        <v>131.69999999999999</v>
      </c>
      <c r="H201">
        <v>1</v>
      </c>
      <c r="I201">
        <v>0.1</v>
      </c>
      <c r="J201">
        <v>52.8</v>
      </c>
      <c r="K201" s="64">
        <f t="shared" si="15"/>
        <v>10.022222222222224</v>
      </c>
      <c r="L201" s="64">
        <f t="shared" si="16"/>
        <v>6.228830188679245</v>
      </c>
      <c r="M201" s="66">
        <f>C203*Scoring!$B$32+D203/Scoring!$C$32+E203*Scoring!$D$32+F203*Scoring!$E$32+G203/Scoring!$F$32+H203*Scoring!$G$32+I203*Scoring!$H$32+K203*Scoring!$I$32+RB!L203*Scoring!$J$32+U201</f>
        <v>49.22</v>
      </c>
      <c r="N201" s="66">
        <f>C201*Scoring!$B$32+D201/Scoring!$C$32+E201*Scoring!$D$32+F201*Scoring!$E$32+G201/Scoring!$F$32+H201*Scoring!$G$32+I201*Scoring!$H$32+K201*Scoring!$I$32+RB!L201*Scoring!$J$32+U201</f>
        <v>52.959999999999994</v>
      </c>
      <c r="O201" s="66">
        <f>C202*Scoring!$B$32+D202/Scoring!$C$32+E202*Scoring!$D$32+F202*Scoring!$E$32+G202/Scoring!$F$32+H202*Scoring!$G$32+I202*Scoring!$H$32+K202*Scoring!$I$32+L202*Scoring!$J$32+U201</f>
        <v>56.5</v>
      </c>
      <c r="P201" s="20">
        <f>IF(COUNTIF(Rookies!$A:$A,A201)&gt;0,1,0)</f>
        <v>0</v>
      </c>
      <c r="S201" s="20">
        <f>V201/17</f>
        <v>3.1152941176470583</v>
      </c>
      <c r="T201" s="20">
        <f>IF(P201=1,MAX(0,0.258*(14.9-S201)),0)</f>
        <v>0</v>
      </c>
      <c r="U201" s="20">
        <f>T201*17</f>
        <v>0</v>
      </c>
      <c r="V201" s="20">
        <f>C201*Scoring!$B$32+D201/Scoring!$C$32+E201*Scoring!$D$32+F201*Scoring!$E$32+G201/Scoring!$F$32+H201*Scoring!$G$32+I201*Scoring!$H$32+K201*Scoring!$I$32+RB!L201*Scoring!$J$32</f>
        <v>52.959999999999994</v>
      </c>
      <c r="X201" s="20">
        <f t="shared" si="17"/>
        <v>312.10000000000002</v>
      </c>
      <c r="Y201" s="20">
        <f t="shared" si="18"/>
        <v>2.1</v>
      </c>
      <c r="Z201" s="20">
        <f t="shared" si="19"/>
        <v>148.61904761904762</v>
      </c>
    </row>
    <row r="202" spans="1:26" ht="14.25" customHeight="1" x14ac:dyDescent="0.3">
      <c r="B202" t="s">
        <v>472</v>
      </c>
      <c r="C202">
        <v>53</v>
      </c>
      <c r="D202">
        <v>186</v>
      </c>
      <c r="E202">
        <v>1.2</v>
      </c>
      <c r="F202">
        <v>21</v>
      </c>
      <c r="G202">
        <v>142</v>
      </c>
      <c r="H202">
        <v>1</v>
      </c>
      <c r="I202">
        <v>0</v>
      </c>
      <c r="J202">
        <v>52.6</v>
      </c>
      <c r="K202" s="64">
        <f t="shared" si="15"/>
        <v>10.333333333333334</v>
      </c>
      <c r="L202" s="64">
        <f t="shared" si="16"/>
        <v>6.7159748427672952</v>
      </c>
      <c r="M202" s="66"/>
      <c r="N202" s="66"/>
      <c r="O202" s="66"/>
      <c r="X202" s="20">
        <f t="shared" si="17"/>
        <v>328</v>
      </c>
      <c r="Y202" s="20">
        <f t="shared" si="18"/>
        <v>2.2000000000000002</v>
      </c>
      <c r="Z202" s="20">
        <f t="shared" si="19"/>
        <v>149.09090909090907</v>
      </c>
    </row>
    <row r="203" spans="1:26" ht="14.25" customHeight="1" x14ac:dyDescent="0.3">
      <c r="B203" t="s">
        <v>473</v>
      </c>
      <c r="C203">
        <v>41.3</v>
      </c>
      <c r="D203">
        <v>174.8</v>
      </c>
      <c r="E203">
        <v>1</v>
      </c>
      <c r="F203">
        <v>16.399999999999999</v>
      </c>
      <c r="G203">
        <v>121.4</v>
      </c>
      <c r="H203">
        <v>1</v>
      </c>
      <c r="I203">
        <v>0.3</v>
      </c>
      <c r="J203">
        <v>37.299999999999997</v>
      </c>
      <c r="K203" s="64">
        <f t="shared" si="15"/>
        <v>9.7111111111111121</v>
      </c>
      <c r="L203" s="64">
        <f t="shared" si="16"/>
        <v>5.7416855345911948</v>
      </c>
      <c r="M203" s="66"/>
      <c r="N203" s="66"/>
      <c r="O203" s="66"/>
      <c r="X203" s="20">
        <f t="shared" si="17"/>
        <v>296.20000000000005</v>
      </c>
      <c r="Y203" s="20">
        <f t="shared" si="18"/>
        <v>2</v>
      </c>
      <c r="Z203" s="20">
        <f t="shared" si="19"/>
        <v>148.10000000000002</v>
      </c>
    </row>
    <row r="204" spans="1:26" ht="14.25" customHeight="1" x14ac:dyDescent="0.3">
      <c r="A204" t="s">
        <v>654</v>
      </c>
      <c r="B204" t="s">
        <v>513</v>
      </c>
      <c r="C204">
        <v>82.1</v>
      </c>
      <c r="D204">
        <v>318.2</v>
      </c>
      <c r="E204">
        <v>1.6</v>
      </c>
      <c r="F204">
        <v>7.2</v>
      </c>
      <c r="G204">
        <v>52.5</v>
      </c>
      <c r="H204">
        <v>0.1</v>
      </c>
      <c r="I204">
        <v>1.3</v>
      </c>
      <c r="J204">
        <v>48.3</v>
      </c>
      <c r="K204" s="64">
        <f t="shared" si="15"/>
        <v>17.677777777777777</v>
      </c>
      <c r="L204" s="64">
        <f t="shared" si="16"/>
        <v>2.4830188679245282</v>
      </c>
      <c r="M204" s="66">
        <f>C206*Scoring!$B$32+D206/Scoring!$C$32+E206*Scoring!$D$32+F206*Scoring!$E$32+G206/Scoring!$F$32+H206*Scoring!$G$32+I206*Scoring!$H$32+K206*Scoring!$I$32+RB!L206*Scoring!$J$32+U204</f>
        <v>36.85</v>
      </c>
      <c r="N204" s="66">
        <f>C204*Scoring!$B$32+D204/Scoring!$C$32+E204*Scoring!$D$32+F204*Scoring!$E$32+G204/Scoring!$F$32+H204*Scoring!$G$32+I204*Scoring!$H$32+K204*Scoring!$I$32+RB!L204*Scoring!$J$32+U204</f>
        <v>48.27</v>
      </c>
      <c r="O204" s="66">
        <f>C205*Scoring!$B$32+D205/Scoring!$C$32+E205*Scoring!$D$32+F205*Scoring!$E$32+G205/Scoring!$F$32+H205*Scoring!$G$32+I205*Scoring!$H$32+K205*Scoring!$I$32+L205*Scoring!$J$32+U204</f>
        <v>59.910000000000004</v>
      </c>
      <c r="P204" s="20">
        <f>IF(COUNTIF(Rookies!$A:$A,A204)&gt;0,1,0)</f>
        <v>0</v>
      </c>
      <c r="S204" s="20">
        <f>V204/17</f>
        <v>2.8394117647058827</v>
      </c>
      <c r="T204" s="20">
        <f>IF(P204=1,MAX(0,0.258*(14.9-S204)),0)</f>
        <v>0</v>
      </c>
      <c r="U204" s="20">
        <f>T204*17</f>
        <v>0</v>
      </c>
      <c r="V204" s="20">
        <f>C204*Scoring!$B$32+D204/Scoring!$C$32+E204*Scoring!$D$32+F204*Scoring!$E$32+G204/Scoring!$F$32+H204*Scoring!$G$32+I204*Scoring!$H$32+K204*Scoring!$I$32+RB!L204*Scoring!$J$32</f>
        <v>48.27</v>
      </c>
      <c r="X204" s="20">
        <f t="shared" si="17"/>
        <v>370.7</v>
      </c>
      <c r="Y204" s="20">
        <f t="shared" si="18"/>
        <v>1.7000000000000002</v>
      </c>
      <c r="Z204" s="20">
        <f t="shared" si="19"/>
        <v>218.05882352941174</v>
      </c>
    </row>
    <row r="205" spans="1:26" ht="14.25" customHeight="1" x14ac:dyDescent="0.3">
      <c r="B205" t="s">
        <v>472</v>
      </c>
      <c r="C205">
        <v>104</v>
      </c>
      <c r="D205">
        <v>384</v>
      </c>
      <c r="E205">
        <v>2</v>
      </c>
      <c r="F205">
        <v>7.4</v>
      </c>
      <c r="G205">
        <v>56.1</v>
      </c>
      <c r="H205">
        <v>0.2</v>
      </c>
      <c r="I205">
        <v>0.5</v>
      </c>
      <c r="J205">
        <v>42.6</v>
      </c>
      <c r="K205" s="64">
        <f t="shared" si="15"/>
        <v>21.333333333333336</v>
      </c>
      <c r="L205" s="64">
        <f t="shared" si="16"/>
        <v>2.6532830188679246</v>
      </c>
      <c r="M205" s="66"/>
      <c r="N205" s="66"/>
      <c r="O205" s="66"/>
      <c r="X205" s="20">
        <f t="shared" si="17"/>
        <v>440.1</v>
      </c>
      <c r="Y205" s="20">
        <f t="shared" si="18"/>
        <v>2.2000000000000002</v>
      </c>
      <c r="Z205" s="20">
        <f t="shared" si="19"/>
        <v>200.04545454545453</v>
      </c>
    </row>
    <row r="206" spans="1:26" ht="14.25" customHeight="1" x14ac:dyDescent="0.3">
      <c r="B206" t="s">
        <v>473</v>
      </c>
      <c r="C206">
        <v>60.3</v>
      </c>
      <c r="D206">
        <v>252.5</v>
      </c>
      <c r="E206">
        <v>1.2</v>
      </c>
      <c r="F206">
        <v>7</v>
      </c>
      <c r="G206">
        <v>49</v>
      </c>
      <c r="H206">
        <v>0</v>
      </c>
      <c r="I206">
        <v>2</v>
      </c>
      <c r="J206">
        <v>42</v>
      </c>
      <c r="K206" s="64">
        <f t="shared" si="15"/>
        <v>14.027777777777779</v>
      </c>
      <c r="L206" s="64">
        <f t="shared" si="16"/>
        <v>2.3174842767295596</v>
      </c>
      <c r="M206" s="66"/>
      <c r="N206" s="66"/>
      <c r="O206" s="66"/>
      <c r="X206" s="20">
        <f t="shared" si="17"/>
        <v>301.5</v>
      </c>
      <c r="Y206" s="20">
        <f t="shared" si="18"/>
        <v>1.2</v>
      </c>
      <c r="Z206" s="20">
        <f t="shared" si="19"/>
        <v>251.25</v>
      </c>
    </row>
    <row r="207" spans="1:26" ht="14.25" customHeight="1" x14ac:dyDescent="0.3">
      <c r="A207" t="s">
        <v>653</v>
      </c>
      <c r="B207" t="s">
        <v>517</v>
      </c>
      <c r="C207">
        <v>69.7</v>
      </c>
      <c r="D207">
        <v>288.5</v>
      </c>
      <c r="E207">
        <v>1.7</v>
      </c>
      <c r="F207">
        <v>7.7</v>
      </c>
      <c r="G207">
        <v>51.6</v>
      </c>
      <c r="H207">
        <v>0</v>
      </c>
      <c r="I207">
        <v>0.5</v>
      </c>
      <c r="J207">
        <v>47.2</v>
      </c>
      <c r="K207" s="64">
        <f t="shared" si="15"/>
        <v>16.027777777777779</v>
      </c>
      <c r="L207" s="64">
        <f t="shared" si="16"/>
        <v>2.4404528301886792</v>
      </c>
      <c r="M207" s="66">
        <f>C209*Scoring!$B$32+D209/Scoring!$C$32+E209*Scoring!$D$32+F209*Scoring!$E$32+G209/Scoring!$F$32+H209*Scoring!$G$32+I209*Scoring!$H$32+K209*Scoring!$I$32+RB!L209*Scoring!$J$32+U207</f>
        <v>6.93</v>
      </c>
      <c r="N207" s="66">
        <f>C207*Scoring!$B$32+D207/Scoring!$C$32+E207*Scoring!$D$32+F207*Scoring!$E$32+G207/Scoring!$F$32+H207*Scoring!$G$32+I207*Scoring!$H$32+K207*Scoring!$I$32+RB!L207*Scoring!$J$32+U207</f>
        <v>47.06</v>
      </c>
      <c r="O207" s="66">
        <f>C208*Scoring!$B$32+D208/Scoring!$C$32+E208*Scoring!$D$32+F208*Scoring!$E$32+G208/Scoring!$F$32+H208*Scoring!$G$32+I208*Scoring!$H$32+K208*Scoring!$I$32+L208*Scoring!$J$32+U207</f>
        <v>87.6</v>
      </c>
      <c r="P207" s="20">
        <f>IF(COUNTIF(Rookies!$A:$A,A207)&gt;0,1,0)</f>
        <v>0</v>
      </c>
      <c r="S207" s="20">
        <f>V207/17</f>
        <v>2.7682352941176473</v>
      </c>
      <c r="T207" s="20">
        <f>IF(P207=1,MAX(0,0.258*(14.9-S207)),0)</f>
        <v>0</v>
      </c>
      <c r="U207" s="20">
        <f>T207*17</f>
        <v>0</v>
      </c>
      <c r="V207" s="20">
        <f>C207*Scoring!$B$32+D207/Scoring!$C$32+E207*Scoring!$D$32+F207*Scoring!$E$32+G207/Scoring!$F$32+H207*Scoring!$G$32+I207*Scoring!$H$32+K207*Scoring!$I$32+RB!L207*Scoring!$J$32</f>
        <v>47.06</v>
      </c>
      <c r="X207" s="20">
        <f t="shared" si="17"/>
        <v>340.1</v>
      </c>
      <c r="Y207" s="20">
        <f t="shared" si="18"/>
        <v>1.7</v>
      </c>
      <c r="Z207" s="20">
        <f t="shared" si="19"/>
        <v>200.0588235294118</v>
      </c>
    </row>
    <row r="208" spans="1:26" ht="14.25" customHeight="1" x14ac:dyDescent="0.3">
      <c r="B208" t="s">
        <v>472</v>
      </c>
      <c r="C208">
        <v>128</v>
      </c>
      <c r="D208">
        <v>529</v>
      </c>
      <c r="E208">
        <v>3</v>
      </c>
      <c r="F208">
        <v>14</v>
      </c>
      <c r="G208">
        <v>93</v>
      </c>
      <c r="H208">
        <v>0.1</v>
      </c>
      <c r="I208">
        <v>0.1</v>
      </c>
      <c r="J208">
        <v>69.8</v>
      </c>
      <c r="K208" s="64">
        <f t="shared" si="15"/>
        <v>29.388888888888889</v>
      </c>
      <c r="L208" s="64">
        <f t="shared" si="16"/>
        <v>4.3984905660377365</v>
      </c>
      <c r="M208" s="66"/>
      <c r="N208" s="66"/>
      <c r="O208" s="66"/>
      <c r="X208" s="20">
        <f t="shared" si="17"/>
        <v>622</v>
      </c>
      <c r="Y208" s="20">
        <f t="shared" si="18"/>
        <v>3.1</v>
      </c>
      <c r="Z208" s="20">
        <f t="shared" si="19"/>
        <v>200.64516129032256</v>
      </c>
    </row>
    <row r="209" spans="1:26" ht="14.25" customHeight="1" x14ac:dyDescent="0.3">
      <c r="B209" t="s">
        <v>473</v>
      </c>
      <c r="C209">
        <v>11.4</v>
      </c>
      <c r="D209">
        <v>48</v>
      </c>
      <c r="E209">
        <v>0.4</v>
      </c>
      <c r="F209">
        <v>1.4</v>
      </c>
      <c r="G209">
        <v>10.3</v>
      </c>
      <c r="H209">
        <v>0</v>
      </c>
      <c r="I209">
        <v>1</v>
      </c>
      <c r="J209">
        <v>12.4</v>
      </c>
      <c r="K209" s="64">
        <f t="shared" si="15"/>
        <v>2.6666666666666665</v>
      </c>
      <c r="L209" s="64">
        <f t="shared" si="16"/>
        <v>0.48714465408805041</v>
      </c>
      <c r="M209" s="66"/>
      <c r="N209" s="66"/>
      <c r="O209" s="66"/>
      <c r="X209" s="20">
        <f t="shared" si="17"/>
        <v>58.3</v>
      </c>
      <c r="Y209" s="20">
        <f t="shared" si="18"/>
        <v>0.4</v>
      </c>
      <c r="Z209" s="20">
        <f t="shared" si="19"/>
        <v>145.74999999999997</v>
      </c>
    </row>
    <row r="210" spans="1:26" ht="14.25" customHeight="1" x14ac:dyDescent="0.3">
      <c r="A210" t="s">
        <v>657</v>
      </c>
      <c r="B210" t="s">
        <v>499</v>
      </c>
      <c r="C210">
        <v>48.8</v>
      </c>
      <c r="D210">
        <v>203.1</v>
      </c>
      <c r="E210">
        <v>1.6</v>
      </c>
      <c r="F210">
        <v>10.199999999999999</v>
      </c>
      <c r="G210">
        <v>74.8</v>
      </c>
      <c r="H210">
        <v>0.4</v>
      </c>
      <c r="I210">
        <v>0.2</v>
      </c>
      <c r="J210">
        <v>44.3</v>
      </c>
      <c r="K210" s="64">
        <f t="shared" si="15"/>
        <v>11.283333333333333</v>
      </c>
      <c r="L210" s="64">
        <f t="shared" si="16"/>
        <v>3.5377106918238992</v>
      </c>
      <c r="M210" s="66">
        <f>C212*Scoring!$B$32+D212/Scoring!$C$32+E212*Scoring!$D$32+F212*Scoring!$E$32+G212/Scoring!$F$32+H212*Scoring!$G$32+I212*Scoring!$H$32+K212*Scoring!$I$32+RB!L212*Scoring!$J$32+U210</f>
        <v>76.472980000000007</v>
      </c>
      <c r="N210" s="66">
        <f>C210*Scoring!$B$32+D210/Scoring!$C$32+E210*Scoring!$D$32+F210*Scoring!$E$32+G210/Scoring!$F$32+H210*Scoring!$G$32+I210*Scoring!$H$32+K210*Scoring!$I$32+RB!L210*Scoring!$J$32+U210</f>
        <v>98.362979999999993</v>
      </c>
      <c r="O210" s="66">
        <f>C211*Scoring!$B$32+D211/Scoring!$C$32+E211*Scoring!$D$32+F211*Scoring!$E$32+G211/Scoring!$F$32+H211*Scoring!$G$32+I211*Scoring!$H$32+K211*Scoring!$I$32+L211*Scoring!$J$32+U210</f>
        <v>119.83298000000002</v>
      </c>
      <c r="P210" s="20">
        <f>IF(COUNTIF(Rookies!$A:$A,A210)&gt;0,1,0)</f>
        <v>1</v>
      </c>
      <c r="S210" s="20">
        <f>V210/17</f>
        <v>2.6170588235294114</v>
      </c>
      <c r="T210" s="20">
        <f>IF(P210=1,MAX(0,0.258*(14.9-S210)),0)</f>
        <v>3.168998823529412</v>
      </c>
      <c r="U210" s="20">
        <f>T210*17</f>
        <v>53.872980000000005</v>
      </c>
      <c r="V210" s="20">
        <f>C210*Scoring!$B$32+D210/Scoring!$C$32+E210*Scoring!$D$32+F210*Scoring!$E$32+G210/Scoring!$F$32+H210*Scoring!$G$32+I210*Scoring!$H$32+K210*Scoring!$I$32+RB!L210*Scoring!$J$32</f>
        <v>44.489999999999995</v>
      </c>
      <c r="X210" s="20">
        <f t="shared" si="17"/>
        <v>277.89999999999998</v>
      </c>
      <c r="Y210" s="20">
        <f t="shared" si="18"/>
        <v>2</v>
      </c>
      <c r="Z210" s="20">
        <f t="shared" si="19"/>
        <v>138.94999999999999</v>
      </c>
    </row>
    <row r="211" spans="1:26" ht="14.25" customHeight="1" x14ac:dyDescent="0.3">
      <c r="B211" t="s">
        <v>472</v>
      </c>
      <c r="C211">
        <v>65.5</v>
      </c>
      <c r="D211">
        <v>272.10000000000002</v>
      </c>
      <c r="E211">
        <v>2.1</v>
      </c>
      <c r="F211">
        <v>17.399999999999999</v>
      </c>
      <c r="G211">
        <v>126.5</v>
      </c>
      <c r="H211">
        <v>0.8</v>
      </c>
      <c r="I211">
        <v>0</v>
      </c>
      <c r="J211">
        <v>62.1</v>
      </c>
      <c r="K211" s="64">
        <f t="shared" si="15"/>
        <v>15.116666666666669</v>
      </c>
      <c r="L211" s="64">
        <f t="shared" si="16"/>
        <v>5.9828930817610058</v>
      </c>
      <c r="M211" s="66"/>
      <c r="N211" s="66"/>
      <c r="O211" s="66"/>
      <c r="X211" s="20">
        <f t="shared" si="17"/>
        <v>398.6</v>
      </c>
      <c r="Y211" s="20">
        <f t="shared" si="18"/>
        <v>2.9000000000000004</v>
      </c>
      <c r="Z211" s="20">
        <f t="shared" si="19"/>
        <v>137.44827586206895</v>
      </c>
    </row>
    <row r="212" spans="1:26" ht="14.25" customHeight="1" x14ac:dyDescent="0.3">
      <c r="B212" t="s">
        <v>473</v>
      </c>
      <c r="C212">
        <v>32</v>
      </c>
      <c r="D212">
        <v>134</v>
      </c>
      <c r="E212">
        <v>1</v>
      </c>
      <c r="F212">
        <v>3</v>
      </c>
      <c r="G212">
        <v>23</v>
      </c>
      <c r="H212">
        <v>0</v>
      </c>
      <c r="I212">
        <v>0.3</v>
      </c>
      <c r="J212">
        <v>17.100000000000001</v>
      </c>
      <c r="K212" s="64">
        <f t="shared" si="15"/>
        <v>7.4444444444444446</v>
      </c>
      <c r="L212" s="64">
        <f t="shared" si="16"/>
        <v>1.0877987421383648</v>
      </c>
      <c r="M212" s="66"/>
      <c r="N212" s="66"/>
      <c r="O212" s="66"/>
      <c r="X212" s="20">
        <f t="shared" si="17"/>
        <v>157</v>
      </c>
      <c r="Y212" s="20">
        <f t="shared" si="18"/>
        <v>1</v>
      </c>
      <c r="Z212" s="20">
        <f t="shared" si="19"/>
        <v>157</v>
      </c>
    </row>
    <row r="213" spans="1:26" ht="14.25" customHeight="1" x14ac:dyDescent="0.3">
      <c r="A213" t="s">
        <v>658</v>
      </c>
      <c r="B213" t="s">
        <v>487</v>
      </c>
      <c r="C213">
        <v>4.2</v>
      </c>
      <c r="D213">
        <v>10.3</v>
      </c>
      <c r="E213">
        <v>0.1</v>
      </c>
      <c r="F213">
        <v>23.7</v>
      </c>
      <c r="G213">
        <v>208.8</v>
      </c>
      <c r="H213">
        <v>1.5</v>
      </c>
      <c r="I213">
        <v>0.1</v>
      </c>
      <c r="J213">
        <v>42.9</v>
      </c>
      <c r="K213" s="64">
        <f t="shared" si="15"/>
        <v>0.5722222222222223</v>
      </c>
      <c r="L213" s="64">
        <f t="shared" si="16"/>
        <v>9.8753207547169808</v>
      </c>
      <c r="M213" s="66">
        <f>C215*Scoring!$B$32+D215/Scoring!$C$32+E215*Scoring!$D$32+F215*Scoring!$E$32+G215/Scoring!$F$32+H215*Scoring!$G$32+I215*Scoring!$H$32+K215*Scoring!$I$32+RB!L215*Scoring!$J$32+U213</f>
        <v>31.669999999999998</v>
      </c>
      <c r="N213" s="66">
        <f>C213*Scoring!$B$32+D213/Scoring!$C$32+E213*Scoring!$D$32+F213*Scoring!$E$32+G213/Scoring!$F$32+H213*Scoring!$G$32+I213*Scoring!$H$32+K213*Scoring!$I$32+RB!L213*Scoring!$J$32+U213</f>
        <v>43.16</v>
      </c>
      <c r="O213" s="66">
        <f>C214*Scoring!$B$32+D214/Scoring!$C$32+E214*Scoring!$D$32+F214*Scoring!$E$32+G214/Scoring!$F$32+H214*Scoring!$G$32+I214*Scoring!$H$32+K214*Scoring!$I$32+L214*Scoring!$J$32+U213</f>
        <v>54.260000000000005</v>
      </c>
      <c r="P213" s="20">
        <f>IF(COUNTIF(Rookies!$A:$A,A213)&gt;0,1,0)</f>
        <v>0</v>
      </c>
      <c r="S213" s="20">
        <f>V213/17</f>
        <v>2.5388235294117645</v>
      </c>
      <c r="T213" s="20">
        <f>IF(P213=1,MAX(0,0.258*(14.9-S213)),0)</f>
        <v>0</v>
      </c>
      <c r="U213" s="20">
        <f>T213*17</f>
        <v>0</v>
      </c>
      <c r="V213" s="20">
        <f>C213*Scoring!$B$32+D213/Scoring!$C$32+E213*Scoring!$D$32+F213*Scoring!$E$32+G213/Scoring!$F$32+H213*Scoring!$G$32+I213*Scoring!$H$32+K213*Scoring!$I$32+RB!L213*Scoring!$J$32</f>
        <v>43.16</v>
      </c>
      <c r="X213" s="20">
        <f t="shared" si="17"/>
        <v>219.10000000000002</v>
      </c>
      <c r="Y213" s="20">
        <f t="shared" si="18"/>
        <v>1.6</v>
      </c>
      <c r="Z213" s="20">
        <f t="shared" si="19"/>
        <v>136.9375</v>
      </c>
    </row>
    <row r="214" spans="1:26" ht="14.25" customHeight="1" x14ac:dyDescent="0.3">
      <c r="B214" t="s">
        <v>472</v>
      </c>
      <c r="C214">
        <v>4.4000000000000004</v>
      </c>
      <c r="D214">
        <v>18.600000000000001</v>
      </c>
      <c r="E214">
        <v>0.2</v>
      </c>
      <c r="F214">
        <v>27</v>
      </c>
      <c r="G214">
        <v>257</v>
      </c>
      <c r="H214">
        <v>2</v>
      </c>
      <c r="I214">
        <v>0</v>
      </c>
      <c r="J214">
        <v>41.8</v>
      </c>
      <c r="K214" s="64">
        <f t="shared" si="15"/>
        <v>1.0333333333333334</v>
      </c>
      <c r="L214" s="64">
        <f t="shared" si="16"/>
        <v>12.154968553459121</v>
      </c>
      <c r="M214" s="66"/>
      <c r="N214" s="66"/>
      <c r="O214" s="66"/>
      <c r="X214" s="20">
        <f t="shared" si="17"/>
        <v>275.60000000000002</v>
      </c>
      <c r="Y214" s="20">
        <f t="shared" si="18"/>
        <v>2.2000000000000002</v>
      </c>
      <c r="Z214" s="20">
        <f t="shared" si="19"/>
        <v>125.27272727272727</v>
      </c>
    </row>
    <row r="215" spans="1:26" ht="14.25" customHeight="1" x14ac:dyDescent="0.3">
      <c r="B215" t="s">
        <v>473</v>
      </c>
      <c r="C215">
        <v>4</v>
      </c>
      <c r="D215">
        <v>2</v>
      </c>
      <c r="E215">
        <v>0</v>
      </c>
      <c r="F215">
        <v>20.399999999999999</v>
      </c>
      <c r="G215">
        <v>160.69999999999999</v>
      </c>
      <c r="H215">
        <v>0.9</v>
      </c>
      <c r="I215">
        <v>0.1</v>
      </c>
      <c r="J215">
        <v>36.200000000000003</v>
      </c>
      <c r="K215" s="64">
        <f t="shared" si="15"/>
        <v>0.1111111111111111</v>
      </c>
      <c r="L215" s="64">
        <f t="shared" si="16"/>
        <v>7.6004025157232693</v>
      </c>
      <c r="M215" s="66"/>
      <c r="N215" s="66"/>
      <c r="O215" s="66"/>
      <c r="X215" s="20">
        <f t="shared" si="17"/>
        <v>162.69999999999999</v>
      </c>
      <c r="Y215" s="20">
        <f t="shared" si="18"/>
        <v>0.9</v>
      </c>
      <c r="Z215" s="20">
        <f t="shared" si="19"/>
        <v>180.77777777777777</v>
      </c>
    </row>
    <row r="216" spans="1:26" ht="14.25" customHeight="1" x14ac:dyDescent="0.3">
      <c r="A216" t="s">
        <v>650</v>
      </c>
      <c r="B216" t="s">
        <v>527</v>
      </c>
      <c r="C216">
        <v>32.5</v>
      </c>
      <c r="D216">
        <v>108.5</v>
      </c>
      <c r="E216">
        <v>1</v>
      </c>
      <c r="F216">
        <v>14</v>
      </c>
      <c r="G216">
        <v>106.5</v>
      </c>
      <c r="H216">
        <v>1</v>
      </c>
      <c r="I216">
        <v>0</v>
      </c>
      <c r="J216">
        <v>40.5</v>
      </c>
      <c r="K216" s="64">
        <f t="shared" si="15"/>
        <v>6.0277777777777777</v>
      </c>
      <c r="L216" s="64">
        <f t="shared" si="16"/>
        <v>5.0369811320754714</v>
      </c>
      <c r="M216" s="66">
        <f>C218*Scoring!$B$32+D218/Scoring!$C$32+E218*Scoring!$D$32+F218*Scoring!$E$32+G218/Scoring!$F$32+H218*Scoring!$G$32+I218*Scoring!$H$32+K218*Scoring!$I$32+RB!L218*Scoring!$J$32+U216</f>
        <v>0</v>
      </c>
      <c r="N216" s="66">
        <f>C216*Scoring!$B$32+D216/Scoring!$C$32+E216*Scoring!$D$32+F216*Scoring!$E$32+G216/Scoring!$F$32+H216*Scoring!$G$32+I216*Scoring!$H$32+K216*Scoring!$I$32+RB!L216*Scoring!$J$32+U216</f>
        <v>40.5</v>
      </c>
      <c r="O216" s="66">
        <f>C217*Scoring!$B$32+D217/Scoring!$C$32+E217*Scoring!$D$32+F217*Scoring!$E$32+G217/Scoring!$F$32+H217*Scoring!$G$32+I217*Scoring!$H$32+K217*Scoring!$I$32+L217*Scoring!$J$32+U216</f>
        <v>81</v>
      </c>
      <c r="P216" s="20">
        <f>IF(COUNTIF(Rookies!$A:$A,A216)&gt;0,1,0)</f>
        <v>0</v>
      </c>
      <c r="S216" s="20">
        <f>V216/17</f>
        <v>2.3823529411764706</v>
      </c>
      <c r="T216" s="20">
        <f>IF(P216=1,MAX(0,0.258*(14.9-S216)),0)</f>
        <v>0</v>
      </c>
      <c r="U216" s="20">
        <f>T216*17</f>
        <v>0</v>
      </c>
      <c r="V216" s="20">
        <f>C216*Scoring!$B$32+D216/Scoring!$C$32+E216*Scoring!$D$32+F216*Scoring!$E$32+G216/Scoring!$F$32+H216*Scoring!$G$32+I216*Scoring!$H$32+K216*Scoring!$I$32+RB!L216*Scoring!$J$32</f>
        <v>40.5</v>
      </c>
      <c r="X216" s="20">
        <f t="shared" si="17"/>
        <v>215</v>
      </c>
      <c r="Y216" s="20">
        <f t="shared" si="18"/>
        <v>2</v>
      </c>
      <c r="Z216" s="20">
        <f t="shared" si="19"/>
        <v>107.5</v>
      </c>
    </row>
    <row r="217" spans="1:26" ht="14.25" customHeight="1" x14ac:dyDescent="0.3">
      <c r="B217" t="s">
        <v>472</v>
      </c>
      <c r="C217">
        <v>65</v>
      </c>
      <c r="D217">
        <v>217</v>
      </c>
      <c r="E217">
        <v>2</v>
      </c>
      <c r="F217">
        <v>28</v>
      </c>
      <c r="G217">
        <v>213</v>
      </c>
      <c r="H217">
        <v>2</v>
      </c>
      <c r="I217">
        <v>0</v>
      </c>
      <c r="J217">
        <v>55</v>
      </c>
      <c r="K217" s="64">
        <f t="shared" si="15"/>
        <v>12.055555555555555</v>
      </c>
      <c r="L217" s="64">
        <f t="shared" si="16"/>
        <v>10.073962264150943</v>
      </c>
      <c r="M217" s="66"/>
      <c r="N217" s="66"/>
      <c r="O217" s="66"/>
      <c r="X217" s="20">
        <f t="shared" si="17"/>
        <v>430</v>
      </c>
      <c r="Y217" s="20">
        <f t="shared" si="18"/>
        <v>4</v>
      </c>
      <c r="Z217" s="20">
        <f t="shared" si="19"/>
        <v>107.5</v>
      </c>
    </row>
    <row r="218" spans="1:26" ht="14.25" customHeight="1" x14ac:dyDescent="0.3">
      <c r="B218" t="s">
        <v>473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7</v>
      </c>
      <c r="K218" s="64">
        <f t="shared" si="15"/>
        <v>0</v>
      </c>
      <c r="L218" s="64">
        <f t="shared" si="16"/>
        <v>0</v>
      </c>
      <c r="M218" s="66"/>
      <c r="N218" s="66"/>
      <c r="O218" s="66"/>
      <c r="X218" s="20">
        <f t="shared" si="17"/>
        <v>0</v>
      </c>
      <c r="Y218" s="20">
        <f t="shared" si="18"/>
        <v>0</v>
      </c>
      <c r="Z218" s="20" t="e">
        <f t="shared" si="19"/>
        <v>#DIV/0!</v>
      </c>
    </row>
    <row r="219" spans="1:26" ht="14.25" customHeight="1" x14ac:dyDescent="0.3">
      <c r="A219" t="s">
        <v>660</v>
      </c>
      <c r="B219" t="s">
        <v>523</v>
      </c>
      <c r="C219">
        <v>35</v>
      </c>
      <c r="D219">
        <v>174.6</v>
      </c>
      <c r="E219">
        <v>1.2</v>
      </c>
      <c r="F219">
        <v>10</v>
      </c>
      <c r="G219">
        <v>78.7</v>
      </c>
      <c r="H219">
        <v>0.2</v>
      </c>
      <c r="I219">
        <v>0.1</v>
      </c>
      <c r="J219">
        <v>38.5</v>
      </c>
      <c r="K219" s="64">
        <f t="shared" si="15"/>
        <v>9.6999999999999993</v>
      </c>
      <c r="L219" s="64">
        <f t="shared" si="16"/>
        <v>3.7221635220125786</v>
      </c>
      <c r="M219" s="66">
        <f>C221*Scoring!$B$32+D221/Scoring!$C$32+E221*Scoring!$D$32+F221*Scoring!$E$32+G221/Scoring!$F$32+H221*Scoring!$G$32+I221*Scoring!$H$32+K221*Scoring!$I$32+RB!L221*Scoring!$J$32+U219</f>
        <v>32.5</v>
      </c>
      <c r="N219" s="66">
        <f>C219*Scoring!$B$32+D219/Scoring!$C$32+E219*Scoring!$D$32+F219*Scoring!$E$32+G219/Scoring!$F$32+H219*Scoring!$G$32+I219*Scoring!$H$32+K219*Scoring!$I$32+RB!L219*Scoring!$J$32+U219</f>
        <v>38.53</v>
      </c>
      <c r="O219" s="66">
        <f>C220*Scoring!$B$32+D220/Scoring!$C$32+E220*Scoring!$D$32+F220*Scoring!$E$32+G220/Scoring!$F$32+H220*Scoring!$G$32+I220*Scoring!$H$32+K220*Scoring!$I$32+L220*Scoring!$J$32+U219</f>
        <v>44.11</v>
      </c>
      <c r="P219" s="20">
        <f>IF(COUNTIF(Rookies!$A:$A,A219)&gt;0,1,0)</f>
        <v>0</v>
      </c>
      <c r="S219" s="20">
        <f>V219/17</f>
        <v>2.2664705882352942</v>
      </c>
      <c r="T219" s="20">
        <f>IF(P219=1,MAX(0,0.258*(14.9-S219)),0)</f>
        <v>0</v>
      </c>
      <c r="U219" s="20">
        <f>T219*17</f>
        <v>0</v>
      </c>
      <c r="V219" s="20">
        <f>C219*Scoring!$B$32+D219/Scoring!$C$32+E219*Scoring!$D$32+F219*Scoring!$E$32+G219/Scoring!$F$32+H219*Scoring!$G$32+I219*Scoring!$H$32+K219*Scoring!$I$32+RB!L219*Scoring!$J$32</f>
        <v>38.53</v>
      </c>
      <c r="X219" s="20">
        <f t="shared" si="17"/>
        <v>253.3</v>
      </c>
      <c r="Y219" s="20">
        <f t="shared" si="18"/>
        <v>1.4</v>
      </c>
      <c r="Z219" s="20">
        <f t="shared" si="19"/>
        <v>180.92857142857144</v>
      </c>
    </row>
    <row r="220" spans="1:26" ht="14.25" customHeight="1" x14ac:dyDescent="0.3">
      <c r="B220" t="s">
        <v>472</v>
      </c>
      <c r="C220">
        <v>39</v>
      </c>
      <c r="D220">
        <v>178.2</v>
      </c>
      <c r="E220">
        <v>1.3</v>
      </c>
      <c r="F220">
        <v>12.9</v>
      </c>
      <c r="G220">
        <v>96.4</v>
      </c>
      <c r="H220">
        <v>0.4</v>
      </c>
      <c r="I220">
        <v>0</v>
      </c>
      <c r="J220">
        <v>43.1</v>
      </c>
      <c r="K220" s="64">
        <f t="shared" si="15"/>
        <v>9.8999999999999986</v>
      </c>
      <c r="L220" s="64">
        <f t="shared" si="16"/>
        <v>4.5592955974842759</v>
      </c>
      <c r="M220" s="66"/>
      <c r="N220" s="66"/>
      <c r="O220" s="66"/>
      <c r="X220" s="20">
        <f t="shared" si="17"/>
        <v>274.60000000000002</v>
      </c>
      <c r="Y220" s="20">
        <f t="shared" si="18"/>
        <v>1.7000000000000002</v>
      </c>
      <c r="Z220" s="20">
        <f t="shared" si="19"/>
        <v>161.52941176470588</v>
      </c>
    </row>
    <row r="221" spans="1:26" ht="14.25" customHeight="1" x14ac:dyDescent="0.3">
      <c r="B221" t="s">
        <v>473</v>
      </c>
      <c r="C221">
        <v>31</v>
      </c>
      <c r="D221">
        <v>171</v>
      </c>
      <c r="E221">
        <v>1</v>
      </c>
      <c r="F221">
        <v>7</v>
      </c>
      <c r="G221">
        <v>61</v>
      </c>
      <c r="H221">
        <v>0</v>
      </c>
      <c r="I221">
        <v>0.1</v>
      </c>
      <c r="J221">
        <v>23</v>
      </c>
      <c r="K221" s="64">
        <f t="shared" si="15"/>
        <v>9.5</v>
      </c>
      <c r="L221" s="64">
        <f t="shared" si="16"/>
        <v>2.88503144654088</v>
      </c>
      <c r="M221" s="66"/>
      <c r="N221" s="66"/>
      <c r="O221" s="66"/>
      <c r="X221" s="20">
        <f t="shared" si="17"/>
        <v>232</v>
      </c>
      <c r="Y221" s="20">
        <f t="shared" si="18"/>
        <v>1</v>
      </c>
      <c r="Z221" s="20">
        <f t="shared" si="19"/>
        <v>232</v>
      </c>
    </row>
    <row r="222" spans="1:26" ht="14.25" customHeight="1" x14ac:dyDescent="0.3">
      <c r="A222" t="s">
        <v>659</v>
      </c>
      <c r="B222" t="s">
        <v>493</v>
      </c>
      <c r="C222">
        <v>46</v>
      </c>
      <c r="D222">
        <v>192</v>
      </c>
      <c r="E222">
        <v>1.5</v>
      </c>
      <c r="F222">
        <v>5.2</v>
      </c>
      <c r="G222">
        <v>41.2</v>
      </c>
      <c r="H222">
        <v>0.2</v>
      </c>
      <c r="I222">
        <v>0.1</v>
      </c>
      <c r="J222">
        <v>35.700000000000003</v>
      </c>
      <c r="K222" s="64">
        <f t="shared" si="15"/>
        <v>10.666666666666666</v>
      </c>
      <c r="L222" s="64">
        <f t="shared" si="16"/>
        <v>1.9485786163522012</v>
      </c>
      <c r="M222" s="66">
        <f>C224*Scoring!$B$32+D224/Scoring!$C$32+E224*Scoring!$D$32+F224*Scoring!$E$32+G224/Scoring!$F$32+H224*Scoring!$G$32+I224*Scoring!$H$32+K224*Scoring!$I$32+RB!L224*Scoring!$J$32+U222</f>
        <v>77.384039999999999</v>
      </c>
      <c r="N222" s="66">
        <f>C222*Scoring!$B$32+D222/Scoring!$C$32+E222*Scoring!$D$32+F222*Scoring!$E$32+G222/Scoring!$F$32+H222*Scoring!$G$32+I222*Scoring!$H$32+K222*Scoring!$I$32+RB!L222*Scoring!$J$32+U222</f>
        <v>92.004040000000003</v>
      </c>
      <c r="O222" s="66">
        <f>C223*Scoring!$B$32+D223/Scoring!$C$32+E223*Scoring!$D$32+F223*Scoring!$E$32+G223/Scoring!$F$32+H223*Scoring!$G$32+I223*Scoring!$H$32+K223*Scoring!$I$32+L223*Scoring!$J$32+U222</f>
        <v>106.40404000000001</v>
      </c>
      <c r="P222" s="20">
        <f>IF(COUNTIF(Rookies!$A:$A,A222)&gt;0,1,0)</f>
        <v>1</v>
      </c>
      <c r="S222" s="20">
        <f>V222/17</f>
        <v>2.1129411764705885</v>
      </c>
      <c r="T222" s="20">
        <f>IF(P222=1,MAX(0,0.258*(14.9-S222)),0)</f>
        <v>3.2990611764705884</v>
      </c>
      <c r="U222" s="20">
        <f>T222*17</f>
        <v>56.084040000000002</v>
      </c>
      <c r="V222" s="20">
        <f>C222*Scoring!$B$32+D222/Scoring!$C$32+E222*Scoring!$D$32+F222*Scoring!$E$32+G222/Scoring!$F$32+H222*Scoring!$G$32+I222*Scoring!$H$32+K222*Scoring!$I$32+RB!L222*Scoring!$J$32</f>
        <v>35.92</v>
      </c>
      <c r="X222" s="20">
        <f t="shared" si="17"/>
        <v>233.2</v>
      </c>
      <c r="Y222" s="20">
        <f t="shared" si="18"/>
        <v>1.7</v>
      </c>
      <c r="Z222" s="20">
        <f t="shared" si="19"/>
        <v>137.1764705882353</v>
      </c>
    </row>
    <row r="223" spans="1:26" ht="14.25" customHeight="1" x14ac:dyDescent="0.3">
      <c r="B223" t="s">
        <v>472</v>
      </c>
      <c r="C223">
        <v>61.9</v>
      </c>
      <c r="D223">
        <v>257.89999999999998</v>
      </c>
      <c r="E223">
        <v>2</v>
      </c>
      <c r="F223">
        <v>8.4</v>
      </c>
      <c r="G223">
        <v>59.3</v>
      </c>
      <c r="H223">
        <v>0.4</v>
      </c>
      <c r="I223">
        <v>0</v>
      </c>
      <c r="J223">
        <v>48.1</v>
      </c>
      <c r="K223" s="64">
        <f t="shared" si="15"/>
        <v>14.327777777777778</v>
      </c>
      <c r="L223" s="64">
        <f t="shared" si="16"/>
        <v>2.8046289308176102</v>
      </c>
      <c r="M223" s="66"/>
      <c r="N223" s="66"/>
      <c r="O223" s="66"/>
      <c r="X223" s="20">
        <f t="shared" si="17"/>
        <v>317.2</v>
      </c>
      <c r="Y223" s="20">
        <f t="shared" si="18"/>
        <v>2.4</v>
      </c>
      <c r="Z223" s="20">
        <f t="shared" si="19"/>
        <v>132.16666666666666</v>
      </c>
    </row>
    <row r="224" spans="1:26" ht="14.25" customHeight="1" x14ac:dyDescent="0.3">
      <c r="B224" t="s">
        <v>473</v>
      </c>
      <c r="C224">
        <v>30</v>
      </c>
      <c r="D224">
        <v>126</v>
      </c>
      <c r="E224">
        <v>1</v>
      </c>
      <c r="F224">
        <v>2</v>
      </c>
      <c r="G224">
        <v>23</v>
      </c>
      <c r="H224">
        <v>0</v>
      </c>
      <c r="I224">
        <v>0.3</v>
      </c>
      <c r="J224">
        <v>14.6</v>
      </c>
      <c r="K224" s="64">
        <f t="shared" si="15"/>
        <v>7</v>
      </c>
      <c r="L224" s="64">
        <f t="shared" si="16"/>
        <v>1.0877987421383648</v>
      </c>
      <c r="M224" s="66"/>
      <c r="N224" s="66"/>
      <c r="O224" s="66"/>
      <c r="X224" s="20">
        <f t="shared" si="17"/>
        <v>149</v>
      </c>
      <c r="Y224" s="20">
        <f t="shared" si="18"/>
        <v>1</v>
      </c>
      <c r="Z224" s="20">
        <f t="shared" si="19"/>
        <v>149</v>
      </c>
    </row>
    <row r="225" spans="1:26" ht="14.25" customHeight="1" x14ac:dyDescent="0.3">
      <c r="A225" t="s">
        <v>646</v>
      </c>
      <c r="B225" t="s">
        <v>475</v>
      </c>
      <c r="C225">
        <v>31</v>
      </c>
      <c r="D225">
        <v>169.5</v>
      </c>
      <c r="E225">
        <v>1</v>
      </c>
      <c r="F225">
        <v>6.5</v>
      </c>
      <c r="G225">
        <v>70.5</v>
      </c>
      <c r="H225">
        <v>0.5</v>
      </c>
      <c r="I225">
        <v>0.5</v>
      </c>
      <c r="J225">
        <v>35.299999999999997</v>
      </c>
      <c r="K225" s="64">
        <f t="shared" si="15"/>
        <v>9.4166666666666661</v>
      </c>
      <c r="L225" s="64">
        <f t="shared" si="16"/>
        <v>3.3343396226415098</v>
      </c>
      <c r="M225" s="66">
        <f>C227*Scoring!$B$32+D227/Scoring!$C$32+E227*Scoring!$D$32+F227*Scoring!$E$32+G227/Scoring!$F$32+H227*Scoring!$G$32+I227*Scoring!$H$32+K227*Scoring!$I$32+RB!L227*Scoring!$J$32+U225</f>
        <v>54.256900000000002</v>
      </c>
      <c r="N225" s="66">
        <f>C225*Scoring!$B$32+D225/Scoring!$C$32+E225*Scoring!$D$32+F225*Scoring!$E$32+G225/Scoring!$F$32+H225*Scoring!$G$32+I225*Scoring!$H$32+K225*Scoring!$I$32+RB!L225*Scoring!$J$32+U225</f>
        <v>91.506900000000002</v>
      </c>
      <c r="O225" s="66">
        <f>C226*Scoring!$B$32+D226/Scoring!$C$32+E226*Scoring!$D$32+F226*Scoring!$E$32+G226/Scoring!$F$32+H226*Scoring!$G$32+I226*Scoring!$H$32+K226*Scoring!$I$32+L226*Scoring!$J$32+U225</f>
        <v>128.7569</v>
      </c>
      <c r="P225" s="20">
        <f>IF(COUNTIF(Rookies!$A:$A,A225)&gt;0,1,0)</f>
        <v>1</v>
      </c>
      <c r="S225" s="20">
        <f>V225/17</f>
        <v>2.0735294117647061</v>
      </c>
      <c r="T225" s="20">
        <f>IF(P225=1,MAX(0,0.258*(14.9-S225)),0)</f>
        <v>3.3092294117647061</v>
      </c>
      <c r="U225" s="20">
        <f>T225*17</f>
        <v>56.256900000000002</v>
      </c>
      <c r="V225" s="20">
        <f>C225*Scoring!$B$32+D225/Scoring!$C$32+E225*Scoring!$D$32+F225*Scoring!$E$32+G225/Scoring!$F$32+H225*Scoring!$G$32+I225*Scoring!$H$32+K225*Scoring!$I$32+RB!L225*Scoring!$J$32</f>
        <v>35.25</v>
      </c>
      <c r="X225" s="20">
        <f t="shared" si="17"/>
        <v>240</v>
      </c>
      <c r="Y225" s="20">
        <f t="shared" si="18"/>
        <v>1.5</v>
      </c>
      <c r="Z225" s="20">
        <f t="shared" si="19"/>
        <v>160</v>
      </c>
    </row>
    <row r="226" spans="1:26" ht="14.25" customHeight="1" x14ac:dyDescent="0.3">
      <c r="B226" t="s">
        <v>472</v>
      </c>
      <c r="C226">
        <v>62</v>
      </c>
      <c r="D226">
        <v>339</v>
      </c>
      <c r="E226">
        <v>2</v>
      </c>
      <c r="F226">
        <v>13</v>
      </c>
      <c r="G226">
        <v>141</v>
      </c>
      <c r="H226">
        <v>1</v>
      </c>
      <c r="I226">
        <v>0</v>
      </c>
      <c r="J226">
        <v>50.3</v>
      </c>
      <c r="K226" s="64">
        <f t="shared" si="15"/>
        <v>18.833333333333332</v>
      </c>
      <c r="L226" s="64">
        <f t="shared" si="16"/>
        <v>6.6686792452830197</v>
      </c>
      <c r="M226" s="66"/>
      <c r="N226" s="66"/>
      <c r="O226" s="66"/>
      <c r="X226" s="20">
        <f t="shared" si="17"/>
        <v>480</v>
      </c>
      <c r="Y226" s="20">
        <f t="shared" si="18"/>
        <v>3</v>
      </c>
      <c r="Z226" s="20">
        <f t="shared" si="19"/>
        <v>160</v>
      </c>
    </row>
    <row r="227" spans="1:26" ht="14.25" customHeight="1" x14ac:dyDescent="0.3">
      <c r="B227" t="s">
        <v>473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3.3</v>
      </c>
      <c r="K227" s="64">
        <f t="shared" si="15"/>
        <v>0</v>
      </c>
      <c r="L227" s="64">
        <f t="shared" si="16"/>
        <v>0</v>
      </c>
      <c r="M227" s="66"/>
      <c r="N227" s="66"/>
      <c r="O227" s="66"/>
      <c r="X227" s="20">
        <f t="shared" si="17"/>
        <v>0</v>
      </c>
      <c r="Y227" s="20">
        <f t="shared" si="18"/>
        <v>0</v>
      </c>
      <c r="Z227" s="20" t="e">
        <f t="shared" si="19"/>
        <v>#DIV/0!</v>
      </c>
    </row>
    <row r="228" spans="1:26" ht="14.25" customHeight="1" x14ac:dyDescent="0.3">
      <c r="A228" t="s">
        <v>662</v>
      </c>
      <c r="B228" t="s">
        <v>489</v>
      </c>
      <c r="C228">
        <v>31.8</v>
      </c>
      <c r="D228">
        <v>125</v>
      </c>
      <c r="E228">
        <v>0.6</v>
      </c>
      <c r="F228">
        <v>14.7</v>
      </c>
      <c r="G228">
        <v>95</v>
      </c>
      <c r="H228">
        <v>0.4</v>
      </c>
      <c r="I228">
        <v>0.1</v>
      </c>
      <c r="J228">
        <v>35.200000000000003</v>
      </c>
      <c r="K228" s="64">
        <f t="shared" si="15"/>
        <v>6.9444444444444446</v>
      </c>
      <c r="L228" s="64">
        <f t="shared" si="16"/>
        <v>4.4930817610062901</v>
      </c>
      <c r="M228" s="66">
        <f>C230*Scoring!$B$32+D230/Scoring!$C$32+E230*Scoring!$D$32+F230*Scoring!$E$32+G230/Scoring!$F$32+H230*Scoring!$G$32+I230*Scoring!$H$32+K230*Scoring!$I$32+RB!L230*Scoring!$J$32+U228</f>
        <v>13.690000000000001</v>
      </c>
      <c r="N228" s="66">
        <f>C228*Scoring!$B$32+D228/Scoring!$C$32+E228*Scoring!$D$32+F228*Scoring!$E$32+G228/Scoring!$F$32+H228*Scoring!$G$32+I228*Scoring!$H$32+K228*Scoring!$I$32+RB!L228*Scoring!$J$32+U228</f>
        <v>35.15</v>
      </c>
      <c r="O228" s="66">
        <f>C229*Scoring!$B$32+D229/Scoring!$C$32+E229*Scoring!$D$32+F229*Scoring!$E$32+G229/Scoring!$F$32+H229*Scoring!$G$32+I229*Scoring!$H$32+K229*Scoring!$I$32+L229*Scoring!$J$32+U228</f>
        <v>56.849999999999994</v>
      </c>
      <c r="P228" s="20">
        <f>IF(COUNTIF(Rookies!$A:$A,A228)&gt;0,1,0)</f>
        <v>0</v>
      </c>
      <c r="S228" s="20">
        <f>V228/17</f>
        <v>2.0676470588235292</v>
      </c>
      <c r="T228" s="20">
        <f>IF(P228=1,MAX(0,0.258*(14.9-S228)),0)</f>
        <v>0</v>
      </c>
      <c r="U228" s="20">
        <f>T228*17</f>
        <v>0</v>
      </c>
      <c r="V228" s="20">
        <f>C228*Scoring!$B$32+D228/Scoring!$C$32+E228*Scoring!$D$32+F228*Scoring!$E$32+G228/Scoring!$F$32+H228*Scoring!$G$32+I228*Scoring!$H$32+K228*Scoring!$I$32+RB!L228*Scoring!$J$32</f>
        <v>35.15</v>
      </c>
      <c r="X228" s="20">
        <f t="shared" si="17"/>
        <v>220</v>
      </c>
      <c r="Y228" s="20">
        <f t="shared" si="18"/>
        <v>1</v>
      </c>
      <c r="Z228" s="20">
        <f t="shared" si="19"/>
        <v>220</v>
      </c>
    </row>
    <row r="229" spans="1:26" ht="14.25" customHeight="1" x14ac:dyDescent="0.3">
      <c r="B229" t="s">
        <v>472</v>
      </c>
      <c r="C229">
        <v>56</v>
      </c>
      <c r="D229">
        <v>218</v>
      </c>
      <c r="E229">
        <v>1</v>
      </c>
      <c r="F229">
        <v>20.5</v>
      </c>
      <c r="G229">
        <v>140</v>
      </c>
      <c r="H229">
        <v>0.8</v>
      </c>
      <c r="I229">
        <v>0</v>
      </c>
      <c r="J229">
        <v>30.8</v>
      </c>
      <c r="K229" s="64">
        <f t="shared" si="15"/>
        <v>12.111111111111111</v>
      </c>
      <c r="L229" s="64">
        <f t="shared" si="16"/>
        <v>6.6213836477987416</v>
      </c>
      <c r="M229" s="66"/>
      <c r="N229" s="66"/>
      <c r="O229" s="66"/>
      <c r="X229" s="20">
        <f t="shared" si="17"/>
        <v>358</v>
      </c>
      <c r="Y229" s="20">
        <f t="shared" si="18"/>
        <v>1.8</v>
      </c>
      <c r="Z229" s="20">
        <f t="shared" si="19"/>
        <v>198.88888888888889</v>
      </c>
    </row>
    <row r="230" spans="1:26" ht="14.25" customHeight="1" x14ac:dyDescent="0.3">
      <c r="B230" t="s">
        <v>473</v>
      </c>
      <c r="C230">
        <v>7.5</v>
      </c>
      <c r="D230">
        <v>31.9</v>
      </c>
      <c r="E230">
        <v>0.2</v>
      </c>
      <c r="F230">
        <v>9</v>
      </c>
      <c r="G230">
        <v>50</v>
      </c>
      <c r="H230">
        <v>0</v>
      </c>
      <c r="I230">
        <v>0.1</v>
      </c>
      <c r="J230">
        <v>27.4</v>
      </c>
      <c r="K230" s="64">
        <f t="shared" si="15"/>
        <v>1.7722222222222221</v>
      </c>
      <c r="L230" s="64">
        <f t="shared" si="16"/>
        <v>2.3647798742138364</v>
      </c>
      <c r="M230" s="66"/>
      <c r="N230" s="66"/>
      <c r="O230" s="66"/>
      <c r="X230" s="20">
        <f t="shared" si="17"/>
        <v>81.900000000000006</v>
      </c>
      <c r="Y230" s="20">
        <f t="shared" si="18"/>
        <v>0.2</v>
      </c>
      <c r="Z230" s="20">
        <f t="shared" si="19"/>
        <v>409.5</v>
      </c>
    </row>
    <row r="231" spans="1:26" ht="14.25" customHeight="1" x14ac:dyDescent="0.3">
      <c r="A231" t="s">
        <v>707</v>
      </c>
      <c r="B231" t="s">
        <v>503</v>
      </c>
      <c r="C231">
        <v>39.799999999999997</v>
      </c>
      <c r="D231">
        <v>178.1</v>
      </c>
      <c r="E231">
        <v>1.5</v>
      </c>
      <c r="F231">
        <v>5.3</v>
      </c>
      <c r="G231">
        <v>44.1</v>
      </c>
      <c r="H231">
        <v>0.2</v>
      </c>
      <c r="I231">
        <v>0.1</v>
      </c>
      <c r="J231">
        <v>34.700000000000003</v>
      </c>
      <c r="K231" s="64">
        <f t="shared" si="15"/>
        <v>9.8944444444444439</v>
      </c>
      <c r="L231" s="64">
        <f t="shared" si="16"/>
        <v>2.0857358490566043</v>
      </c>
      <c r="M231" s="66">
        <f>C233*Scoring!$B$32+D233/Scoring!$C$32+E233*Scoring!$D$32+F233*Scoring!$E$32+G233/Scoring!$F$32+H233*Scoring!$G$32+I233*Scoring!$H$32+K233*Scoring!$I$32+RB!L233*Scoring!$J$32+U231</f>
        <v>25.200000000000003</v>
      </c>
      <c r="N231" s="66">
        <f>C231*Scoring!$B$32+D231/Scoring!$C$32+E231*Scoring!$D$32+F231*Scoring!$E$32+G231/Scoring!$F$32+H231*Scoring!$G$32+I231*Scoring!$H$32+K231*Scoring!$I$32+RB!L231*Scoring!$J$32+U231</f>
        <v>34.869999999999997</v>
      </c>
      <c r="O231" s="66">
        <f>C232*Scoring!$B$32+D232/Scoring!$C$32+E232*Scoring!$D$32+F232*Scoring!$E$32+G232/Scoring!$F$32+H232*Scoring!$G$32+I232*Scoring!$H$32+K232*Scoring!$I$32+L232*Scoring!$J$32+U231</f>
        <v>43.989999999999995</v>
      </c>
      <c r="P231" s="20">
        <f>IF(COUNTIF(Rookies!$A:$A,A231)&gt;0,1,0)</f>
        <v>0</v>
      </c>
      <c r="S231" s="20">
        <f>V231/17</f>
        <v>2.0511764705882349</v>
      </c>
      <c r="T231" s="20">
        <f>IF(P231=1,MAX(0,0.258*(14.9-S231)),0)</f>
        <v>0</v>
      </c>
      <c r="U231" s="20">
        <f>T231*17</f>
        <v>0</v>
      </c>
      <c r="V231" s="20">
        <f>C231*Scoring!$B$32+D231/Scoring!$C$32+E231*Scoring!$D$32+F231*Scoring!$E$32+G231/Scoring!$F$32+H231*Scoring!$G$32+I231*Scoring!$H$32+K231*Scoring!$I$32+RB!L231*Scoring!$J$32</f>
        <v>34.869999999999997</v>
      </c>
      <c r="X231" s="20">
        <f t="shared" si="17"/>
        <v>222.2</v>
      </c>
      <c r="Y231" s="20">
        <f t="shared" si="18"/>
        <v>1.7</v>
      </c>
      <c r="Z231" s="20">
        <f t="shared" si="19"/>
        <v>130.70588235294116</v>
      </c>
    </row>
    <row r="232" spans="1:26" ht="14.25" customHeight="1" x14ac:dyDescent="0.3">
      <c r="B232" t="s">
        <v>472</v>
      </c>
      <c r="C232">
        <v>50.7</v>
      </c>
      <c r="D232">
        <v>220.2</v>
      </c>
      <c r="E232">
        <v>2</v>
      </c>
      <c r="F232">
        <v>6.7</v>
      </c>
      <c r="G232">
        <v>48.2</v>
      </c>
      <c r="H232">
        <v>0.3</v>
      </c>
      <c r="I232">
        <v>0</v>
      </c>
      <c r="J232">
        <v>45.1</v>
      </c>
      <c r="K232" s="64">
        <f t="shared" si="15"/>
        <v>12.233333333333333</v>
      </c>
      <c r="L232" s="64">
        <f t="shared" si="16"/>
        <v>2.2796477987421384</v>
      </c>
      <c r="M232" s="66"/>
      <c r="N232" s="66"/>
      <c r="O232" s="66"/>
      <c r="X232" s="20">
        <f t="shared" si="17"/>
        <v>268.39999999999998</v>
      </c>
      <c r="Y232" s="20">
        <f t="shared" si="18"/>
        <v>2.2999999999999998</v>
      </c>
      <c r="Z232" s="20">
        <f t="shared" si="19"/>
        <v>116.69565217391305</v>
      </c>
    </row>
    <row r="233" spans="1:26" ht="14.25" customHeight="1" x14ac:dyDescent="0.3">
      <c r="B233" t="s">
        <v>473</v>
      </c>
      <c r="C233">
        <v>29</v>
      </c>
      <c r="D233">
        <v>136</v>
      </c>
      <c r="E233">
        <v>1</v>
      </c>
      <c r="F233">
        <v>4</v>
      </c>
      <c r="G233">
        <v>40</v>
      </c>
      <c r="H233">
        <v>0</v>
      </c>
      <c r="I233">
        <v>0.2</v>
      </c>
      <c r="J233">
        <v>15.7</v>
      </c>
      <c r="K233" s="64">
        <f t="shared" si="15"/>
        <v>7.5555555555555554</v>
      </c>
      <c r="L233" s="64">
        <f t="shared" si="16"/>
        <v>1.8918238993710692</v>
      </c>
      <c r="M233" s="66"/>
      <c r="N233" s="66"/>
      <c r="O233" s="66"/>
      <c r="X233" s="20">
        <f t="shared" si="17"/>
        <v>176</v>
      </c>
      <c r="Y233" s="20">
        <f t="shared" si="18"/>
        <v>1</v>
      </c>
      <c r="Z233" s="20">
        <f t="shared" si="19"/>
        <v>176</v>
      </c>
    </row>
    <row r="234" spans="1:26" ht="14.25" customHeight="1" x14ac:dyDescent="0.3">
      <c r="A234" t="s">
        <v>664</v>
      </c>
      <c r="B234" t="s">
        <v>495</v>
      </c>
      <c r="C234">
        <v>34</v>
      </c>
      <c r="D234">
        <v>116</v>
      </c>
      <c r="E234">
        <v>3</v>
      </c>
      <c r="F234">
        <v>3</v>
      </c>
      <c r="G234">
        <v>18</v>
      </c>
      <c r="H234">
        <v>0</v>
      </c>
      <c r="I234">
        <v>0</v>
      </c>
      <c r="J234">
        <v>32.9</v>
      </c>
      <c r="K234" s="64">
        <f t="shared" si="15"/>
        <v>6.4444444444444446</v>
      </c>
      <c r="L234" s="64">
        <f t="shared" si="16"/>
        <v>0.85132075471698099</v>
      </c>
      <c r="M234" s="66">
        <f>C236*Scoring!$B$32+D236/Scoring!$C$32+E236*Scoring!$D$32+F236*Scoring!$E$32+G236/Scoring!$F$32+H236*Scoring!$G$32+I236*Scoring!$H$32+K236*Scoring!$I$32+RB!L236*Scoring!$J$32+U234</f>
        <v>32.9</v>
      </c>
      <c r="N234" s="66">
        <f>C234*Scoring!$B$32+D234/Scoring!$C$32+E234*Scoring!$D$32+F234*Scoring!$E$32+G234/Scoring!$F$32+H234*Scoring!$G$32+I234*Scoring!$H$32+K234*Scoring!$I$32+RB!L234*Scoring!$J$32+U234</f>
        <v>32.9</v>
      </c>
      <c r="O234" s="66">
        <f>C235*Scoring!$B$32+D235/Scoring!$C$32+E235*Scoring!$D$32+F235*Scoring!$E$32+G235/Scoring!$F$32+H235*Scoring!$G$32+I235*Scoring!$H$32+K235*Scoring!$I$32+L235*Scoring!$J$32+U234</f>
        <v>32.9</v>
      </c>
      <c r="P234" s="20">
        <f>IF(COUNTIF(Rookies!$A:$A,A234)&gt;0,1,0)</f>
        <v>0</v>
      </c>
      <c r="S234" s="20">
        <f>V234/17</f>
        <v>1.9352941176470588</v>
      </c>
      <c r="T234" s="20">
        <f>IF(P234=1,MAX(0,0.258*(14.9-S234)),0)</f>
        <v>0</v>
      </c>
      <c r="U234" s="20">
        <f>T234*17</f>
        <v>0</v>
      </c>
      <c r="V234" s="20">
        <f>C234*Scoring!$B$32+D234/Scoring!$C$32+E234*Scoring!$D$32+F234*Scoring!$E$32+G234/Scoring!$F$32+H234*Scoring!$G$32+I234*Scoring!$H$32+K234*Scoring!$I$32+RB!L234*Scoring!$J$32</f>
        <v>32.9</v>
      </c>
      <c r="X234" s="20">
        <f t="shared" si="17"/>
        <v>134</v>
      </c>
      <c r="Y234" s="20">
        <f t="shared" si="18"/>
        <v>3</v>
      </c>
      <c r="Z234" s="20">
        <f t="shared" si="19"/>
        <v>44.666666666666664</v>
      </c>
    </row>
    <row r="235" spans="1:26" ht="14.25" customHeight="1" x14ac:dyDescent="0.3">
      <c r="B235" t="s">
        <v>472</v>
      </c>
      <c r="C235">
        <v>34</v>
      </c>
      <c r="D235">
        <v>116</v>
      </c>
      <c r="E235">
        <v>3</v>
      </c>
      <c r="F235">
        <v>3</v>
      </c>
      <c r="G235">
        <v>18</v>
      </c>
      <c r="H235">
        <v>0</v>
      </c>
      <c r="I235">
        <v>0</v>
      </c>
      <c r="J235">
        <v>24.5</v>
      </c>
      <c r="K235" s="64">
        <f t="shared" si="15"/>
        <v>6.4444444444444446</v>
      </c>
      <c r="L235" s="64">
        <f t="shared" si="16"/>
        <v>0.85132075471698099</v>
      </c>
      <c r="M235" s="66"/>
      <c r="N235" s="66"/>
      <c r="O235" s="66"/>
      <c r="X235" s="20">
        <f t="shared" si="17"/>
        <v>134</v>
      </c>
      <c r="Y235" s="20">
        <f t="shared" si="18"/>
        <v>3</v>
      </c>
      <c r="Z235" s="20">
        <f t="shared" si="19"/>
        <v>44.666666666666664</v>
      </c>
    </row>
    <row r="236" spans="1:26" ht="14.25" customHeight="1" x14ac:dyDescent="0.3">
      <c r="B236" t="s">
        <v>473</v>
      </c>
      <c r="C236">
        <v>34</v>
      </c>
      <c r="D236">
        <v>116</v>
      </c>
      <c r="E236">
        <v>3</v>
      </c>
      <c r="F236">
        <v>3</v>
      </c>
      <c r="G236">
        <v>18</v>
      </c>
      <c r="H236">
        <v>0</v>
      </c>
      <c r="I236">
        <v>0</v>
      </c>
      <c r="J236">
        <v>24.5</v>
      </c>
      <c r="K236" s="64">
        <f t="shared" si="15"/>
        <v>6.4444444444444446</v>
      </c>
      <c r="L236" s="64">
        <f t="shared" si="16"/>
        <v>0.85132075471698099</v>
      </c>
      <c r="M236" s="66"/>
      <c r="N236" s="66"/>
      <c r="O236" s="66"/>
      <c r="X236" s="20">
        <f t="shared" si="17"/>
        <v>134</v>
      </c>
      <c r="Y236" s="20">
        <f t="shared" si="18"/>
        <v>3</v>
      </c>
      <c r="Z236" s="20">
        <f t="shared" si="19"/>
        <v>44.666666666666664</v>
      </c>
    </row>
    <row r="237" spans="1:26" ht="14.25" customHeight="1" x14ac:dyDescent="0.3">
      <c r="A237" t="s">
        <v>667</v>
      </c>
      <c r="B237" t="s">
        <v>471</v>
      </c>
      <c r="C237">
        <v>32.4</v>
      </c>
      <c r="D237">
        <v>138.30000000000001</v>
      </c>
      <c r="E237">
        <v>1.1000000000000001</v>
      </c>
      <c r="F237">
        <v>7.8</v>
      </c>
      <c r="G237">
        <v>60</v>
      </c>
      <c r="H237">
        <v>0.4</v>
      </c>
      <c r="I237">
        <v>0.2</v>
      </c>
      <c r="J237">
        <v>32.1</v>
      </c>
      <c r="K237" s="64">
        <f t="shared" si="15"/>
        <v>7.6833333333333336</v>
      </c>
      <c r="L237" s="64">
        <f t="shared" si="16"/>
        <v>2.8377358490566036</v>
      </c>
      <c r="M237" s="66">
        <f>C239*Scoring!$B$32+D239/Scoring!$C$32+E239*Scoring!$D$32+F239*Scoring!$E$32+G239/Scoring!$F$32+H239*Scoring!$G$32+I239*Scoring!$H$32+K239*Scoring!$I$32+RB!L239*Scoring!$J$32+U237</f>
        <v>32.330000000000005</v>
      </c>
      <c r="N237" s="66">
        <f>C237*Scoring!$B$32+D237/Scoring!$C$32+E237*Scoring!$D$32+F237*Scoring!$E$32+G237/Scoring!$F$32+H237*Scoring!$G$32+I237*Scoring!$H$32+K237*Scoring!$I$32+RB!L237*Scoring!$J$32+U237</f>
        <v>32.330000000000005</v>
      </c>
      <c r="O237" s="66">
        <f>C238*Scoring!$B$32+D238/Scoring!$C$32+E238*Scoring!$D$32+F238*Scoring!$E$32+G238/Scoring!$F$32+H238*Scoring!$G$32+I238*Scoring!$H$32+K238*Scoring!$I$32+L238*Scoring!$J$32+U237</f>
        <v>32.330000000000005</v>
      </c>
      <c r="P237" s="20">
        <f>IF(COUNTIF(Rookies!$A:$A,A237)&gt;0,1,0)</f>
        <v>0</v>
      </c>
      <c r="S237" s="20">
        <f>V237/17</f>
        <v>1.9017647058823532</v>
      </c>
      <c r="T237" s="20">
        <f>IF(P237=1,MAX(0,0.258*(14.9-S237)),0)</f>
        <v>0</v>
      </c>
      <c r="U237" s="20">
        <f>T237*17</f>
        <v>0</v>
      </c>
      <c r="V237" s="20">
        <f>C237*Scoring!$B$32+D237/Scoring!$C$32+E237*Scoring!$D$32+F237*Scoring!$E$32+G237/Scoring!$F$32+H237*Scoring!$G$32+I237*Scoring!$H$32+K237*Scoring!$I$32+RB!L237*Scoring!$J$32</f>
        <v>32.330000000000005</v>
      </c>
      <c r="X237" s="20">
        <f t="shared" si="17"/>
        <v>198.3</v>
      </c>
      <c r="Y237" s="20">
        <f t="shared" si="18"/>
        <v>1.5</v>
      </c>
      <c r="Z237" s="20">
        <f t="shared" si="19"/>
        <v>132.20000000000002</v>
      </c>
    </row>
    <row r="238" spans="1:26" ht="14.25" customHeight="1" x14ac:dyDescent="0.3">
      <c r="B238" t="s">
        <v>472</v>
      </c>
      <c r="C238">
        <v>32.4</v>
      </c>
      <c r="D238">
        <v>138.30000000000001</v>
      </c>
      <c r="E238">
        <v>1.1000000000000001</v>
      </c>
      <c r="F238">
        <v>7.8</v>
      </c>
      <c r="G238">
        <v>60</v>
      </c>
      <c r="H238">
        <v>0.4</v>
      </c>
      <c r="I238">
        <v>0.2</v>
      </c>
      <c r="J238">
        <v>34.299999999999997</v>
      </c>
      <c r="K238" s="64">
        <f t="shared" si="15"/>
        <v>7.6833333333333336</v>
      </c>
      <c r="L238" s="64">
        <f t="shared" si="16"/>
        <v>2.8377358490566036</v>
      </c>
      <c r="M238" s="66"/>
      <c r="N238" s="66"/>
      <c r="O238" s="66"/>
      <c r="X238" s="20">
        <f t="shared" si="17"/>
        <v>198.3</v>
      </c>
      <c r="Y238" s="20">
        <f t="shared" si="18"/>
        <v>1.5</v>
      </c>
      <c r="Z238" s="20">
        <f t="shared" si="19"/>
        <v>132.20000000000002</v>
      </c>
    </row>
    <row r="239" spans="1:26" ht="14.25" customHeight="1" x14ac:dyDescent="0.3">
      <c r="B239" t="s">
        <v>473</v>
      </c>
      <c r="C239">
        <v>32.4</v>
      </c>
      <c r="D239">
        <v>138.30000000000001</v>
      </c>
      <c r="E239">
        <v>1.1000000000000001</v>
      </c>
      <c r="F239">
        <v>7.8</v>
      </c>
      <c r="G239">
        <v>60</v>
      </c>
      <c r="H239">
        <v>0.4</v>
      </c>
      <c r="I239">
        <v>0.2</v>
      </c>
      <c r="J239">
        <v>34.299999999999997</v>
      </c>
      <c r="K239" s="64">
        <f t="shared" si="15"/>
        <v>7.6833333333333336</v>
      </c>
      <c r="L239" s="64">
        <f t="shared" si="16"/>
        <v>2.8377358490566036</v>
      </c>
      <c r="M239" s="66"/>
      <c r="N239" s="66"/>
      <c r="O239" s="66"/>
      <c r="X239" s="20">
        <f t="shared" si="17"/>
        <v>198.3</v>
      </c>
      <c r="Y239" s="20">
        <f t="shared" si="18"/>
        <v>1.5</v>
      </c>
      <c r="Z239" s="20">
        <f t="shared" si="19"/>
        <v>132.20000000000002</v>
      </c>
    </row>
    <row r="240" spans="1:26" ht="14.25" customHeight="1" x14ac:dyDescent="0.3">
      <c r="A240" t="s">
        <v>669</v>
      </c>
      <c r="B240" t="s">
        <v>507</v>
      </c>
      <c r="C240">
        <v>39.299999999999997</v>
      </c>
      <c r="D240">
        <v>163.6</v>
      </c>
      <c r="E240">
        <v>2.2000000000000002</v>
      </c>
      <c r="F240">
        <v>1.5</v>
      </c>
      <c r="G240">
        <v>10.199999999999999</v>
      </c>
      <c r="H240">
        <v>0</v>
      </c>
      <c r="I240">
        <v>0.1</v>
      </c>
      <c r="J240">
        <v>31.4</v>
      </c>
      <c r="K240" s="64">
        <f t="shared" si="15"/>
        <v>9.0888888888888903</v>
      </c>
      <c r="L240" s="64">
        <f t="shared" si="16"/>
        <v>0.4824150943396226</v>
      </c>
      <c r="M240" s="66">
        <f>C242*Scoring!$B$32+D242/Scoring!$C$32+E242*Scoring!$D$32+F242*Scoring!$E$32+G242/Scoring!$F$32+H242*Scoring!$G$32+I242*Scoring!$H$32+K242*Scoring!$I$32+RB!L242*Scoring!$J$32+U240</f>
        <v>27</v>
      </c>
      <c r="N240" s="66">
        <f>C240*Scoring!$B$32+D240/Scoring!$C$32+E240*Scoring!$D$32+F240*Scoring!$E$32+G240/Scoring!$F$32+H240*Scoring!$G$32+I240*Scoring!$H$32+K240*Scoring!$I$32+RB!L240*Scoring!$J$32+U240</f>
        <v>31.130000000000003</v>
      </c>
      <c r="O240" s="66">
        <f>C241*Scoring!$B$32+D241/Scoring!$C$32+E241*Scoring!$D$32+F241*Scoring!$E$32+G241/Scoring!$F$32+H241*Scoring!$G$32+I241*Scoring!$H$32+K241*Scoring!$I$32+L241*Scoring!$J$32+U240</f>
        <v>35.659999999999997</v>
      </c>
      <c r="P240" s="20">
        <f>IF(COUNTIF(Rookies!$A:$A,A240)&gt;0,1,0)</f>
        <v>0</v>
      </c>
      <c r="S240" s="20">
        <f>V240/17</f>
        <v>1.8311764705882354</v>
      </c>
      <c r="T240" s="20">
        <f>IF(P240=1,MAX(0,0.258*(14.9-S240)),0)</f>
        <v>0</v>
      </c>
      <c r="U240" s="20">
        <f>T240*17</f>
        <v>0</v>
      </c>
      <c r="V240" s="20">
        <f>C240*Scoring!$B$32+D240/Scoring!$C$32+E240*Scoring!$D$32+F240*Scoring!$E$32+G240/Scoring!$F$32+H240*Scoring!$G$32+I240*Scoring!$H$32+K240*Scoring!$I$32+RB!L240*Scoring!$J$32</f>
        <v>31.130000000000003</v>
      </c>
      <c r="X240" s="20">
        <f t="shared" si="17"/>
        <v>173.79999999999998</v>
      </c>
      <c r="Y240" s="20">
        <f t="shared" si="18"/>
        <v>2.2000000000000002</v>
      </c>
      <c r="Z240" s="20">
        <f t="shared" si="19"/>
        <v>78.999999999999986</v>
      </c>
    </row>
    <row r="241" spans="1:26" ht="14.25" customHeight="1" x14ac:dyDescent="0.3">
      <c r="B241" t="s">
        <v>472</v>
      </c>
      <c r="C241">
        <v>43.6</v>
      </c>
      <c r="D241">
        <v>182.2</v>
      </c>
      <c r="E241">
        <v>2.4</v>
      </c>
      <c r="F241">
        <v>2</v>
      </c>
      <c r="G241">
        <v>14.4</v>
      </c>
      <c r="H241">
        <v>0.1</v>
      </c>
      <c r="I241">
        <v>0</v>
      </c>
      <c r="J241">
        <v>35.700000000000003</v>
      </c>
      <c r="K241" s="64">
        <f t="shared" si="15"/>
        <v>10.122222222222222</v>
      </c>
      <c r="L241" s="64">
        <f t="shared" si="16"/>
        <v>0.6810566037735849</v>
      </c>
      <c r="M241" s="66"/>
      <c r="N241" s="66"/>
      <c r="O241" s="66"/>
      <c r="X241" s="20">
        <f t="shared" si="17"/>
        <v>196.6</v>
      </c>
      <c r="Y241" s="20">
        <f t="shared" si="18"/>
        <v>2.5</v>
      </c>
      <c r="Z241" s="20">
        <f t="shared" si="19"/>
        <v>78.64</v>
      </c>
    </row>
    <row r="242" spans="1:26" ht="14.25" customHeight="1" x14ac:dyDescent="0.3">
      <c r="B242" t="s">
        <v>473</v>
      </c>
      <c r="C242">
        <v>35</v>
      </c>
      <c r="D242">
        <v>145</v>
      </c>
      <c r="E242">
        <v>2</v>
      </c>
      <c r="F242">
        <v>1</v>
      </c>
      <c r="G242">
        <v>6</v>
      </c>
      <c r="H242">
        <v>0</v>
      </c>
      <c r="I242">
        <v>0.3</v>
      </c>
      <c r="J242">
        <v>18.7</v>
      </c>
      <c r="K242" s="64">
        <f t="shared" si="15"/>
        <v>8.0555555555555554</v>
      </c>
      <c r="L242" s="64">
        <f t="shared" si="16"/>
        <v>0.28377358490566035</v>
      </c>
      <c r="M242" s="66"/>
      <c r="N242" s="66"/>
      <c r="O242" s="66"/>
      <c r="X242" s="20">
        <f t="shared" si="17"/>
        <v>151</v>
      </c>
      <c r="Y242" s="20">
        <f t="shared" si="18"/>
        <v>2</v>
      </c>
      <c r="Z242" s="20">
        <f t="shared" si="19"/>
        <v>75.5</v>
      </c>
    </row>
    <row r="243" spans="1:26" ht="14.25" customHeight="1" x14ac:dyDescent="0.3">
      <c r="A243" t="s">
        <v>679</v>
      </c>
      <c r="B243" t="s">
        <v>511</v>
      </c>
      <c r="C243">
        <v>32.700000000000003</v>
      </c>
      <c r="D243">
        <v>140.1</v>
      </c>
      <c r="E243">
        <v>1.5</v>
      </c>
      <c r="F243">
        <v>5.3</v>
      </c>
      <c r="G243">
        <v>42.2</v>
      </c>
      <c r="H243">
        <v>0.2</v>
      </c>
      <c r="I243">
        <v>0.1</v>
      </c>
      <c r="J243">
        <v>30.8</v>
      </c>
      <c r="K243" s="64">
        <f t="shared" si="15"/>
        <v>7.7833333333333332</v>
      </c>
      <c r="L243" s="64">
        <f t="shared" si="16"/>
        <v>1.9958742138364778</v>
      </c>
      <c r="M243" s="66">
        <f>C245*Scoring!$B$32+D245/Scoring!$C$32+E245*Scoring!$D$32+F245*Scoring!$E$32+G245/Scoring!$F$32+H245*Scoring!$G$32+I245*Scoring!$H$32+K245*Scoring!$I$32+RB!L245*Scoring!$J$32+U243</f>
        <v>80.904359999999997</v>
      </c>
      <c r="N243" s="66">
        <f>C243*Scoring!$B$32+D243/Scoring!$C$32+E243*Scoring!$D$32+F243*Scoring!$E$32+G243/Scoring!$F$32+H243*Scoring!$G$32+I243*Scoring!$H$32+K243*Scoring!$I$32+RB!L243*Scoring!$J$32+U243</f>
        <v>88.264359999999996</v>
      </c>
      <c r="O243" s="66">
        <f>C244*Scoring!$B$32+D244/Scoring!$C$32+E244*Scoring!$D$32+F244*Scoring!$E$32+G244/Scoring!$F$32+H244*Scoring!$G$32+I244*Scoring!$H$32+K244*Scoring!$I$32+L244*Scoring!$J$32+U243</f>
        <v>95.634360000000001</v>
      </c>
      <c r="P243" s="20">
        <f>IF(COUNTIF(Rookies!$A:$A,A243)&gt;0,1,0)</f>
        <v>1</v>
      </c>
      <c r="S243" s="20">
        <f>V243/17</f>
        <v>1.8164705882352938</v>
      </c>
      <c r="T243" s="20">
        <f>IF(P243=1,MAX(0,0.258*(14.9-S243)),0)</f>
        <v>3.3755505882352943</v>
      </c>
      <c r="U243" s="20">
        <f>T243*17</f>
        <v>57.384360000000001</v>
      </c>
      <c r="V243" s="20">
        <f>C243*Scoring!$B$32+D243/Scoring!$C$32+E243*Scoring!$D$32+F243*Scoring!$E$32+G243/Scoring!$F$32+H243*Scoring!$G$32+I243*Scoring!$H$32+K243*Scoring!$I$32+RB!L243*Scoring!$J$32</f>
        <v>30.879999999999995</v>
      </c>
      <c r="X243" s="20">
        <f t="shared" si="17"/>
        <v>182.3</v>
      </c>
      <c r="Y243" s="20">
        <f t="shared" si="18"/>
        <v>1.7</v>
      </c>
      <c r="Z243" s="20">
        <f t="shared" si="19"/>
        <v>107.23529411764707</v>
      </c>
    </row>
    <row r="244" spans="1:26" ht="14.25" customHeight="1" x14ac:dyDescent="0.3">
      <c r="B244" t="s">
        <v>472</v>
      </c>
      <c r="C244">
        <v>33.4</v>
      </c>
      <c r="D244">
        <v>142</v>
      </c>
      <c r="E244">
        <v>2</v>
      </c>
      <c r="F244">
        <v>8.6</v>
      </c>
      <c r="G244">
        <v>59.5</v>
      </c>
      <c r="H244">
        <v>0.3</v>
      </c>
      <c r="I244">
        <v>0</v>
      </c>
      <c r="J244">
        <v>30.5</v>
      </c>
      <c r="K244" s="64">
        <f t="shared" si="15"/>
        <v>7.8888888888888884</v>
      </c>
      <c r="L244" s="64">
        <f t="shared" si="16"/>
        <v>2.814088050314465</v>
      </c>
      <c r="M244" s="66"/>
      <c r="N244" s="66"/>
      <c r="O244" s="66"/>
      <c r="X244" s="20">
        <f t="shared" si="17"/>
        <v>201.5</v>
      </c>
      <c r="Y244" s="20">
        <f t="shared" si="18"/>
        <v>2.2999999999999998</v>
      </c>
      <c r="Z244" s="20">
        <f t="shared" si="19"/>
        <v>87.608695652173921</v>
      </c>
    </row>
    <row r="245" spans="1:26" ht="14.25" customHeight="1" x14ac:dyDescent="0.3">
      <c r="B245" t="s">
        <v>473</v>
      </c>
      <c r="C245">
        <v>32</v>
      </c>
      <c r="D245">
        <v>138.19999999999999</v>
      </c>
      <c r="E245">
        <v>1.1000000000000001</v>
      </c>
      <c r="F245">
        <v>2</v>
      </c>
      <c r="G245">
        <v>25</v>
      </c>
      <c r="H245">
        <v>0</v>
      </c>
      <c r="I245">
        <v>0.2</v>
      </c>
      <c r="J245">
        <v>21.6</v>
      </c>
      <c r="K245" s="64">
        <f t="shared" si="15"/>
        <v>7.6777777777777771</v>
      </c>
      <c r="L245" s="64">
        <f t="shared" si="16"/>
        <v>1.1823899371069182</v>
      </c>
      <c r="M245" s="66"/>
      <c r="N245" s="66"/>
      <c r="O245" s="66"/>
      <c r="X245" s="20">
        <f t="shared" si="17"/>
        <v>163.19999999999999</v>
      </c>
      <c r="Y245" s="20">
        <f t="shared" si="18"/>
        <v>1.1000000000000001</v>
      </c>
      <c r="Z245" s="20">
        <f t="shared" si="19"/>
        <v>148.36363636363635</v>
      </c>
    </row>
    <row r="246" spans="1:26" ht="14.25" customHeight="1" x14ac:dyDescent="0.3">
      <c r="A246" t="s">
        <v>661</v>
      </c>
      <c r="B246" t="s">
        <v>517</v>
      </c>
      <c r="C246">
        <v>36.9</v>
      </c>
      <c r="D246">
        <v>141.1</v>
      </c>
      <c r="E246">
        <v>1.3</v>
      </c>
      <c r="F246">
        <v>6</v>
      </c>
      <c r="G246">
        <v>46.1</v>
      </c>
      <c r="H246">
        <v>0.1</v>
      </c>
      <c r="I246">
        <v>0.1</v>
      </c>
      <c r="J246">
        <v>30</v>
      </c>
      <c r="K246" s="64">
        <f t="shared" si="15"/>
        <v>7.8388888888888895</v>
      </c>
      <c r="L246" s="64">
        <f t="shared" si="16"/>
        <v>2.1803270440251574</v>
      </c>
      <c r="M246" s="66">
        <f>C248*Scoring!$B$32+D248/Scoring!$C$32+E248*Scoring!$D$32+F248*Scoring!$E$32+G248/Scoring!$F$32+H248*Scoring!$G$32+I248*Scoring!$H$32+K248*Scoring!$I$32+RB!L248*Scoring!$J$32+U246</f>
        <v>22.400000000000002</v>
      </c>
      <c r="N246" s="66">
        <f>C246*Scoring!$B$32+D246/Scoring!$C$32+E246*Scoring!$D$32+F246*Scoring!$E$32+G246/Scoring!$F$32+H246*Scoring!$G$32+I246*Scoring!$H$32+K246*Scoring!$I$32+RB!L246*Scoring!$J$32+U246</f>
        <v>29.92</v>
      </c>
      <c r="O246" s="66">
        <f>C247*Scoring!$B$32+D247/Scoring!$C$32+E247*Scoring!$D$32+F247*Scoring!$E$32+G247/Scoring!$F$32+H247*Scoring!$G$32+I247*Scoring!$H$32+K247*Scoring!$I$32+L247*Scoring!$J$32+U246</f>
        <v>37.44</v>
      </c>
      <c r="P246" s="20">
        <f>IF(COUNTIF(Rookies!$A:$A,A246)&gt;0,1,0)</f>
        <v>0</v>
      </c>
      <c r="S246" s="20">
        <f>V246/17</f>
        <v>1.76</v>
      </c>
      <c r="T246" s="20">
        <f>IF(P246=1,MAX(0,0.258*(14.9-S246)),0)</f>
        <v>0</v>
      </c>
      <c r="U246" s="20">
        <f>T246*17</f>
        <v>0</v>
      </c>
      <c r="V246" s="20">
        <f>C246*Scoring!$B$32+D246/Scoring!$C$32+E246*Scoring!$D$32+F246*Scoring!$E$32+G246/Scoring!$F$32+H246*Scoring!$G$32+I246*Scoring!$H$32+K246*Scoring!$I$32+RB!L246*Scoring!$J$32</f>
        <v>29.92</v>
      </c>
      <c r="X246" s="20">
        <f t="shared" si="17"/>
        <v>187.2</v>
      </c>
      <c r="Y246" s="20">
        <f t="shared" si="18"/>
        <v>1.4000000000000001</v>
      </c>
      <c r="Z246" s="20">
        <f t="shared" si="19"/>
        <v>133.71428571428569</v>
      </c>
    </row>
    <row r="247" spans="1:26" ht="14.25" customHeight="1" x14ac:dyDescent="0.3">
      <c r="B247" t="s">
        <v>472</v>
      </c>
      <c r="C247">
        <v>38.9</v>
      </c>
      <c r="D247">
        <v>164.2</v>
      </c>
      <c r="E247">
        <v>1.5</v>
      </c>
      <c r="F247">
        <v>8</v>
      </c>
      <c r="G247">
        <v>62.2</v>
      </c>
      <c r="H247">
        <v>0.3</v>
      </c>
      <c r="I247">
        <v>0</v>
      </c>
      <c r="J247">
        <v>36.5</v>
      </c>
      <c r="K247" s="64">
        <f t="shared" si="15"/>
        <v>9.1222222222222218</v>
      </c>
      <c r="L247" s="64">
        <f t="shared" si="16"/>
        <v>2.9417861635220124</v>
      </c>
      <c r="M247" s="66"/>
      <c r="N247" s="66"/>
      <c r="O247" s="66"/>
      <c r="X247" s="20">
        <f t="shared" si="17"/>
        <v>226.39999999999998</v>
      </c>
      <c r="Y247" s="20">
        <f t="shared" si="18"/>
        <v>1.8</v>
      </c>
      <c r="Z247" s="20">
        <f t="shared" si="19"/>
        <v>125.77777777777776</v>
      </c>
    </row>
    <row r="248" spans="1:26" ht="14.25" customHeight="1" x14ac:dyDescent="0.3">
      <c r="B248" t="s">
        <v>473</v>
      </c>
      <c r="C248">
        <v>35</v>
      </c>
      <c r="D248">
        <v>118</v>
      </c>
      <c r="E248">
        <v>1</v>
      </c>
      <c r="F248">
        <v>4</v>
      </c>
      <c r="G248">
        <v>30</v>
      </c>
      <c r="H248">
        <v>0</v>
      </c>
      <c r="I248">
        <v>0.2</v>
      </c>
      <c r="J248">
        <v>14</v>
      </c>
      <c r="K248" s="64">
        <f t="shared" si="15"/>
        <v>6.5555555555555554</v>
      </c>
      <c r="L248" s="64">
        <f t="shared" si="16"/>
        <v>1.418867924528302</v>
      </c>
      <c r="M248" s="66"/>
      <c r="N248" s="66"/>
      <c r="O248" s="66"/>
      <c r="X248" s="20">
        <f t="shared" si="17"/>
        <v>148</v>
      </c>
      <c r="Y248" s="20">
        <f t="shared" si="18"/>
        <v>1</v>
      </c>
      <c r="Z248" s="20">
        <f t="shared" si="19"/>
        <v>148</v>
      </c>
    </row>
    <row r="249" spans="1:26" ht="14.25" customHeight="1" x14ac:dyDescent="0.3">
      <c r="A249" t="s">
        <v>644</v>
      </c>
      <c r="B249" t="s">
        <v>491</v>
      </c>
      <c r="C249">
        <v>29.4</v>
      </c>
      <c r="D249">
        <v>166.2</v>
      </c>
      <c r="E249">
        <v>0.4</v>
      </c>
      <c r="F249">
        <v>4.5</v>
      </c>
      <c r="G249">
        <v>34.299999999999997</v>
      </c>
      <c r="H249">
        <v>0.1</v>
      </c>
      <c r="I249">
        <v>0.1</v>
      </c>
      <c r="J249">
        <v>24.8</v>
      </c>
      <c r="K249" s="64">
        <f t="shared" si="15"/>
        <v>9.2333333333333325</v>
      </c>
      <c r="L249" s="64">
        <f t="shared" si="16"/>
        <v>1.6222389937106916</v>
      </c>
      <c r="M249" s="66">
        <f>C251*Scoring!$B$32+D251/Scoring!$C$32+E251*Scoring!$D$32+F251*Scoring!$E$32+G251/Scoring!$F$32+H251*Scoring!$G$32+I251*Scoring!$H$32+K251*Scoring!$I$32+RB!L251*Scoring!$J$32+U249</f>
        <v>17.240000000000002</v>
      </c>
      <c r="N249" s="66">
        <f>C249*Scoring!$B$32+D249/Scoring!$C$32+E249*Scoring!$D$32+F249*Scoring!$E$32+G249/Scoring!$F$32+H249*Scoring!$G$32+I249*Scoring!$H$32+K249*Scoring!$I$32+RB!L249*Scoring!$J$32+U249</f>
        <v>25.099999999999998</v>
      </c>
      <c r="O249" s="66">
        <f>C250*Scoring!$B$32+D250/Scoring!$C$32+E250*Scoring!$D$32+F250*Scoring!$E$32+G250/Scoring!$F$32+H250*Scoring!$G$32+I250*Scoring!$H$32+K250*Scoring!$I$32+L250*Scoring!$J$32+U249</f>
        <v>32.6</v>
      </c>
      <c r="P249" s="20">
        <f>IF(COUNTIF(Rookies!$A:$A,A249)&gt;0,1,0)</f>
        <v>0</v>
      </c>
      <c r="S249" s="20">
        <f>V249/17</f>
        <v>1.476470588235294</v>
      </c>
      <c r="T249" s="20">
        <f>IF(P249=1,MAX(0,0.258*(14.9-S249)),0)</f>
        <v>0</v>
      </c>
      <c r="U249" s="20">
        <f>T249*17</f>
        <v>0</v>
      </c>
      <c r="V249" s="20">
        <f>C249*Scoring!$B$32+D249/Scoring!$C$32+E249*Scoring!$D$32+F249*Scoring!$E$32+G249/Scoring!$F$32+H249*Scoring!$G$32+I249*Scoring!$H$32+K249*Scoring!$I$32+RB!L249*Scoring!$J$32</f>
        <v>25.099999999999998</v>
      </c>
      <c r="X249" s="20">
        <f t="shared" si="17"/>
        <v>200.5</v>
      </c>
      <c r="Y249" s="20">
        <f t="shared" si="18"/>
        <v>0.5</v>
      </c>
      <c r="Z249" s="20">
        <f t="shared" si="19"/>
        <v>401</v>
      </c>
    </row>
    <row r="250" spans="1:26" ht="14.25" customHeight="1" x14ac:dyDescent="0.3">
      <c r="B250" t="s">
        <v>472</v>
      </c>
      <c r="C250">
        <v>32</v>
      </c>
      <c r="D250">
        <v>206</v>
      </c>
      <c r="E250">
        <v>0.7</v>
      </c>
      <c r="F250">
        <v>5</v>
      </c>
      <c r="G250">
        <v>41</v>
      </c>
      <c r="H250">
        <v>0.2</v>
      </c>
      <c r="I250">
        <v>0</v>
      </c>
      <c r="J250">
        <v>22.8</v>
      </c>
      <c r="K250" s="64">
        <f t="shared" si="15"/>
        <v>11.444444444444445</v>
      </c>
      <c r="L250" s="64">
        <f t="shared" si="16"/>
        <v>1.939119496855346</v>
      </c>
      <c r="M250" s="66"/>
      <c r="N250" s="66"/>
      <c r="O250" s="66"/>
      <c r="X250" s="20">
        <f t="shared" si="17"/>
        <v>247</v>
      </c>
      <c r="Y250" s="20">
        <f t="shared" si="18"/>
        <v>0.89999999999999991</v>
      </c>
      <c r="Z250" s="20">
        <f t="shared" si="19"/>
        <v>274.44444444444446</v>
      </c>
    </row>
    <row r="251" spans="1:26" ht="14.25" customHeight="1" x14ac:dyDescent="0.3">
      <c r="B251" t="s">
        <v>473</v>
      </c>
      <c r="C251">
        <v>26.7</v>
      </c>
      <c r="D251">
        <v>126.3</v>
      </c>
      <c r="E251">
        <v>0</v>
      </c>
      <c r="F251">
        <v>4.0999999999999996</v>
      </c>
      <c r="G251">
        <v>27.6</v>
      </c>
      <c r="H251">
        <v>0</v>
      </c>
      <c r="I251">
        <v>0.1</v>
      </c>
      <c r="J251">
        <v>16.3</v>
      </c>
      <c r="K251" s="64">
        <f t="shared" si="15"/>
        <v>7.0166666666666675</v>
      </c>
      <c r="L251" s="64">
        <f t="shared" si="16"/>
        <v>1.3053584905660378</v>
      </c>
      <c r="M251" s="66"/>
      <c r="N251" s="66"/>
      <c r="O251" s="66"/>
      <c r="X251" s="20">
        <f t="shared" si="17"/>
        <v>153.9</v>
      </c>
      <c r="Y251" s="20">
        <f t="shared" si="18"/>
        <v>0</v>
      </c>
      <c r="Z251" s="20" t="e">
        <f t="shared" si="19"/>
        <v>#DIV/0!</v>
      </c>
    </row>
    <row r="252" spans="1:26" ht="14.25" customHeight="1" x14ac:dyDescent="0.3">
      <c r="A252" t="s">
        <v>1514</v>
      </c>
      <c r="B252" t="s">
        <v>477</v>
      </c>
      <c r="C252">
        <v>34</v>
      </c>
      <c r="D252">
        <v>151</v>
      </c>
      <c r="E252">
        <v>1</v>
      </c>
      <c r="F252">
        <v>2</v>
      </c>
      <c r="G252">
        <v>20</v>
      </c>
      <c r="H252">
        <v>0</v>
      </c>
      <c r="I252">
        <v>0</v>
      </c>
      <c r="J252">
        <v>24.1</v>
      </c>
      <c r="K252" s="64">
        <f t="shared" si="15"/>
        <v>8.3888888888888893</v>
      </c>
      <c r="L252" s="64">
        <f t="shared" si="16"/>
        <v>0.9459119496855346</v>
      </c>
      <c r="M252" s="66">
        <f>C254*Scoring!$B$32+D254/Scoring!$C$32+E254*Scoring!$D$32+F254*Scoring!$E$32+G254/Scoring!$F$32+H254*Scoring!$G$32+I254*Scoring!$H$32+K254*Scoring!$I$32+RB!L254*Scoring!$J$32+U252</f>
        <v>24.1</v>
      </c>
      <c r="N252" s="66">
        <f>C252*Scoring!$B$32+D252/Scoring!$C$32+E252*Scoring!$D$32+F252*Scoring!$E$32+G252/Scoring!$F$32+H252*Scoring!$G$32+I252*Scoring!$H$32+K252*Scoring!$I$32+RB!L252*Scoring!$J$32+U252</f>
        <v>24.1</v>
      </c>
      <c r="O252" s="66">
        <f>C253*Scoring!$B$32+D253/Scoring!$C$32+E253*Scoring!$D$32+F253*Scoring!$E$32+G253/Scoring!$F$32+H253*Scoring!$G$32+I253*Scoring!$H$32+K253*Scoring!$I$32+L253*Scoring!$J$32+U252</f>
        <v>24.1</v>
      </c>
      <c r="P252" s="20">
        <f>IF(COUNTIF(Rookies!$A:$A,A252)&gt;0,1,0)</f>
        <v>0</v>
      </c>
      <c r="S252" s="20">
        <f>V252/17</f>
        <v>1.4176470588235295</v>
      </c>
      <c r="T252" s="20">
        <f>IF(P252=1,MAX(0,0.258*(14.9-S252)),0)</f>
        <v>0</v>
      </c>
      <c r="U252" s="20">
        <f>T252*17</f>
        <v>0</v>
      </c>
      <c r="V252" s="20">
        <f>C252*Scoring!$B$32+D252/Scoring!$C$32+E252*Scoring!$D$32+F252*Scoring!$E$32+G252/Scoring!$F$32+H252*Scoring!$G$32+I252*Scoring!$H$32+K252*Scoring!$I$32+RB!L252*Scoring!$J$32</f>
        <v>24.1</v>
      </c>
      <c r="X252" s="20">
        <f t="shared" si="17"/>
        <v>171</v>
      </c>
      <c r="Y252" s="20">
        <f t="shared" si="18"/>
        <v>1</v>
      </c>
      <c r="Z252" s="20">
        <f t="shared" si="19"/>
        <v>171</v>
      </c>
    </row>
    <row r="253" spans="1:26" ht="14.25" customHeight="1" x14ac:dyDescent="0.3">
      <c r="B253" t="s">
        <v>472</v>
      </c>
      <c r="C253">
        <v>34</v>
      </c>
      <c r="D253">
        <v>151</v>
      </c>
      <c r="E253">
        <v>1</v>
      </c>
      <c r="F253">
        <v>2</v>
      </c>
      <c r="G253">
        <v>20</v>
      </c>
      <c r="H253">
        <v>0</v>
      </c>
      <c r="I253">
        <v>0</v>
      </c>
      <c r="J253">
        <v>14</v>
      </c>
      <c r="K253" s="64">
        <f t="shared" si="15"/>
        <v>8.3888888888888893</v>
      </c>
      <c r="L253" s="64">
        <f t="shared" si="16"/>
        <v>0.9459119496855346</v>
      </c>
      <c r="M253" s="66"/>
      <c r="N253" s="66"/>
      <c r="O253" s="66"/>
      <c r="X253" s="20">
        <f t="shared" si="17"/>
        <v>171</v>
      </c>
      <c r="Y253" s="20">
        <f t="shared" si="18"/>
        <v>1</v>
      </c>
      <c r="Z253" s="20">
        <f t="shared" si="19"/>
        <v>171</v>
      </c>
    </row>
    <row r="254" spans="1:26" ht="14.25" customHeight="1" x14ac:dyDescent="0.3">
      <c r="B254" t="s">
        <v>473</v>
      </c>
      <c r="C254">
        <v>34</v>
      </c>
      <c r="D254">
        <v>151</v>
      </c>
      <c r="E254">
        <v>1</v>
      </c>
      <c r="F254">
        <v>2</v>
      </c>
      <c r="G254">
        <v>20</v>
      </c>
      <c r="H254">
        <v>0</v>
      </c>
      <c r="I254">
        <v>0</v>
      </c>
      <c r="J254">
        <v>14</v>
      </c>
      <c r="K254" s="64">
        <f t="shared" si="15"/>
        <v>8.3888888888888893</v>
      </c>
      <c r="L254" s="64">
        <f t="shared" si="16"/>
        <v>0.9459119496855346</v>
      </c>
      <c r="M254" s="66"/>
      <c r="N254" s="66"/>
      <c r="O254" s="66"/>
      <c r="X254" s="20">
        <f t="shared" si="17"/>
        <v>171</v>
      </c>
      <c r="Y254" s="20">
        <f t="shared" si="18"/>
        <v>1</v>
      </c>
      <c r="Z254" s="20">
        <f t="shared" si="19"/>
        <v>171</v>
      </c>
    </row>
    <row r="255" spans="1:26" ht="14.25" customHeight="1" x14ac:dyDescent="0.3">
      <c r="A255" t="s">
        <v>665</v>
      </c>
      <c r="B255" t="s">
        <v>513</v>
      </c>
      <c r="C255">
        <v>39.200000000000003</v>
      </c>
      <c r="D255">
        <v>137.6</v>
      </c>
      <c r="E255">
        <v>1.1000000000000001</v>
      </c>
      <c r="F255">
        <v>2.5</v>
      </c>
      <c r="G255">
        <v>15.9</v>
      </c>
      <c r="H255">
        <v>0.1</v>
      </c>
      <c r="I255">
        <v>0.1</v>
      </c>
      <c r="J255">
        <v>23.3</v>
      </c>
      <c r="K255" s="64">
        <f t="shared" si="15"/>
        <v>7.644444444444443</v>
      </c>
      <c r="L255" s="64">
        <f t="shared" si="16"/>
        <v>0.752</v>
      </c>
      <c r="M255" s="66">
        <f>C257*Scoring!$B$32+D257/Scoring!$C$32+E257*Scoring!$D$32+F257*Scoring!$E$32+G257/Scoring!$F$32+H257*Scoring!$G$32+I257*Scoring!$H$32+K257*Scoring!$I$32+RB!L257*Scoring!$J$32+U255</f>
        <v>14.5</v>
      </c>
      <c r="N255" s="66">
        <f>C255*Scoring!$B$32+D255/Scoring!$C$32+E255*Scoring!$D$32+F255*Scoring!$E$32+G255/Scoring!$F$32+H255*Scoring!$G$32+I255*Scoring!$H$32+K255*Scoring!$I$32+RB!L255*Scoring!$J$32+U255</f>
        <v>23.6</v>
      </c>
      <c r="O255" s="66">
        <f>C256*Scoring!$B$32+D256/Scoring!$C$32+E256*Scoring!$D$32+F256*Scoring!$E$32+G256/Scoring!$F$32+H256*Scoring!$G$32+I256*Scoring!$H$32+K256*Scoring!$I$32+L256*Scoring!$J$32+U255</f>
        <v>32.04</v>
      </c>
      <c r="P255" s="20">
        <f>IF(COUNTIF(Rookies!$A:$A,A255)&gt;0,1,0)</f>
        <v>0</v>
      </c>
      <c r="S255" s="20">
        <f>V255/17</f>
        <v>1.3882352941176472</v>
      </c>
      <c r="T255" s="20">
        <f>IF(P255=1,MAX(0,0.258*(14.9-S255)),0)</f>
        <v>0</v>
      </c>
      <c r="U255" s="20">
        <f>T255*17</f>
        <v>0</v>
      </c>
      <c r="V255" s="20">
        <f>C255*Scoring!$B$32+D255/Scoring!$C$32+E255*Scoring!$D$32+F255*Scoring!$E$32+G255/Scoring!$F$32+H255*Scoring!$G$32+I255*Scoring!$H$32+K255*Scoring!$I$32+RB!L255*Scoring!$J$32</f>
        <v>23.6</v>
      </c>
      <c r="X255" s="20">
        <f t="shared" si="17"/>
        <v>153.5</v>
      </c>
      <c r="Y255" s="20">
        <f t="shared" si="18"/>
        <v>1.2000000000000002</v>
      </c>
      <c r="Z255" s="20">
        <f t="shared" si="19"/>
        <v>127.91666666666664</v>
      </c>
    </row>
    <row r="256" spans="1:26" ht="14.25" customHeight="1" x14ac:dyDescent="0.3">
      <c r="B256" t="s">
        <v>472</v>
      </c>
      <c r="C256">
        <v>47.3</v>
      </c>
      <c r="D256">
        <v>195.1</v>
      </c>
      <c r="E256">
        <v>1.2</v>
      </c>
      <c r="F256">
        <v>3.9</v>
      </c>
      <c r="G256">
        <v>27.8</v>
      </c>
      <c r="H256">
        <v>0.1</v>
      </c>
      <c r="I256">
        <v>0</v>
      </c>
      <c r="J256">
        <v>31.1</v>
      </c>
      <c r="K256" s="64">
        <f t="shared" si="15"/>
        <v>10.838888888888889</v>
      </c>
      <c r="L256" s="64">
        <f t="shared" si="16"/>
        <v>1.314817610062893</v>
      </c>
      <c r="M256" s="66"/>
      <c r="N256" s="66"/>
      <c r="O256" s="66"/>
      <c r="X256" s="20">
        <f t="shared" si="17"/>
        <v>222.9</v>
      </c>
      <c r="Y256" s="20">
        <f t="shared" si="18"/>
        <v>1.3</v>
      </c>
      <c r="Z256" s="20">
        <f t="shared" si="19"/>
        <v>171.46153846153845</v>
      </c>
    </row>
    <row r="257" spans="1:26" ht="14.25" customHeight="1" x14ac:dyDescent="0.3">
      <c r="B257" t="s">
        <v>473</v>
      </c>
      <c r="C257">
        <v>31</v>
      </c>
      <c r="D257">
        <v>80</v>
      </c>
      <c r="E257">
        <v>1</v>
      </c>
      <c r="F257">
        <v>1</v>
      </c>
      <c r="G257">
        <v>4</v>
      </c>
      <c r="H257">
        <v>0</v>
      </c>
      <c r="I257">
        <v>0.2</v>
      </c>
      <c r="J257">
        <v>10.199999999999999</v>
      </c>
      <c r="K257" s="64">
        <f t="shared" si="15"/>
        <v>4.4444444444444446</v>
      </c>
      <c r="L257" s="64">
        <f t="shared" si="16"/>
        <v>0.18918238993710693</v>
      </c>
      <c r="M257" s="66"/>
      <c r="N257" s="66"/>
      <c r="O257" s="66"/>
      <c r="X257" s="20">
        <f t="shared" si="17"/>
        <v>84</v>
      </c>
      <c r="Y257" s="20">
        <f t="shared" si="18"/>
        <v>1</v>
      </c>
      <c r="Z257" s="20">
        <f t="shared" si="19"/>
        <v>84</v>
      </c>
    </row>
    <row r="258" spans="1:26" ht="14.25" customHeight="1" x14ac:dyDescent="0.3">
      <c r="A258" t="s">
        <v>680</v>
      </c>
      <c r="B258" t="s">
        <v>505</v>
      </c>
      <c r="C258">
        <v>29.4</v>
      </c>
      <c r="D258">
        <v>119.9</v>
      </c>
      <c r="E258">
        <v>1.3</v>
      </c>
      <c r="F258">
        <v>2.5</v>
      </c>
      <c r="G258">
        <v>16.8</v>
      </c>
      <c r="H258">
        <v>0</v>
      </c>
      <c r="I258">
        <v>0</v>
      </c>
      <c r="J258">
        <v>22.6</v>
      </c>
      <c r="K258" s="64">
        <f t="shared" si="15"/>
        <v>6.6611111111111105</v>
      </c>
      <c r="L258" s="64">
        <f t="shared" si="16"/>
        <v>0.794566037735849</v>
      </c>
      <c r="M258" s="66">
        <f>C260*Scoring!$B$32+D260/Scoring!$C$32+E260*Scoring!$D$32+F260*Scoring!$E$32+G260/Scoring!$F$32+H260*Scoring!$G$32+I260*Scoring!$H$32+K260*Scoring!$I$32+RB!L260*Scoring!$J$32+U258</f>
        <v>14.98</v>
      </c>
      <c r="N258" s="66">
        <f>C258*Scoring!$B$32+D258/Scoring!$C$32+E258*Scoring!$D$32+F258*Scoring!$E$32+G258/Scoring!$F$32+H258*Scoring!$G$32+I258*Scoring!$H$32+K258*Scoring!$I$32+RB!L258*Scoring!$J$32+U258</f>
        <v>22.72</v>
      </c>
      <c r="O258" s="66">
        <f>C259*Scoring!$B$32+D259/Scoring!$C$32+E259*Scoring!$D$32+F259*Scoring!$E$32+G259/Scoring!$F$32+H259*Scoring!$G$32+I259*Scoring!$H$32+K259*Scoring!$I$32+L259*Scoring!$J$32+U258</f>
        <v>30.25</v>
      </c>
      <c r="P258" s="20">
        <f>IF(COUNTIF(Rookies!$A:$A,A258)&gt;0,1,0)</f>
        <v>0</v>
      </c>
      <c r="S258" s="20">
        <f>V258/17</f>
        <v>1.3364705882352941</v>
      </c>
      <c r="T258" s="20">
        <f>IF(P258=1,MAX(0,0.258*(14.9-S258)),0)</f>
        <v>0</v>
      </c>
      <c r="U258" s="20">
        <f>T258*17</f>
        <v>0</v>
      </c>
      <c r="V258" s="20">
        <f>C258*Scoring!$B$32+D258/Scoring!$C$32+E258*Scoring!$D$32+F258*Scoring!$E$32+G258/Scoring!$F$32+H258*Scoring!$G$32+I258*Scoring!$H$32+K258*Scoring!$I$32+RB!L258*Scoring!$J$32</f>
        <v>22.72</v>
      </c>
      <c r="X258" s="20">
        <f t="shared" si="17"/>
        <v>136.70000000000002</v>
      </c>
      <c r="Y258" s="20">
        <f t="shared" si="18"/>
        <v>1.3</v>
      </c>
      <c r="Z258" s="20">
        <f t="shared" si="19"/>
        <v>105.15384615384616</v>
      </c>
    </row>
    <row r="259" spans="1:26" ht="14.25" customHeight="1" x14ac:dyDescent="0.3">
      <c r="B259" t="s">
        <v>472</v>
      </c>
      <c r="C259">
        <v>35</v>
      </c>
      <c r="D259">
        <v>140</v>
      </c>
      <c r="E259">
        <v>2</v>
      </c>
      <c r="F259">
        <v>3</v>
      </c>
      <c r="G259">
        <v>21.5</v>
      </c>
      <c r="H259">
        <v>0.1</v>
      </c>
      <c r="I259">
        <v>0</v>
      </c>
      <c r="J259">
        <v>19.3</v>
      </c>
      <c r="K259" s="64">
        <f t="shared" ref="K259:K322" si="20">IFERROR((D259/C259)/4.5*0.25*C259,0)</f>
        <v>7.7777777777777777</v>
      </c>
      <c r="L259" s="64">
        <f t="shared" ref="L259:L322" si="21">IFERROR((G259/F259)/7.95*0.376*F259,0)</f>
        <v>1.0168553459119498</v>
      </c>
      <c r="M259" s="66"/>
      <c r="N259" s="66"/>
      <c r="O259" s="66"/>
      <c r="X259" s="20">
        <f t="shared" si="17"/>
        <v>161.5</v>
      </c>
      <c r="Y259" s="20">
        <f t="shared" si="18"/>
        <v>2.1</v>
      </c>
      <c r="Z259" s="20">
        <f t="shared" si="19"/>
        <v>76.904761904761898</v>
      </c>
    </row>
    <row r="260" spans="1:26" ht="14.25" customHeight="1" x14ac:dyDescent="0.3">
      <c r="B260" t="s">
        <v>473</v>
      </c>
      <c r="C260">
        <v>23.8</v>
      </c>
      <c r="D260">
        <v>99.8</v>
      </c>
      <c r="E260">
        <v>0.5</v>
      </c>
      <c r="F260">
        <v>2</v>
      </c>
      <c r="G260">
        <v>12</v>
      </c>
      <c r="H260">
        <v>0</v>
      </c>
      <c r="I260">
        <v>0.1</v>
      </c>
      <c r="J260">
        <v>16.899999999999999</v>
      </c>
      <c r="K260" s="64">
        <f t="shared" si="20"/>
        <v>5.5444444444444434</v>
      </c>
      <c r="L260" s="64">
        <f t="shared" si="21"/>
        <v>0.5675471698113207</v>
      </c>
      <c r="M260" s="66"/>
      <c r="N260" s="66"/>
      <c r="O260" s="66"/>
      <c r="X260" s="20">
        <f t="shared" ref="X260:X323" si="22">D260+G260</f>
        <v>111.8</v>
      </c>
      <c r="Y260" s="20">
        <f t="shared" ref="Y260:Y323" si="23">H260+E260</f>
        <v>0.5</v>
      </c>
      <c r="Z260" s="20">
        <f t="shared" ref="Z260:Z323" si="24">X260/Y260</f>
        <v>223.6</v>
      </c>
    </row>
    <row r="261" spans="1:26" ht="14.25" customHeight="1" x14ac:dyDescent="0.3">
      <c r="A261" t="s">
        <v>676</v>
      </c>
      <c r="B261" t="s">
        <v>505</v>
      </c>
      <c r="C261">
        <v>30</v>
      </c>
      <c r="D261">
        <v>122</v>
      </c>
      <c r="E261">
        <v>1</v>
      </c>
      <c r="F261">
        <v>3</v>
      </c>
      <c r="G261">
        <v>24</v>
      </c>
      <c r="H261">
        <v>0</v>
      </c>
      <c r="I261">
        <v>0</v>
      </c>
      <c r="J261">
        <v>22.1</v>
      </c>
      <c r="K261" s="64">
        <f t="shared" si="20"/>
        <v>6.7777777777777777</v>
      </c>
      <c r="L261" s="64">
        <f t="shared" si="21"/>
        <v>1.1350943396226416</v>
      </c>
      <c r="M261" s="66">
        <f>C263*Scoring!$B$32+D263/Scoring!$C$32+E263*Scoring!$D$32+F263*Scoring!$E$32+G263/Scoring!$F$32+H263*Scoring!$G$32+I263*Scoring!$H$32+K263*Scoring!$I$32+RB!L263*Scoring!$J$32+U261</f>
        <v>22.099999999999998</v>
      </c>
      <c r="N261" s="66">
        <f>C261*Scoring!$B$32+D261/Scoring!$C$32+E261*Scoring!$D$32+F261*Scoring!$E$32+G261/Scoring!$F$32+H261*Scoring!$G$32+I261*Scoring!$H$32+K261*Scoring!$I$32+RB!L261*Scoring!$J$32+U261</f>
        <v>22.099999999999998</v>
      </c>
      <c r="O261" s="66">
        <f>C262*Scoring!$B$32+D262/Scoring!$C$32+E262*Scoring!$D$32+F262*Scoring!$E$32+G262/Scoring!$F$32+H262*Scoring!$G$32+I262*Scoring!$H$32+K262*Scoring!$I$32+L262*Scoring!$J$32+U261</f>
        <v>22.099999999999998</v>
      </c>
      <c r="P261" s="20">
        <f>IF(COUNTIF(Rookies!$A:$A,A261)&gt;0,1,0)</f>
        <v>0</v>
      </c>
      <c r="S261" s="20">
        <f>V261/17</f>
        <v>1.2999999999999998</v>
      </c>
      <c r="T261" s="20">
        <f>IF(P261=1,MAX(0,0.258*(14.9-S261)),0)</f>
        <v>0</v>
      </c>
      <c r="U261" s="20">
        <f>T261*17</f>
        <v>0</v>
      </c>
      <c r="V261" s="20">
        <f>C261*Scoring!$B$32+D261/Scoring!$C$32+E261*Scoring!$D$32+F261*Scoring!$E$32+G261/Scoring!$F$32+H261*Scoring!$G$32+I261*Scoring!$H$32+K261*Scoring!$I$32+RB!L261*Scoring!$J$32</f>
        <v>22.099999999999998</v>
      </c>
      <c r="X261" s="20">
        <f t="shared" si="22"/>
        <v>146</v>
      </c>
      <c r="Y261" s="20">
        <f t="shared" si="23"/>
        <v>1</v>
      </c>
      <c r="Z261" s="20">
        <f t="shared" si="24"/>
        <v>146</v>
      </c>
    </row>
    <row r="262" spans="1:26" ht="14.25" customHeight="1" x14ac:dyDescent="0.3">
      <c r="B262" t="s">
        <v>472</v>
      </c>
      <c r="C262">
        <v>30</v>
      </c>
      <c r="D262">
        <v>122</v>
      </c>
      <c r="E262">
        <v>1</v>
      </c>
      <c r="F262">
        <v>3</v>
      </c>
      <c r="G262">
        <v>24</v>
      </c>
      <c r="H262">
        <v>0</v>
      </c>
      <c r="I262">
        <v>0</v>
      </c>
      <c r="J262">
        <v>13.5</v>
      </c>
      <c r="K262" s="64">
        <f t="shared" si="20"/>
        <v>6.7777777777777777</v>
      </c>
      <c r="L262" s="64">
        <f t="shared" si="21"/>
        <v>1.1350943396226416</v>
      </c>
      <c r="M262" s="66"/>
      <c r="N262" s="66"/>
      <c r="O262" s="66"/>
      <c r="X262" s="20">
        <f t="shared" si="22"/>
        <v>146</v>
      </c>
      <c r="Y262" s="20">
        <f t="shared" si="23"/>
        <v>1</v>
      </c>
      <c r="Z262" s="20">
        <f t="shared" si="24"/>
        <v>146</v>
      </c>
    </row>
    <row r="263" spans="1:26" ht="14.25" customHeight="1" x14ac:dyDescent="0.3">
      <c r="B263" t="s">
        <v>473</v>
      </c>
      <c r="C263">
        <v>30</v>
      </c>
      <c r="D263">
        <v>122</v>
      </c>
      <c r="E263">
        <v>1</v>
      </c>
      <c r="F263">
        <v>3</v>
      </c>
      <c r="G263">
        <v>24</v>
      </c>
      <c r="H263">
        <v>0</v>
      </c>
      <c r="I263">
        <v>0</v>
      </c>
      <c r="J263">
        <v>13.5</v>
      </c>
      <c r="K263" s="64">
        <f t="shared" si="20"/>
        <v>6.7777777777777777</v>
      </c>
      <c r="L263" s="64">
        <f t="shared" si="21"/>
        <v>1.1350943396226416</v>
      </c>
      <c r="M263" s="66"/>
      <c r="N263" s="66"/>
      <c r="O263" s="66"/>
      <c r="X263" s="20">
        <f t="shared" si="22"/>
        <v>146</v>
      </c>
      <c r="Y263" s="20">
        <f t="shared" si="23"/>
        <v>1</v>
      </c>
      <c r="Z263" s="20">
        <f t="shared" si="24"/>
        <v>146</v>
      </c>
    </row>
    <row r="264" spans="1:26" ht="14.25" customHeight="1" x14ac:dyDescent="0.3">
      <c r="A264" t="s">
        <v>677</v>
      </c>
      <c r="B264" t="s">
        <v>481</v>
      </c>
      <c r="C264">
        <v>9.1999999999999993</v>
      </c>
      <c r="D264">
        <v>39.5</v>
      </c>
      <c r="E264">
        <v>0.3</v>
      </c>
      <c r="F264">
        <v>11.3</v>
      </c>
      <c r="G264">
        <v>83.4</v>
      </c>
      <c r="H264">
        <v>0.4</v>
      </c>
      <c r="I264">
        <v>0.1</v>
      </c>
      <c r="J264">
        <v>21.9</v>
      </c>
      <c r="K264" s="64">
        <f t="shared" si="20"/>
        <v>2.1944444444444442</v>
      </c>
      <c r="L264" s="64">
        <f t="shared" si="21"/>
        <v>3.9444528301886796</v>
      </c>
      <c r="M264" s="66">
        <f>C266*Scoring!$B$32+D266/Scoring!$C$32+E266*Scoring!$D$32+F266*Scoring!$E$32+G266/Scoring!$F$32+H266*Scoring!$G$32+I266*Scoring!$H$32+K266*Scoring!$I$32+RB!L266*Scoring!$J$32+U264</f>
        <v>21.94</v>
      </c>
      <c r="N264" s="66">
        <f>C264*Scoring!$B$32+D264/Scoring!$C$32+E264*Scoring!$D$32+F264*Scoring!$E$32+G264/Scoring!$F$32+H264*Scoring!$G$32+I264*Scoring!$H$32+K264*Scoring!$I$32+RB!L264*Scoring!$J$32+U264</f>
        <v>21.94</v>
      </c>
      <c r="O264" s="66">
        <f>C265*Scoring!$B$32+D265/Scoring!$C$32+E265*Scoring!$D$32+F265*Scoring!$E$32+G265/Scoring!$F$32+H265*Scoring!$G$32+I265*Scoring!$H$32+K265*Scoring!$I$32+L265*Scoring!$J$32+U264</f>
        <v>21.94</v>
      </c>
      <c r="P264" s="20">
        <f>IF(COUNTIF(Rookies!$A:$A,A264)&gt;0,1,0)</f>
        <v>0</v>
      </c>
      <c r="S264" s="20">
        <f>V264/17</f>
        <v>1.2905882352941178</v>
      </c>
      <c r="T264" s="20">
        <f>IF(P264=1,MAX(0,0.258*(14.9-S264)),0)</f>
        <v>0</v>
      </c>
      <c r="U264" s="20">
        <f>T264*17</f>
        <v>0</v>
      </c>
      <c r="V264" s="20">
        <f>C264*Scoring!$B$32+D264/Scoring!$C$32+E264*Scoring!$D$32+F264*Scoring!$E$32+G264/Scoring!$F$32+H264*Scoring!$G$32+I264*Scoring!$H$32+K264*Scoring!$I$32+RB!L264*Scoring!$J$32</f>
        <v>21.94</v>
      </c>
      <c r="X264" s="20">
        <f t="shared" si="22"/>
        <v>122.9</v>
      </c>
      <c r="Y264" s="20">
        <f t="shared" si="23"/>
        <v>0.7</v>
      </c>
      <c r="Z264" s="20">
        <f t="shared" si="24"/>
        <v>175.57142857142858</v>
      </c>
    </row>
    <row r="265" spans="1:26" ht="14.25" customHeight="1" x14ac:dyDescent="0.3">
      <c r="B265" t="s">
        <v>472</v>
      </c>
      <c r="C265">
        <v>9.1999999999999993</v>
      </c>
      <c r="D265">
        <v>39.5</v>
      </c>
      <c r="E265">
        <v>0.3</v>
      </c>
      <c r="F265">
        <v>11.3</v>
      </c>
      <c r="G265">
        <v>83.4</v>
      </c>
      <c r="H265">
        <v>0.4</v>
      </c>
      <c r="I265">
        <v>0.1</v>
      </c>
      <c r="J265">
        <v>22.5</v>
      </c>
      <c r="K265" s="64">
        <f t="shared" si="20"/>
        <v>2.1944444444444442</v>
      </c>
      <c r="L265" s="64">
        <f t="shared" si="21"/>
        <v>3.9444528301886796</v>
      </c>
      <c r="M265" s="66"/>
      <c r="N265" s="66"/>
      <c r="O265" s="66"/>
      <c r="X265" s="20">
        <f t="shared" si="22"/>
        <v>122.9</v>
      </c>
      <c r="Y265" s="20">
        <f t="shared" si="23"/>
        <v>0.7</v>
      </c>
      <c r="Z265" s="20">
        <f t="shared" si="24"/>
        <v>175.57142857142858</v>
      </c>
    </row>
    <row r="266" spans="1:26" ht="14.25" customHeight="1" x14ac:dyDescent="0.3">
      <c r="B266" t="s">
        <v>473</v>
      </c>
      <c r="C266">
        <v>9.1999999999999993</v>
      </c>
      <c r="D266">
        <v>39.5</v>
      </c>
      <c r="E266">
        <v>0.3</v>
      </c>
      <c r="F266">
        <v>11.3</v>
      </c>
      <c r="G266">
        <v>83.4</v>
      </c>
      <c r="H266">
        <v>0.4</v>
      </c>
      <c r="I266">
        <v>0.1</v>
      </c>
      <c r="J266">
        <v>22.5</v>
      </c>
      <c r="K266" s="64">
        <f t="shared" si="20"/>
        <v>2.1944444444444442</v>
      </c>
      <c r="L266" s="64">
        <f t="shared" si="21"/>
        <v>3.9444528301886796</v>
      </c>
      <c r="M266" s="66"/>
      <c r="N266" s="66"/>
      <c r="O266" s="66"/>
      <c r="X266" s="20">
        <f t="shared" si="22"/>
        <v>122.9</v>
      </c>
      <c r="Y266" s="20">
        <f t="shared" si="23"/>
        <v>0.7</v>
      </c>
      <c r="Z266" s="20">
        <f t="shared" si="24"/>
        <v>175.57142857142858</v>
      </c>
    </row>
    <row r="267" spans="1:26" ht="14.25" customHeight="1" x14ac:dyDescent="0.3">
      <c r="A267" t="s">
        <v>1155</v>
      </c>
      <c r="B267" t="s">
        <v>529</v>
      </c>
      <c r="C267">
        <v>29</v>
      </c>
      <c r="D267">
        <v>117</v>
      </c>
      <c r="E267">
        <v>1</v>
      </c>
      <c r="F267">
        <v>2</v>
      </c>
      <c r="G267">
        <v>21</v>
      </c>
      <c r="H267">
        <v>0</v>
      </c>
      <c r="I267">
        <v>0</v>
      </c>
      <c r="J267">
        <v>20.8</v>
      </c>
      <c r="K267" s="64">
        <f t="shared" si="20"/>
        <v>6.5</v>
      </c>
      <c r="L267" s="64">
        <f t="shared" si="21"/>
        <v>0.9932075471698113</v>
      </c>
      <c r="M267" s="66">
        <f>C269*Scoring!$B$32+D269/Scoring!$C$32+E269*Scoring!$D$32+F269*Scoring!$E$32+G269/Scoring!$F$32+H269*Scoring!$G$32+I269*Scoring!$H$32+K269*Scoring!$I$32+RB!L269*Scoring!$J$32+U267</f>
        <v>80.784999999999997</v>
      </c>
      <c r="N267" s="66">
        <f>C267*Scoring!$B$32+D267/Scoring!$C$32+E267*Scoring!$D$32+F267*Scoring!$E$32+G267/Scoring!$F$32+H267*Scoring!$G$32+I267*Scoring!$H$32+K267*Scoring!$I$32+RB!L267*Scoring!$J$32+U267</f>
        <v>80.784999999999997</v>
      </c>
      <c r="O267" s="66">
        <f>C268*Scoring!$B$32+D268/Scoring!$C$32+E268*Scoring!$D$32+F268*Scoring!$E$32+G268/Scoring!$F$32+H268*Scoring!$G$32+I268*Scoring!$H$32+K268*Scoring!$I$32+L268*Scoring!$J$32+U267</f>
        <v>80.784999999999997</v>
      </c>
      <c r="P267" s="20">
        <f>IF(COUNTIF(Rookies!$A:$A,A267)&gt;0,1,0)</f>
        <v>1</v>
      </c>
      <c r="S267" s="20">
        <f>V267/17</f>
        <v>1.223529411764706</v>
      </c>
      <c r="T267" s="20">
        <f>IF(P267=1,MAX(0,0.258*(14.9-S267)),0)</f>
        <v>3.5285294117647057</v>
      </c>
      <c r="U267" s="20">
        <f>T267*17</f>
        <v>59.984999999999999</v>
      </c>
      <c r="V267" s="20">
        <f>C267*Scoring!$B$32+D267/Scoring!$C$32+E267*Scoring!$D$32+F267*Scoring!$E$32+G267/Scoring!$F$32+H267*Scoring!$G$32+I267*Scoring!$H$32+K267*Scoring!$I$32+RB!L267*Scoring!$J$32</f>
        <v>20.8</v>
      </c>
      <c r="X267" s="20">
        <f t="shared" si="22"/>
        <v>138</v>
      </c>
      <c r="Y267" s="20">
        <f t="shared" si="23"/>
        <v>1</v>
      </c>
      <c r="Z267" s="20">
        <f t="shared" si="24"/>
        <v>138</v>
      </c>
    </row>
    <row r="268" spans="1:26" ht="14.25" customHeight="1" x14ac:dyDescent="0.3">
      <c r="B268" t="s">
        <v>472</v>
      </c>
      <c r="C268">
        <v>29</v>
      </c>
      <c r="D268">
        <v>117</v>
      </c>
      <c r="E268">
        <v>1</v>
      </c>
      <c r="F268">
        <v>2</v>
      </c>
      <c r="G268">
        <v>21</v>
      </c>
      <c r="H268">
        <v>0</v>
      </c>
      <c r="I268">
        <v>0</v>
      </c>
      <c r="J268">
        <v>12</v>
      </c>
      <c r="K268" s="64">
        <f t="shared" si="20"/>
        <v>6.5</v>
      </c>
      <c r="L268" s="64">
        <f t="shared" si="21"/>
        <v>0.9932075471698113</v>
      </c>
      <c r="M268" s="66"/>
      <c r="N268" s="66"/>
      <c r="O268" s="66"/>
      <c r="X268" s="20">
        <f t="shared" si="22"/>
        <v>138</v>
      </c>
      <c r="Y268" s="20">
        <f t="shared" si="23"/>
        <v>1</v>
      </c>
      <c r="Z268" s="20">
        <f t="shared" si="24"/>
        <v>138</v>
      </c>
    </row>
    <row r="269" spans="1:26" ht="14.25" customHeight="1" x14ac:dyDescent="0.3">
      <c r="B269" t="s">
        <v>473</v>
      </c>
      <c r="C269">
        <v>29</v>
      </c>
      <c r="D269">
        <v>117</v>
      </c>
      <c r="E269">
        <v>1</v>
      </c>
      <c r="F269">
        <v>2</v>
      </c>
      <c r="G269">
        <v>21</v>
      </c>
      <c r="H269">
        <v>0</v>
      </c>
      <c r="I269">
        <v>0</v>
      </c>
      <c r="J269">
        <v>12</v>
      </c>
      <c r="K269" s="64">
        <f t="shared" si="20"/>
        <v>6.5</v>
      </c>
      <c r="L269" s="64">
        <f t="shared" si="21"/>
        <v>0.9932075471698113</v>
      </c>
      <c r="M269" s="66"/>
      <c r="N269" s="66"/>
      <c r="O269" s="66"/>
      <c r="X269" s="20">
        <f t="shared" si="22"/>
        <v>138</v>
      </c>
      <c r="Y269" s="20">
        <f t="shared" si="23"/>
        <v>1</v>
      </c>
      <c r="Z269" s="20">
        <f t="shared" si="24"/>
        <v>138</v>
      </c>
    </row>
    <row r="270" spans="1:26" ht="14.25" customHeight="1" x14ac:dyDescent="0.3">
      <c r="A270" t="s">
        <v>681</v>
      </c>
      <c r="B270" t="s">
        <v>491</v>
      </c>
      <c r="C270">
        <v>13.4</v>
      </c>
      <c r="D270">
        <v>56.4</v>
      </c>
      <c r="E270">
        <v>0.4</v>
      </c>
      <c r="F270">
        <v>8.6</v>
      </c>
      <c r="G270">
        <v>61.6</v>
      </c>
      <c r="H270">
        <v>0.4</v>
      </c>
      <c r="I270">
        <v>0.1</v>
      </c>
      <c r="J270">
        <v>20.7</v>
      </c>
      <c r="K270" s="64">
        <f t="shared" si="20"/>
        <v>3.1333333333333337</v>
      </c>
      <c r="L270" s="64">
        <f t="shared" si="21"/>
        <v>2.9134088050314464</v>
      </c>
      <c r="M270" s="66">
        <f>C272*Scoring!$B$32+D272/Scoring!$C$32+E272*Scoring!$D$32+F272*Scoring!$E$32+G272/Scoring!$F$32+H272*Scoring!$G$32+I272*Scoring!$H$32+K272*Scoring!$I$32+RB!L272*Scoring!$J$32+U270</f>
        <v>20.7</v>
      </c>
      <c r="N270" s="66">
        <f>C270*Scoring!$B$32+D270/Scoring!$C$32+E270*Scoring!$D$32+F270*Scoring!$E$32+G270/Scoring!$F$32+H270*Scoring!$G$32+I270*Scoring!$H$32+K270*Scoring!$I$32+RB!L270*Scoring!$J$32+U270</f>
        <v>20.7</v>
      </c>
      <c r="O270" s="66">
        <f>C271*Scoring!$B$32+D271/Scoring!$C$32+E271*Scoring!$D$32+F271*Scoring!$E$32+G271/Scoring!$F$32+H271*Scoring!$G$32+I271*Scoring!$H$32+K271*Scoring!$I$32+L271*Scoring!$J$32+U270</f>
        <v>20.7</v>
      </c>
      <c r="P270" s="20">
        <f>IF(COUNTIF(Rookies!$A:$A,A270)&gt;0,1,0)</f>
        <v>0</v>
      </c>
      <c r="S270" s="20">
        <f>V270/17</f>
        <v>1.2176470588235293</v>
      </c>
      <c r="T270" s="20">
        <f>IF(P270=1,MAX(0,0.258*(14.9-S270)),0)</f>
        <v>0</v>
      </c>
      <c r="U270" s="20">
        <f>T270*17</f>
        <v>0</v>
      </c>
      <c r="V270" s="20">
        <f>C270*Scoring!$B$32+D270/Scoring!$C$32+E270*Scoring!$D$32+F270*Scoring!$E$32+G270/Scoring!$F$32+H270*Scoring!$G$32+I270*Scoring!$H$32+K270*Scoring!$I$32+RB!L270*Scoring!$J$32</f>
        <v>20.7</v>
      </c>
      <c r="X270" s="20">
        <f t="shared" si="22"/>
        <v>118</v>
      </c>
      <c r="Y270" s="20">
        <f t="shared" si="23"/>
        <v>0.8</v>
      </c>
      <c r="Z270" s="20">
        <f t="shared" si="24"/>
        <v>147.5</v>
      </c>
    </row>
    <row r="271" spans="1:26" ht="14.25" customHeight="1" x14ac:dyDescent="0.3">
      <c r="B271" t="s">
        <v>472</v>
      </c>
      <c r="C271">
        <v>13.4</v>
      </c>
      <c r="D271">
        <v>56.4</v>
      </c>
      <c r="E271">
        <v>0.4</v>
      </c>
      <c r="F271">
        <v>8.6</v>
      </c>
      <c r="G271">
        <v>61.6</v>
      </c>
      <c r="H271">
        <v>0.4</v>
      </c>
      <c r="I271">
        <v>0.1</v>
      </c>
      <c r="J271">
        <v>20.8</v>
      </c>
      <c r="K271" s="64">
        <f t="shared" si="20"/>
        <v>3.1333333333333337</v>
      </c>
      <c r="L271" s="64">
        <f t="shared" si="21"/>
        <v>2.9134088050314464</v>
      </c>
      <c r="M271" s="66"/>
      <c r="N271" s="66"/>
      <c r="O271" s="66"/>
      <c r="X271" s="20">
        <f t="shared" si="22"/>
        <v>118</v>
      </c>
      <c r="Y271" s="20">
        <f t="shared" si="23"/>
        <v>0.8</v>
      </c>
      <c r="Z271" s="20">
        <f t="shared" si="24"/>
        <v>147.5</v>
      </c>
    </row>
    <row r="272" spans="1:26" ht="14.25" customHeight="1" x14ac:dyDescent="0.3">
      <c r="B272" t="s">
        <v>473</v>
      </c>
      <c r="C272">
        <v>13.4</v>
      </c>
      <c r="D272">
        <v>56.4</v>
      </c>
      <c r="E272">
        <v>0.4</v>
      </c>
      <c r="F272">
        <v>8.6</v>
      </c>
      <c r="G272">
        <v>61.6</v>
      </c>
      <c r="H272">
        <v>0.4</v>
      </c>
      <c r="I272">
        <v>0.1</v>
      </c>
      <c r="J272">
        <v>20.8</v>
      </c>
      <c r="K272" s="64">
        <f t="shared" si="20"/>
        <v>3.1333333333333337</v>
      </c>
      <c r="L272" s="64">
        <f t="shared" si="21"/>
        <v>2.9134088050314464</v>
      </c>
      <c r="M272" s="66"/>
      <c r="N272" s="66"/>
      <c r="O272" s="66"/>
      <c r="X272" s="20">
        <f t="shared" si="22"/>
        <v>118</v>
      </c>
      <c r="Y272" s="20">
        <f t="shared" si="23"/>
        <v>0.8</v>
      </c>
      <c r="Z272" s="20">
        <f t="shared" si="24"/>
        <v>147.5</v>
      </c>
    </row>
    <row r="273" spans="1:26" ht="14.25" customHeight="1" x14ac:dyDescent="0.3">
      <c r="A273" t="s">
        <v>682</v>
      </c>
      <c r="B273" t="s">
        <v>479</v>
      </c>
      <c r="C273">
        <v>23.6</v>
      </c>
      <c r="D273">
        <v>110.8</v>
      </c>
      <c r="E273">
        <v>0.7</v>
      </c>
      <c r="F273">
        <v>3</v>
      </c>
      <c r="G273">
        <v>25.6</v>
      </c>
      <c r="H273">
        <v>0.1</v>
      </c>
      <c r="I273">
        <v>0</v>
      </c>
      <c r="J273">
        <v>19.899999999999999</v>
      </c>
      <c r="K273" s="64">
        <f t="shared" si="20"/>
        <v>6.1555555555555559</v>
      </c>
      <c r="L273" s="64">
        <f t="shared" si="21"/>
        <v>1.2107672955974844</v>
      </c>
      <c r="M273" s="66">
        <f>C275*Scoring!$B$32+D275/Scoring!$C$32+E275*Scoring!$D$32+F275*Scoring!$E$32+G275/Scoring!$F$32+H275*Scoring!$G$32+I275*Scoring!$H$32+K275*Scoring!$I$32+RB!L275*Scoring!$J$32+U273</f>
        <v>70.676879999999997</v>
      </c>
      <c r="N273" s="66">
        <f>C273*Scoring!$B$32+D273/Scoring!$C$32+E273*Scoring!$D$32+F273*Scoring!$E$32+G273/Scoring!$F$32+H273*Scoring!$G$32+I273*Scoring!$H$32+K273*Scoring!$I$32+RB!L273*Scoring!$J$32+U273</f>
        <v>80.146879999999996</v>
      </c>
      <c r="O273" s="66">
        <f>C274*Scoring!$B$32+D274/Scoring!$C$32+E274*Scoring!$D$32+F274*Scoring!$E$32+G274/Scoring!$F$32+H274*Scoring!$G$32+I274*Scoring!$H$32+K274*Scoring!$I$32+L274*Scoring!$J$32+U273</f>
        <v>89.486879999999999</v>
      </c>
      <c r="P273" s="20">
        <f>IF(COUNTIF(Rookies!$A:$A,A273)&gt;0,1,0)</f>
        <v>1</v>
      </c>
      <c r="S273" s="20">
        <f>V273/17</f>
        <v>1.1729411764705884</v>
      </c>
      <c r="T273" s="20">
        <f>IF(P273=1,MAX(0,0.258*(14.9-S273)),0)</f>
        <v>3.5415811764705882</v>
      </c>
      <c r="U273" s="20">
        <f>T273*17</f>
        <v>60.206879999999998</v>
      </c>
      <c r="V273" s="20">
        <f>C273*Scoring!$B$32+D273/Scoring!$C$32+E273*Scoring!$D$32+F273*Scoring!$E$32+G273/Scoring!$F$32+H273*Scoring!$G$32+I273*Scoring!$H$32+K273*Scoring!$I$32+RB!L273*Scoring!$J$32</f>
        <v>19.940000000000001</v>
      </c>
      <c r="X273" s="20">
        <f t="shared" si="22"/>
        <v>136.4</v>
      </c>
      <c r="Y273" s="20">
        <f t="shared" si="23"/>
        <v>0.79999999999999993</v>
      </c>
      <c r="Z273" s="20">
        <f t="shared" si="24"/>
        <v>170.50000000000003</v>
      </c>
    </row>
    <row r="274" spans="1:26" ht="14.25" customHeight="1" x14ac:dyDescent="0.3">
      <c r="B274" t="s">
        <v>472</v>
      </c>
      <c r="C274">
        <v>35</v>
      </c>
      <c r="D274">
        <v>171</v>
      </c>
      <c r="E274">
        <v>1</v>
      </c>
      <c r="F274">
        <v>4.0999999999999996</v>
      </c>
      <c r="G274">
        <v>29.3</v>
      </c>
      <c r="H274">
        <v>0.2</v>
      </c>
      <c r="I274">
        <v>0</v>
      </c>
      <c r="J274">
        <v>18.5</v>
      </c>
      <c r="K274" s="64">
        <f t="shared" si="20"/>
        <v>9.5000000000000018</v>
      </c>
      <c r="L274" s="64">
        <f t="shared" si="21"/>
        <v>1.3857610062893084</v>
      </c>
      <c r="M274" s="66"/>
      <c r="N274" s="66"/>
      <c r="O274" s="66"/>
      <c r="X274" s="20">
        <f t="shared" si="22"/>
        <v>200.3</v>
      </c>
      <c r="Y274" s="20">
        <f t="shared" si="23"/>
        <v>1.2</v>
      </c>
      <c r="Z274" s="20">
        <f t="shared" si="24"/>
        <v>166.91666666666669</v>
      </c>
    </row>
    <row r="275" spans="1:26" ht="14.25" customHeight="1" x14ac:dyDescent="0.3">
      <c r="B275" t="s">
        <v>473</v>
      </c>
      <c r="C275">
        <v>12.3</v>
      </c>
      <c r="D275">
        <v>50.7</v>
      </c>
      <c r="E275">
        <v>0.4</v>
      </c>
      <c r="F275">
        <v>2</v>
      </c>
      <c r="G275">
        <v>22</v>
      </c>
      <c r="H275">
        <v>0</v>
      </c>
      <c r="I275">
        <v>0.1</v>
      </c>
      <c r="J275">
        <v>13.2</v>
      </c>
      <c r="K275" s="64">
        <f t="shared" si="20"/>
        <v>2.8166666666666669</v>
      </c>
      <c r="L275" s="64">
        <f t="shared" si="21"/>
        <v>1.040503144654088</v>
      </c>
      <c r="M275" s="66"/>
      <c r="N275" s="66"/>
      <c r="O275" s="66"/>
      <c r="X275" s="20">
        <f t="shared" si="22"/>
        <v>72.7</v>
      </c>
      <c r="Y275" s="20">
        <f t="shared" si="23"/>
        <v>0.4</v>
      </c>
      <c r="Z275" s="20">
        <f t="shared" si="24"/>
        <v>181.75</v>
      </c>
    </row>
    <row r="276" spans="1:26" ht="14.25" customHeight="1" x14ac:dyDescent="0.3">
      <c r="A276" t="s">
        <v>1174</v>
      </c>
      <c r="B276" t="s">
        <v>535</v>
      </c>
      <c r="C276">
        <v>29</v>
      </c>
      <c r="D276">
        <v>107</v>
      </c>
      <c r="E276">
        <v>1</v>
      </c>
      <c r="F276">
        <v>2</v>
      </c>
      <c r="G276">
        <v>17</v>
      </c>
      <c r="H276">
        <v>0</v>
      </c>
      <c r="I276">
        <v>0</v>
      </c>
      <c r="J276">
        <v>19.399999999999999</v>
      </c>
      <c r="K276" s="64">
        <f t="shared" si="20"/>
        <v>5.9444444444444446</v>
      </c>
      <c r="L276" s="64">
        <f t="shared" si="21"/>
        <v>0.8040251572327044</v>
      </c>
      <c r="M276" s="66">
        <f>C278*Scoring!$B$32+D278/Scoring!$C$32+E278*Scoring!$D$32+F278*Scoring!$E$32+G278/Scoring!$F$32+H278*Scoring!$G$32+I278*Scoring!$H$32+K278*Scoring!$I$32+RB!L278*Scoring!$J$32+U276</f>
        <v>19.399999999999999</v>
      </c>
      <c r="N276" s="66">
        <f>C276*Scoring!$B$32+D276/Scoring!$C$32+E276*Scoring!$D$32+F276*Scoring!$E$32+G276/Scoring!$F$32+H276*Scoring!$G$32+I276*Scoring!$H$32+K276*Scoring!$I$32+RB!L276*Scoring!$J$32+U276</f>
        <v>19.399999999999999</v>
      </c>
      <c r="O276" s="66">
        <f>C277*Scoring!$B$32+D277/Scoring!$C$32+E277*Scoring!$D$32+F277*Scoring!$E$32+G277/Scoring!$F$32+H277*Scoring!$G$32+I277*Scoring!$H$32+K277*Scoring!$I$32+L277*Scoring!$J$32+U276</f>
        <v>19.399999999999999</v>
      </c>
      <c r="P276" s="20">
        <f>IF(COUNTIF(Rookies!$A:$A,A276)&gt;0,1,0)</f>
        <v>0</v>
      </c>
      <c r="S276" s="20">
        <f>V276/17</f>
        <v>1.1411764705882352</v>
      </c>
      <c r="T276" s="20">
        <f>IF(P276=1,MAX(0,0.258*(14.9-S276)),0)</f>
        <v>0</v>
      </c>
      <c r="U276" s="20">
        <f>T276*17</f>
        <v>0</v>
      </c>
      <c r="V276" s="20">
        <f>C276*Scoring!$B$32+D276/Scoring!$C$32+E276*Scoring!$D$32+F276*Scoring!$E$32+G276/Scoring!$F$32+H276*Scoring!$G$32+I276*Scoring!$H$32+K276*Scoring!$I$32+RB!L276*Scoring!$J$32</f>
        <v>19.399999999999999</v>
      </c>
      <c r="X276" s="20">
        <f t="shared" si="22"/>
        <v>124</v>
      </c>
      <c r="Y276" s="20">
        <f t="shared" si="23"/>
        <v>1</v>
      </c>
      <c r="Z276" s="20">
        <f t="shared" si="24"/>
        <v>124</v>
      </c>
    </row>
    <row r="277" spans="1:26" ht="14.25" customHeight="1" x14ac:dyDescent="0.3">
      <c r="B277" t="s">
        <v>472</v>
      </c>
      <c r="C277">
        <v>29</v>
      </c>
      <c r="D277">
        <v>107</v>
      </c>
      <c r="E277">
        <v>1</v>
      </c>
      <c r="F277">
        <v>2</v>
      </c>
      <c r="G277">
        <v>17</v>
      </c>
      <c r="H277">
        <v>0</v>
      </c>
      <c r="I277">
        <v>0</v>
      </c>
      <c r="J277">
        <v>12</v>
      </c>
      <c r="K277" s="64">
        <f t="shared" si="20"/>
        <v>5.9444444444444446</v>
      </c>
      <c r="L277" s="64">
        <f t="shared" si="21"/>
        <v>0.8040251572327044</v>
      </c>
      <c r="M277" s="66"/>
      <c r="N277" s="66"/>
      <c r="O277" s="66"/>
      <c r="X277" s="20">
        <f t="shared" si="22"/>
        <v>124</v>
      </c>
      <c r="Y277" s="20">
        <f t="shared" si="23"/>
        <v>1</v>
      </c>
      <c r="Z277" s="20">
        <f t="shared" si="24"/>
        <v>124</v>
      </c>
    </row>
    <row r="278" spans="1:26" ht="14.25" customHeight="1" x14ac:dyDescent="0.3">
      <c r="B278" t="s">
        <v>473</v>
      </c>
      <c r="C278">
        <v>29</v>
      </c>
      <c r="D278">
        <v>107</v>
      </c>
      <c r="E278">
        <v>1</v>
      </c>
      <c r="F278">
        <v>2</v>
      </c>
      <c r="G278">
        <v>17</v>
      </c>
      <c r="H278">
        <v>0</v>
      </c>
      <c r="I278">
        <v>0</v>
      </c>
      <c r="J278">
        <v>12</v>
      </c>
      <c r="K278" s="64">
        <f t="shared" si="20"/>
        <v>5.9444444444444446</v>
      </c>
      <c r="L278" s="64">
        <f t="shared" si="21"/>
        <v>0.8040251572327044</v>
      </c>
      <c r="M278" s="66"/>
      <c r="N278" s="66"/>
      <c r="O278" s="66"/>
      <c r="X278" s="20">
        <f t="shared" si="22"/>
        <v>124</v>
      </c>
      <c r="Y278" s="20">
        <f t="shared" si="23"/>
        <v>1</v>
      </c>
      <c r="Z278" s="20">
        <f t="shared" si="24"/>
        <v>124</v>
      </c>
    </row>
    <row r="279" spans="1:26" ht="14.25" customHeight="1" x14ac:dyDescent="0.3">
      <c r="A279" t="s">
        <v>685</v>
      </c>
      <c r="B279" t="s">
        <v>525</v>
      </c>
      <c r="C279">
        <v>22.6</v>
      </c>
      <c r="D279">
        <v>93.8</v>
      </c>
      <c r="E279">
        <v>0.8</v>
      </c>
      <c r="F279">
        <v>3.1</v>
      </c>
      <c r="G279">
        <v>25.6</v>
      </c>
      <c r="H279">
        <v>0.1</v>
      </c>
      <c r="I279">
        <v>0.1</v>
      </c>
      <c r="J279">
        <v>18.5</v>
      </c>
      <c r="K279" s="64">
        <f t="shared" si="20"/>
        <v>5.2111111111111112</v>
      </c>
      <c r="L279" s="64">
        <f t="shared" si="21"/>
        <v>1.2107672955974844</v>
      </c>
      <c r="M279" s="66">
        <f>C281*Scoring!$B$32+D281/Scoring!$C$32+E281*Scoring!$D$32+F281*Scoring!$E$32+G281/Scoring!$F$32+H281*Scoring!$G$32+I281*Scoring!$H$32+K281*Scoring!$I$32+RB!L281*Scoring!$J$32+U279</f>
        <v>75.389380000000003</v>
      </c>
      <c r="N279" s="66">
        <f>C279*Scoring!$B$32+D279/Scoring!$C$32+E279*Scoring!$D$32+F279*Scoring!$E$32+G279/Scoring!$F$32+H279*Scoring!$G$32+I279*Scoring!$H$32+K279*Scoring!$I$32+RB!L279*Scoring!$J$32+U279</f>
        <v>79.219380000000001</v>
      </c>
      <c r="O279" s="66">
        <f>C280*Scoring!$B$32+D280/Scoring!$C$32+E280*Scoring!$D$32+F280*Scoring!$E$32+G280/Scoring!$F$32+H280*Scoring!$G$32+I280*Scoring!$H$32+K280*Scoring!$I$32+L280*Scoring!$J$32+U279</f>
        <v>83.289379999999994</v>
      </c>
      <c r="P279" s="20">
        <f>IF(COUNTIF(Rookies!$A:$A,A279)&gt;0,1,0)</f>
        <v>1</v>
      </c>
      <c r="S279" s="20">
        <f>V279/17</f>
        <v>1.0994117647058825</v>
      </c>
      <c r="T279" s="20">
        <f>IF(P279=1,MAX(0,0.258*(14.9-S279)),0)</f>
        <v>3.5605517647058824</v>
      </c>
      <c r="U279" s="20">
        <f>T279*17</f>
        <v>60.529380000000003</v>
      </c>
      <c r="V279" s="20">
        <f>C279*Scoring!$B$32+D279/Scoring!$C$32+E279*Scoring!$D$32+F279*Scoring!$E$32+G279/Scoring!$F$32+H279*Scoring!$G$32+I279*Scoring!$H$32+K279*Scoring!$I$32+RB!L279*Scoring!$J$32</f>
        <v>18.690000000000001</v>
      </c>
      <c r="X279" s="20">
        <f t="shared" si="22"/>
        <v>119.4</v>
      </c>
      <c r="Y279" s="20">
        <f t="shared" si="23"/>
        <v>0.9</v>
      </c>
      <c r="Z279" s="20">
        <f t="shared" si="24"/>
        <v>132.66666666666666</v>
      </c>
    </row>
    <row r="280" spans="1:26" ht="14.25" customHeight="1" x14ac:dyDescent="0.3">
      <c r="B280" t="s">
        <v>472</v>
      </c>
      <c r="C280">
        <v>25</v>
      </c>
      <c r="D280">
        <v>104</v>
      </c>
      <c r="E280">
        <v>1</v>
      </c>
      <c r="F280">
        <v>4.3</v>
      </c>
      <c r="G280">
        <v>30.1</v>
      </c>
      <c r="H280">
        <v>0.2</v>
      </c>
      <c r="I280">
        <v>0</v>
      </c>
      <c r="J280">
        <v>17.100000000000001</v>
      </c>
      <c r="K280" s="64">
        <f t="shared" si="20"/>
        <v>5.7777777777777786</v>
      </c>
      <c r="L280" s="64">
        <f t="shared" si="21"/>
        <v>1.4235974842767296</v>
      </c>
      <c r="M280" s="66"/>
      <c r="N280" s="66"/>
      <c r="O280" s="66"/>
      <c r="X280" s="20">
        <f t="shared" si="22"/>
        <v>134.1</v>
      </c>
      <c r="Y280" s="20">
        <f t="shared" si="23"/>
        <v>1.2</v>
      </c>
      <c r="Z280" s="20">
        <f t="shared" si="24"/>
        <v>111.75</v>
      </c>
    </row>
    <row r="281" spans="1:26" ht="14.25" customHeight="1" x14ac:dyDescent="0.3">
      <c r="B281" t="s">
        <v>473</v>
      </c>
      <c r="C281">
        <v>20.3</v>
      </c>
      <c r="D281">
        <v>83.6</v>
      </c>
      <c r="E281">
        <v>0.6</v>
      </c>
      <c r="F281">
        <v>2</v>
      </c>
      <c r="G281">
        <v>21</v>
      </c>
      <c r="H281">
        <v>0</v>
      </c>
      <c r="I281">
        <v>0.1</v>
      </c>
      <c r="J281">
        <v>12.6</v>
      </c>
      <c r="K281" s="64">
        <f t="shared" si="20"/>
        <v>4.6444444444444439</v>
      </c>
      <c r="L281" s="64">
        <f t="shared" si="21"/>
        <v>0.9932075471698113</v>
      </c>
      <c r="M281" s="66"/>
      <c r="N281" s="66"/>
      <c r="O281" s="66"/>
      <c r="X281" s="20">
        <f t="shared" si="22"/>
        <v>104.6</v>
      </c>
      <c r="Y281" s="20">
        <f t="shared" si="23"/>
        <v>0.6</v>
      </c>
      <c r="Z281" s="20">
        <f t="shared" si="24"/>
        <v>174.33333333333334</v>
      </c>
    </row>
    <row r="282" spans="1:26" ht="14.25" customHeight="1" x14ac:dyDescent="0.3">
      <c r="A282" t="s">
        <v>686</v>
      </c>
      <c r="B282" t="s">
        <v>509</v>
      </c>
      <c r="C282">
        <v>21.6</v>
      </c>
      <c r="D282">
        <v>96.7</v>
      </c>
      <c r="E282">
        <v>0.7</v>
      </c>
      <c r="F282">
        <v>3.3</v>
      </c>
      <c r="G282">
        <v>25.2</v>
      </c>
      <c r="H282">
        <v>0.1</v>
      </c>
      <c r="I282">
        <v>0</v>
      </c>
      <c r="J282">
        <v>18.5</v>
      </c>
      <c r="K282" s="64">
        <f t="shared" si="20"/>
        <v>5.3722222222222227</v>
      </c>
      <c r="L282" s="64">
        <f t="shared" si="21"/>
        <v>1.1918490566037736</v>
      </c>
      <c r="M282" s="66">
        <f>C284*Scoring!$B$32+D284/Scoring!$C$32+E284*Scoring!$D$32+F284*Scoring!$E$32+G284/Scoring!$F$32+H284*Scoring!$G$32+I284*Scoring!$H$32+K284*Scoring!$I$32+RB!L284*Scoring!$J$32+U282</f>
        <v>71.792280000000005</v>
      </c>
      <c r="N282" s="66">
        <f>C282*Scoring!$B$32+D282/Scoring!$C$32+E282*Scoring!$D$32+F282*Scoring!$E$32+G282/Scoring!$F$32+H282*Scoring!$G$32+I282*Scoring!$H$32+K282*Scoring!$I$32+RB!L282*Scoring!$J$32+U282</f>
        <v>79.182280000000006</v>
      </c>
      <c r="O282" s="66">
        <f>C283*Scoring!$B$32+D283/Scoring!$C$32+E283*Scoring!$D$32+F283*Scoring!$E$32+G283/Scoring!$F$32+H283*Scoring!$G$32+I283*Scoring!$H$32+K283*Scoring!$I$32+L283*Scoring!$J$32+U282</f>
        <v>86.342280000000002</v>
      </c>
      <c r="P282" s="20">
        <f>IF(COUNTIF(Rookies!$A:$A,A282)&gt;0,1,0)</f>
        <v>1</v>
      </c>
      <c r="S282" s="20">
        <f>V282/17</f>
        <v>1.0964705882352941</v>
      </c>
      <c r="T282" s="20">
        <f>IF(P282=1,MAX(0,0.258*(14.9-S282)),0)</f>
        <v>3.5613105882352944</v>
      </c>
      <c r="U282" s="20">
        <f>T282*17</f>
        <v>60.542280000000005</v>
      </c>
      <c r="V282" s="20">
        <f>C282*Scoring!$B$32+D282/Scoring!$C$32+E282*Scoring!$D$32+F282*Scoring!$E$32+G282/Scoring!$F$32+H282*Scoring!$G$32+I282*Scoring!$H$32+K282*Scoring!$I$32+RB!L282*Scoring!$J$32</f>
        <v>18.64</v>
      </c>
      <c r="X282" s="20">
        <f t="shared" si="22"/>
        <v>121.9</v>
      </c>
      <c r="Y282" s="20">
        <f t="shared" si="23"/>
        <v>0.79999999999999993</v>
      </c>
      <c r="Z282" s="20">
        <f t="shared" si="24"/>
        <v>152.37500000000003</v>
      </c>
    </row>
    <row r="283" spans="1:26" ht="14.25" customHeight="1" x14ac:dyDescent="0.3">
      <c r="B283" t="s">
        <v>472</v>
      </c>
      <c r="C283">
        <v>29</v>
      </c>
      <c r="D283">
        <v>134</v>
      </c>
      <c r="E283">
        <v>1</v>
      </c>
      <c r="F283">
        <v>4.5</v>
      </c>
      <c r="G283">
        <v>29.5</v>
      </c>
      <c r="H283">
        <v>0.2</v>
      </c>
      <c r="I283">
        <v>0</v>
      </c>
      <c r="J283">
        <v>14</v>
      </c>
      <c r="K283" s="64">
        <f t="shared" si="20"/>
        <v>7.4444444444444446</v>
      </c>
      <c r="L283" s="64">
        <f t="shared" si="21"/>
        <v>1.3952201257861634</v>
      </c>
      <c r="M283" s="66"/>
      <c r="N283" s="66"/>
      <c r="O283" s="66"/>
      <c r="X283" s="20">
        <f t="shared" si="22"/>
        <v>163.5</v>
      </c>
      <c r="Y283" s="20">
        <f t="shared" si="23"/>
        <v>1.2</v>
      </c>
      <c r="Z283" s="20">
        <f t="shared" si="24"/>
        <v>136.25</v>
      </c>
    </row>
    <row r="284" spans="1:26" ht="14.25" customHeight="1" x14ac:dyDescent="0.3">
      <c r="B284" t="s">
        <v>473</v>
      </c>
      <c r="C284">
        <v>14.2</v>
      </c>
      <c r="D284">
        <v>59.5</v>
      </c>
      <c r="E284">
        <v>0.4</v>
      </c>
      <c r="F284">
        <v>2</v>
      </c>
      <c r="G284">
        <v>21</v>
      </c>
      <c r="H284">
        <v>0</v>
      </c>
      <c r="I284">
        <v>0.1</v>
      </c>
      <c r="J284">
        <v>13.6</v>
      </c>
      <c r="K284" s="64">
        <f t="shared" si="20"/>
        <v>3.3055555555555558</v>
      </c>
      <c r="L284" s="64">
        <f t="shared" si="21"/>
        <v>0.9932075471698113</v>
      </c>
      <c r="M284" s="66"/>
      <c r="N284" s="66"/>
      <c r="O284" s="66"/>
      <c r="X284" s="20">
        <f t="shared" si="22"/>
        <v>80.5</v>
      </c>
      <c r="Y284" s="20">
        <f t="shared" si="23"/>
        <v>0.4</v>
      </c>
      <c r="Z284" s="20">
        <f t="shared" si="24"/>
        <v>201.25</v>
      </c>
    </row>
    <row r="285" spans="1:26" ht="14.25" customHeight="1" x14ac:dyDescent="0.3">
      <c r="A285" t="s">
        <v>683</v>
      </c>
      <c r="B285" t="s">
        <v>483</v>
      </c>
      <c r="C285">
        <v>30.3</v>
      </c>
      <c r="D285">
        <v>128.1</v>
      </c>
      <c r="E285">
        <v>0.9</v>
      </c>
      <c r="F285">
        <v>0</v>
      </c>
      <c r="G285">
        <v>0</v>
      </c>
      <c r="H285">
        <v>0</v>
      </c>
      <c r="I285">
        <v>0.1</v>
      </c>
      <c r="J285">
        <v>18.2</v>
      </c>
      <c r="K285" s="64">
        <f t="shared" si="20"/>
        <v>7.1166666666666654</v>
      </c>
      <c r="L285" s="64">
        <f t="shared" si="21"/>
        <v>0</v>
      </c>
      <c r="M285" s="66">
        <f>C287*Scoring!$B$32+D287/Scoring!$C$32+E287*Scoring!$D$32+F287*Scoring!$E$32+G287/Scoring!$F$32+H287*Scoring!$G$32+I287*Scoring!$H$32+K287*Scoring!$I$32+RB!L287*Scoring!$J$32+U285</f>
        <v>18.010000000000002</v>
      </c>
      <c r="N285" s="66">
        <f>C285*Scoring!$B$32+D285/Scoring!$C$32+E285*Scoring!$D$32+F285*Scoring!$E$32+G285/Scoring!$F$32+H285*Scoring!$G$32+I285*Scoring!$H$32+K285*Scoring!$I$32+RB!L285*Scoring!$J$32+U285</f>
        <v>18.010000000000002</v>
      </c>
      <c r="O285" s="66">
        <f>C286*Scoring!$B$32+D286/Scoring!$C$32+E286*Scoring!$D$32+F286*Scoring!$E$32+G286/Scoring!$F$32+H286*Scoring!$G$32+I286*Scoring!$H$32+K286*Scoring!$I$32+L286*Scoring!$J$32+U285</f>
        <v>18.010000000000002</v>
      </c>
      <c r="P285" s="20">
        <f>IF(COUNTIF(Rookies!$A:$A,A285)&gt;0,1,0)</f>
        <v>0</v>
      </c>
      <c r="S285" s="20">
        <f>V285/17</f>
        <v>1.0594117647058825</v>
      </c>
      <c r="T285" s="20">
        <f>IF(P285=1,MAX(0,0.258*(14.9-S285)),0)</f>
        <v>0</v>
      </c>
      <c r="U285" s="20">
        <f>T285*17</f>
        <v>0</v>
      </c>
      <c r="V285" s="20">
        <f>C285*Scoring!$B$32+D285/Scoring!$C$32+E285*Scoring!$D$32+F285*Scoring!$E$32+G285/Scoring!$F$32+H285*Scoring!$G$32+I285*Scoring!$H$32+K285*Scoring!$I$32+RB!L285*Scoring!$J$32</f>
        <v>18.010000000000002</v>
      </c>
      <c r="X285" s="20">
        <f t="shared" si="22"/>
        <v>128.1</v>
      </c>
      <c r="Y285" s="20">
        <f t="shared" si="23"/>
        <v>0.9</v>
      </c>
      <c r="Z285" s="20">
        <f t="shared" si="24"/>
        <v>142.33333333333331</v>
      </c>
    </row>
    <row r="286" spans="1:26" ht="14.25" customHeight="1" x14ac:dyDescent="0.3">
      <c r="B286" t="s">
        <v>472</v>
      </c>
      <c r="C286">
        <v>30.3</v>
      </c>
      <c r="D286">
        <v>128.1</v>
      </c>
      <c r="E286">
        <v>0.9</v>
      </c>
      <c r="F286">
        <v>0</v>
      </c>
      <c r="G286">
        <v>0</v>
      </c>
      <c r="H286">
        <v>0</v>
      </c>
      <c r="I286">
        <v>0.1</v>
      </c>
      <c r="J286">
        <v>18.399999999999999</v>
      </c>
      <c r="K286" s="64">
        <f t="shared" si="20"/>
        <v>7.1166666666666654</v>
      </c>
      <c r="L286" s="64">
        <f t="shared" si="21"/>
        <v>0</v>
      </c>
      <c r="M286" s="66"/>
      <c r="N286" s="66"/>
      <c r="O286" s="66"/>
      <c r="X286" s="20">
        <f t="shared" si="22"/>
        <v>128.1</v>
      </c>
      <c r="Y286" s="20">
        <f t="shared" si="23"/>
        <v>0.9</v>
      </c>
      <c r="Z286" s="20">
        <f t="shared" si="24"/>
        <v>142.33333333333331</v>
      </c>
    </row>
    <row r="287" spans="1:26" ht="14.25" customHeight="1" x14ac:dyDescent="0.3">
      <c r="B287" t="s">
        <v>473</v>
      </c>
      <c r="C287">
        <v>30.3</v>
      </c>
      <c r="D287">
        <v>128.1</v>
      </c>
      <c r="E287">
        <v>0.9</v>
      </c>
      <c r="F287">
        <v>0</v>
      </c>
      <c r="G287">
        <v>0</v>
      </c>
      <c r="H287">
        <v>0</v>
      </c>
      <c r="I287">
        <v>0.1</v>
      </c>
      <c r="J287">
        <v>18.399999999999999</v>
      </c>
      <c r="K287" s="64">
        <f t="shared" si="20"/>
        <v>7.1166666666666654</v>
      </c>
      <c r="L287" s="64">
        <f t="shared" si="21"/>
        <v>0</v>
      </c>
      <c r="M287" s="66"/>
      <c r="N287" s="66"/>
      <c r="O287" s="66"/>
      <c r="X287" s="20">
        <f t="shared" si="22"/>
        <v>128.1</v>
      </c>
      <c r="Y287" s="20">
        <f t="shared" si="23"/>
        <v>0.9</v>
      </c>
      <c r="Z287" s="20">
        <f t="shared" si="24"/>
        <v>142.33333333333331</v>
      </c>
    </row>
    <row r="288" spans="1:26" ht="14.25" customHeight="1" x14ac:dyDescent="0.3">
      <c r="A288" t="s">
        <v>668</v>
      </c>
      <c r="B288" t="s">
        <v>511</v>
      </c>
      <c r="C288">
        <v>22.3</v>
      </c>
      <c r="D288">
        <v>92.9</v>
      </c>
      <c r="E288">
        <v>0.7</v>
      </c>
      <c r="F288">
        <v>2.6</v>
      </c>
      <c r="G288">
        <v>20</v>
      </c>
      <c r="H288">
        <v>0.1</v>
      </c>
      <c r="I288">
        <v>0</v>
      </c>
      <c r="J288">
        <v>17.100000000000001</v>
      </c>
      <c r="K288" s="64">
        <f t="shared" si="20"/>
        <v>5.1611111111111114</v>
      </c>
      <c r="L288" s="64">
        <f t="shared" si="21"/>
        <v>0.94591194968553438</v>
      </c>
      <c r="M288" s="66">
        <f>C290*Scoring!$B$32+D290/Scoring!$C$32+E290*Scoring!$D$32+F290*Scoring!$E$32+G290/Scoring!$F$32+H290*Scoring!$G$32+I290*Scoring!$H$32+K290*Scoring!$I$32+RB!L290*Scoring!$J$32+U288</f>
        <v>9.08</v>
      </c>
      <c r="N288" s="66">
        <f>C288*Scoring!$B$32+D288/Scoring!$C$32+E288*Scoring!$D$32+F288*Scoring!$E$32+G288/Scoring!$F$32+H288*Scoring!$G$32+I288*Scoring!$H$32+K288*Scoring!$I$32+RB!L288*Scoring!$J$32+U288</f>
        <v>17.39</v>
      </c>
      <c r="O288" s="66">
        <f>C289*Scoring!$B$32+D289/Scoring!$C$32+E289*Scoring!$D$32+F289*Scoring!$E$32+G289/Scoring!$F$32+H289*Scoring!$G$32+I289*Scoring!$H$32+K289*Scoring!$I$32+L289*Scoring!$J$32+U288</f>
        <v>25.5</v>
      </c>
      <c r="P288" s="20">
        <f>IF(COUNTIF(Rookies!$A:$A,A288)&gt;0,1,0)</f>
        <v>0</v>
      </c>
      <c r="S288" s="20">
        <f>V288/17</f>
        <v>1.0229411764705882</v>
      </c>
      <c r="T288" s="20">
        <f>IF(P288=1,MAX(0,0.258*(14.9-S288)),0)</f>
        <v>0</v>
      </c>
      <c r="U288" s="20">
        <f>T288*17</f>
        <v>0</v>
      </c>
      <c r="V288" s="20">
        <f>C288*Scoring!$B$32+D288/Scoring!$C$32+E288*Scoring!$D$32+F288*Scoring!$E$32+G288/Scoring!$F$32+H288*Scoring!$G$32+I288*Scoring!$H$32+K288*Scoring!$I$32+RB!L288*Scoring!$J$32</f>
        <v>17.39</v>
      </c>
      <c r="X288" s="20">
        <f t="shared" si="22"/>
        <v>112.9</v>
      </c>
      <c r="Y288" s="20">
        <f t="shared" si="23"/>
        <v>0.79999999999999993</v>
      </c>
      <c r="Z288" s="20">
        <f t="shared" si="24"/>
        <v>141.12500000000003</v>
      </c>
    </row>
    <row r="289" spans="1:26" ht="14.25" customHeight="1" x14ac:dyDescent="0.3">
      <c r="B289" t="s">
        <v>472</v>
      </c>
      <c r="C289">
        <v>32</v>
      </c>
      <c r="D289">
        <v>133</v>
      </c>
      <c r="E289">
        <v>1</v>
      </c>
      <c r="F289">
        <v>4.2</v>
      </c>
      <c r="G289">
        <v>29</v>
      </c>
      <c r="H289">
        <v>0.2</v>
      </c>
      <c r="I289">
        <v>0</v>
      </c>
      <c r="J289">
        <v>12.6</v>
      </c>
      <c r="K289" s="64">
        <f t="shared" si="20"/>
        <v>7.3888888888888893</v>
      </c>
      <c r="L289" s="64">
        <f t="shared" si="21"/>
        <v>1.3715723270440252</v>
      </c>
      <c r="M289" s="66"/>
      <c r="N289" s="66"/>
      <c r="O289" s="66"/>
      <c r="X289" s="20">
        <f t="shared" si="22"/>
        <v>162</v>
      </c>
      <c r="Y289" s="20">
        <f t="shared" si="23"/>
        <v>1.2</v>
      </c>
      <c r="Z289" s="20">
        <f t="shared" si="24"/>
        <v>135</v>
      </c>
    </row>
    <row r="290" spans="1:26" ht="14.25" customHeight="1" x14ac:dyDescent="0.3">
      <c r="B290" t="s">
        <v>473</v>
      </c>
      <c r="C290">
        <v>12.5</v>
      </c>
      <c r="D290">
        <v>52.8</v>
      </c>
      <c r="E290">
        <v>0.4</v>
      </c>
      <c r="F290">
        <v>1</v>
      </c>
      <c r="G290">
        <v>11</v>
      </c>
      <c r="H290">
        <v>0</v>
      </c>
      <c r="I290">
        <v>0.1</v>
      </c>
      <c r="J290">
        <v>12.3</v>
      </c>
      <c r="K290" s="64">
        <f t="shared" si="20"/>
        <v>2.9333333333333336</v>
      </c>
      <c r="L290" s="64">
        <f t="shared" si="21"/>
        <v>0.520251572327044</v>
      </c>
      <c r="M290" s="66"/>
      <c r="N290" s="66"/>
      <c r="O290" s="66"/>
      <c r="X290" s="20">
        <f t="shared" si="22"/>
        <v>63.8</v>
      </c>
      <c r="Y290" s="20">
        <f t="shared" si="23"/>
        <v>0.4</v>
      </c>
      <c r="Z290" s="20">
        <f t="shared" si="24"/>
        <v>159.49999999999997</v>
      </c>
    </row>
    <row r="291" spans="1:26" ht="14.25" customHeight="1" x14ac:dyDescent="0.3">
      <c r="A291" t="s">
        <v>709</v>
      </c>
      <c r="B291" t="s">
        <v>475</v>
      </c>
      <c r="C291">
        <v>13.8</v>
      </c>
      <c r="D291">
        <v>54.5</v>
      </c>
      <c r="E291">
        <v>0.2</v>
      </c>
      <c r="F291">
        <v>5.3</v>
      </c>
      <c r="G291">
        <v>40.700000000000003</v>
      </c>
      <c r="H291">
        <v>0.6</v>
      </c>
      <c r="I291">
        <v>0</v>
      </c>
      <c r="J291">
        <v>16.899999999999999</v>
      </c>
      <c r="K291" s="64">
        <f t="shared" si="20"/>
        <v>3.0277777777777777</v>
      </c>
      <c r="L291" s="64">
        <f t="shared" si="21"/>
        <v>1.9249308176100632</v>
      </c>
      <c r="M291" s="66">
        <f>C293*Scoring!$B$32+D293/Scoring!$C$32+E293*Scoring!$D$32+F293*Scoring!$E$32+G293/Scoring!$F$32+H293*Scoring!$G$32+I293*Scoring!$H$32+K293*Scoring!$I$32+RB!L293*Scoring!$J$32+U291</f>
        <v>10.29</v>
      </c>
      <c r="N291" s="66">
        <f>C291*Scoring!$B$32+D291/Scoring!$C$32+E291*Scoring!$D$32+F291*Scoring!$E$32+G291/Scoring!$F$32+H291*Scoring!$G$32+I291*Scoring!$H$32+K291*Scoring!$I$32+RB!L291*Scoring!$J$32+U291</f>
        <v>16.97</v>
      </c>
      <c r="O291" s="66">
        <f>C292*Scoring!$B$32+D292/Scoring!$C$32+E292*Scoring!$D$32+F292*Scoring!$E$32+G292/Scoring!$F$32+H292*Scoring!$G$32+I292*Scoring!$H$32+K292*Scoring!$I$32+L292*Scoring!$J$32+U291</f>
        <v>23.400000000000002</v>
      </c>
      <c r="P291" s="20">
        <f>IF(COUNTIF(Rookies!$A:$A,A291)&gt;0,1,0)</f>
        <v>0</v>
      </c>
      <c r="S291" s="20">
        <f>V291/17</f>
        <v>0.998235294117647</v>
      </c>
      <c r="T291" s="20">
        <f>IF(P291=1,MAX(0,0.258*(14.9-S291)),0)</f>
        <v>0</v>
      </c>
      <c r="U291" s="20">
        <f>T291*17</f>
        <v>0</v>
      </c>
      <c r="V291" s="20">
        <f>C291*Scoring!$B$32+D291/Scoring!$C$32+E291*Scoring!$D$32+F291*Scoring!$E$32+G291/Scoring!$F$32+H291*Scoring!$G$32+I291*Scoring!$H$32+K291*Scoring!$I$32+RB!L291*Scoring!$J$32</f>
        <v>16.97</v>
      </c>
      <c r="X291" s="20">
        <f t="shared" si="22"/>
        <v>95.2</v>
      </c>
      <c r="Y291" s="20">
        <f t="shared" si="23"/>
        <v>0.8</v>
      </c>
      <c r="Z291" s="20">
        <f t="shared" si="24"/>
        <v>119</v>
      </c>
    </row>
    <row r="292" spans="1:26" ht="14.25" customHeight="1" x14ac:dyDescent="0.3">
      <c r="B292" t="s">
        <v>472</v>
      </c>
      <c r="C292">
        <v>14.6</v>
      </c>
      <c r="D292">
        <v>62</v>
      </c>
      <c r="E292">
        <v>0.4</v>
      </c>
      <c r="F292">
        <v>7</v>
      </c>
      <c r="G292">
        <v>53</v>
      </c>
      <c r="H292">
        <v>1</v>
      </c>
      <c r="I292">
        <v>0</v>
      </c>
      <c r="J292">
        <v>15.6</v>
      </c>
      <c r="K292" s="64">
        <f t="shared" si="20"/>
        <v>3.4444444444444446</v>
      </c>
      <c r="L292" s="64">
        <f t="shared" si="21"/>
        <v>2.5066666666666664</v>
      </c>
      <c r="M292" s="66"/>
      <c r="N292" s="66"/>
      <c r="O292" s="66"/>
      <c r="X292" s="20">
        <f t="shared" si="22"/>
        <v>115</v>
      </c>
      <c r="Y292" s="20">
        <f t="shared" si="23"/>
        <v>1.4</v>
      </c>
      <c r="Z292" s="20">
        <f t="shared" si="24"/>
        <v>82.142857142857153</v>
      </c>
    </row>
    <row r="293" spans="1:26" ht="14.25" customHeight="1" x14ac:dyDescent="0.3">
      <c r="B293" t="s">
        <v>473</v>
      </c>
      <c r="C293">
        <v>13</v>
      </c>
      <c r="D293">
        <v>47</v>
      </c>
      <c r="E293">
        <v>0</v>
      </c>
      <c r="F293">
        <v>3.5</v>
      </c>
      <c r="G293">
        <v>28.4</v>
      </c>
      <c r="H293">
        <v>0.2</v>
      </c>
      <c r="I293">
        <v>0.1</v>
      </c>
      <c r="J293">
        <v>11.6</v>
      </c>
      <c r="K293" s="64">
        <f t="shared" si="20"/>
        <v>2.6111111111111112</v>
      </c>
      <c r="L293" s="64">
        <f t="shared" si="21"/>
        <v>1.3431949685534592</v>
      </c>
      <c r="M293" s="66"/>
      <c r="N293" s="66"/>
      <c r="O293" s="66"/>
      <c r="X293" s="20">
        <f t="shared" si="22"/>
        <v>75.400000000000006</v>
      </c>
      <c r="Y293" s="20">
        <f t="shared" si="23"/>
        <v>0.2</v>
      </c>
      <c r="Z293" s="20">
        <f t="shared" si="24"/>
        <v>377</v>
      </c>
    </row>
    <row r="294" spans="1:26" ht="14.25" customHeight="1" x14ac:dyDescent="0.3">
      <c r="A294" t="s">
        <v>687</v>
      </c>
      <c r="B294" t="s">
        <v>535</v>
      </c>
      <c r="C294">
        <v>6.6</v>
      </c>
      <c r="D294">
        <v>13.8</v>
      </c>
      <c r="E294">
        <v>0.6</v>
      </c>
      <c r="F294">
        <v>5.0999999999999996</v>
      </c>
      <c r="G294">
        <v>33.299999999999997</v>
      </c>
      <c r="H294">
        <v>0.6</v>
      </c>
      <c r="I294">
        <v>0</v>
      </c>
      <c r="J294">
        <v>14</v>
      </c>
      <c r="K294" s="64">
        <f t="shared" si="20"/>
        <v>0.76666666666666683</v>
      </c>
      <c r="L294" s="64">
        <f t="shared" si="21"/>
        <v>1.5749433962264148</v>
      </c>
      <c r="M294" s="66">
        <f>C296*Scoring!$B$32+D296/Scoring!$C$32+E296*Scoring!$D$32+F296*Scoring!$E$32+G296/Scoring!$F$32+H296*Scoring!$G$32+I296*Scoring!$H$32+K296*Scoring!$I$32+RB!L296*Scoring!$J$32+U294</f>
        <v>7.57</v>
      </c>
      <c r="N294" s="66">
        <f>C294*Scoring!$B$32+D294/Scoring!$C$32+E294*Scoring!$D$32+F294*Scoring!$E$32+G294/Scoring!$F$32+H294*Scoring!$G$32+I294*Scoring!$H$32+K294*Scoring!$I$32+RB!L294*Scoring!$J$32+U294</f>
        <v>14.459999999999999</v>
      </c>
      <c r="O294" s="66">
        <f>C295*Scoring!$B$32+D295/Scoring!$C$32+E295*Scoring!$D$32+F295*Scoring!$E$32+G295/Scoring!$F$32+H295*Scoring!$G$32+I295*Scoring!$H$32+K295*Scoring!$I$32+L295*Scoring!$J$32+U294</f>
        <v>20.77</v>
      </c>
      <c r="P294" s="20">
        <f>IF(COUNTIF(Rookies!$A:$A,A294)&gt;0,1,0)</f>
        <v>0</v>
      </c>
      <c r="S294" s="20">
        <f>V294/17</f>
        <v>0.85058823529411764</v>
      </c>
      <c r="T294" s="20">
        <f>IF(P294=1,MAX(0,0.258*(14.9-S294)),0)</f>
        <v>0</v>
      </c>
      <c r="U294" s="20">
        <f>T294*17</f>
        <v>0</v>
      </c>
      <c r="V294" s="20">
        <f>C294*Scoring!$B$32+D294/Scoring!$C$32+E294*Scoring!$D$32+F294*Scoring!$E$32+G294/Scoring!$F$32+H294*Scoring!$G$32+I294*Scoring!$H$32+K294*Scoring!$I$32+RB!L294*Scoring!$J$32</f>
        <v>14.459999999999999</v>
      </c>
      <c r="X294" s="20">
        <f t="shared" si="22"/>
        <v>47.099999999999994</v>
      </c>
      <c r="Y294" s="20">
        <f t="shared" si="23"/>
        <v>1.2</v>
      </c>
      <c r="Z294" s="20">
        <f t="shared" si="24"/>
        <v>39.25</v>
      </c>
    </row>
    <row r="295" spans="1:26" ht="14.25" customHeight="1" x14ac:dyDescent="0.3">
      <c r="B295" t="s">
        <v>472</v>
      </c>
      <c r="C295">
        <v>9</v>
      </c>
      <c r="D295">
        <v>17.7</v>
      </c>
      <c r="E295">
        <v>1</v>
      </c>
      <c r="F295">
        <v>6</v>
      </c>
      <c r="G295">
        <v>40</v>
      </c>
      <c r="H295">
        <v>1</v>
      </c>
      <c r="I295">
        <v>0</v>
      </c>
      <c r="J295">
        <v>15.6</v>
      </c>
      <c r="K295" s="64">
        <f t="shared" si="20"/>
        <v>0.98333333333333328</v>
      </c>
      <c r="L295" s="64">
        <f t="shared" si="21"/>
        <v>1.8918238993710692</v>
      </c>
      <c r="M295" s="66"/>
      <c r="N295" s="66"/>
      <c r="O295" s="66"/>
      <c r="X295" s="20">
        <f t="shared" si="22"/>
        <v>57.7</v>
      </c>
      <c r="Y295" s="20">
        <f t="shared" si="23"/>
        <v>2</v>
      </c>
      <c r="Z295" s="20">
        <f t="shared" si="24"/>
        <v>28.85</v>
      </c>
    </row>
    <row r="296" spans="1:26" ht="14.25" customHeight="1" x14ac:dyDescent="0.3">
      <c r="B296" t="s">
        <v>473</v>
      </c>
      <c r="C296">
        <v>4.3</v>
      </c>
      <c r="D296">
        <v>10</v>
      </c>
      <c r="E296">
        <v>0.1</v>
      </c>
      <c r="F296">
        <v>4.2</v>
      </c>
      <c r="G296">
        <v>26.7</v>
      </c>
      <c r="H296">
        <v>0.2</v>
      </c>
      <c r="I296">
        <v>0</v>
      </c>
      <c r="J296">
        <v>8.4</v>
      </c>
      <c r="K296" s="64">
        <f t="shared" si="20"/>
        <v>0.55555555555555558</v>
      </c>
      <c r="L296" s="64">
        <f t="shared" si="21"/>
        <v>1.2627924528301888</v>
      </c>
      <c r="M296" s="66"/>
      <c r="N296" s="66"/>
      <c r="O296" s="66"/>
      <c r="X296" s="20">
        <f t="shared" si="22"/>
        <v>36.700000000000003</v>
      </c>
      <c r="Y296" s="20">
        <f t="shared" si="23"/>
        <v>0.30000000000000004</v>
      </c>
      <c r="Z296" s="20">
        <f t="shared" si="24"/>
        <v>122.33333333333333</v>
      </c>
    </row>
    <row r="297" spans="1:26" ht="14.25" customHeight="1" x14ac:dyDescent="0.3">
      <c r="A297" t="s">
        <v>690</v>
      </c>
      <c r="B297" t="s">
        <v>523</v>
      </c>
      <c r="C297">
        <v>0.5</v>
      </c>
      <c r="D297">
        <v>4</v>
      </c>
      <c r="E297">
        <v>0</v>
      </c>
      <c r="F297">
        <v>4.5999999999999996</v>
      </c>
      <c r="G297">
        <v>31.8</v>
      </c>
      <c r="H297">
        <v>1.1000000000000001</v>
      </c>
      <c r="I297">
        <v>0</v>
      </c>
      <c r="J297">
        <v>12.5</v>
      </c>
      <c r="K297" s="64">
        <f t="shared" si="20"/>
        <v>0.22222222222222221</v>
      </c>
      <c r="L297" s="64">
        <f t="shared" si="21"/>
        <v>1.504</v>
      </c>
      <c r="M297" s="66">
        <f>C299*Scoring!$B$32+D299/Scoring!$C$32+E299*Scoring!$D$32+F299*Scoring!$E$32+G299/Scoring!$F$32+H299*Scoring!$G$32+I299*Scoring!$H$32+K299*Scoring!$I$32+RB!L299*Scoring!$J$32+U297</f>
        <v>6.15</v>
      </c>
      <c r="N297" s="66">
        <f>C297*Scoring!$B$32+D297/Scoring!$C$32+E297*Scoring!$D$32+F297*Scoring!$E$32+G297/Scoring!$F$32+H297*Scoring!$G$32+I297*Scoring!$H$32+K297*Scoring!$I$32+RB!L297*Scoring!$J$32+U297</f>
        <v>12.48</v>
      </c>
      <c r="O297" s="66">
        <f>C298*Scoring!$B$32+D298/Scoring!$C$32+E298*Scoring!$D$32+F298*Scoring!$E$32+G298/Scoring!$F$32+H298*Scoring!$G$32+I298*Scoring!$H$32+K298*Scoring!$I$32+L298*Scoring!$J$32+U297</f>
        <v>18.8</v>
      </c>
      <c r="P297" s="20">
        <f>IF(COUNTIF(Rookies!$A:$A,A297)&gt;0,1,0)</f>
        <v>0</v>
      </c>
      <c r="S297" s="20">
        <f>V297/17</f>
        <v>0.73411764705882354</v>
      </c>
      <c r="T297" s="20">
        <f>IF(P297=1,MAX(0,0.258*(14.9-S297)),0)</f>
        <v>0</v>
      </c>
      <c r="U297" s="20">
        <f>T297*17</f>
        <v>0</v>
      </c>
      <c r="V297" s="20">
        <f>C297*Scoring!$B$32+D297/Scoring!$C$32+E297*Scoring!$D$32+F297*Scoring!$E$32+G297/Scoring!$F$32+H297*Scoring!$G$32+I297*Scoring!$H$32+K297*Scoring!$I$32+RB!L297*Scoring!$J$32</f>
        <v>12.48</v>
      </c>
      <c r="X297" s="20">
        <f t="shared" si="22"/>
        <v>35.799999999999997</v>
      </c>
      <c r="Y297" s="20">
        <f t="shared" si="23"/>
        <v>1.1000000000000001</v>
      </c>
      <c r="Z297" s="20">
        <f t="shared" si="24"/>
        <v>32.54545454545454</v>
      </c>
    </row>
    <row r="298" spans="1:26" ht="14.25" customHeight="1" x14ac:dyDescent="0.3">
      <c r="B298" t="s">
        <v>472</v>
      </c>
      <c r="C298">
        <v>1</v>
      </c>
      <c r="D298">
        <v>8</v>
      </c>
      <c r="E298">
        <v>0</v>
      </c>
      <c r="F298">
        <v>5</v>
      </c>
      <c r="G298">
        <v>35</v>
      </c>
      <c r="H298">
        <v>2</v>
      </c>
      <c r="I298">
        <v>0</v>
      </c>
      <c r="J298">
        <v>15.3</v>
      </c>
      <c r="K298" s="64">
        <f t="shared" si="20"/>
        <v>0.44444444444444442</v>
      </c>
      <c r="L298" s="64">
        <f t="shared" si="21"/>
        <v>1.6553459119496856</v>
      </c>
      <c r="M298" s="66"/>
      <c r="N298" s="66"/>
      <c r="O298" s="66"/>
      <c r="X298" s="20">
        <f t="shared" si="22"/>
        <v>43</v>
      </c>
      <c r="Y298" s="20">
        <f t="shared" si="23"/>
        <v>2</v>
      </c>
      <c r="Z298" s="20">
        <f t="shared" si="24"/>
        <v>21.5</v>
      </c>
    </row>
    <row r="299" spans="1:26" ht="14.25" customHeight="1" x14ac:dyDescent="0.3">
      <c r="B299" t="s">
        <v>473</v>
      </c>
      <c r="C299">
        <v>0</v>
      </c>
      <c r="D299">
        <v>0</v>
      </c>
      <c r="E299">
        <v>0</v>
      </c>
      <c r="F299">
        <v>4.2</v>
      </c>
      <c r="G299">
        <v>28.5</v>
      </c>
      <c r="H299">
        <v>0.2</v>
      </c>
      <c r="I299">
        <v>0</v>
      </c>
      <c r="J299">
        <v>6.5</v>
      </c>
      <c r="K299" s="64">
        <f t="shared" si="20"/>
        <v>0</v>
      </c>
      <c r="L299" s="64">
        <f t="shared" si="21"/>
        <v>1.3479245283018868</v>
      </c>
      <c r="M299" s="66"/>
      <c r="N299" s="66"/>
      <c r="O299" s="66"/>
      <c r="X299" s="20">
        <f t="shared" si="22"/>
        <v>28.5</v>
      </c>
      <c r="Y299" s="20">
        <f t="shared" si="23"/>
        <v>0.2</v>
      </c>
      <c r="Z299" s="20">
        <f t="shared" si="24"/>
        <v>142.5</v>
      </c>
    </row>
    <row r="300" spans="1:26" ht="14.25" customHeight="1" x14ac:dyDescent="0.3">
      <c r="A300" t="s">
        <v>691</v>
      </c>
      <c r="B300" t="s">
        <v>497</v>
      </c>
      <c r="C300">
        <v>2.1</v>
      </c>
      <c r="D300">
        <v>8.6</v>
      </c>
      <c r="E300">
        <v>0.1</v>
      </c>
      <c r="F300">
        <v>7.9</v>
      </c>
      <c r="G300">
        <v>58.7</v>
      </c>
      <c r="H300">
        <v>0.2</v>
      </c>
      <c r="I300">
        <v>0.1</v>
      </c>
      <c r="J300">
        <v>12.4</v>
      </c>
      <c r="K300" s="64">
        <f t="shared" si="20"/>
        <v>0.47777777777777775</v>
      </c>
      <c r="L300" s="64">
        <f t="shared" si="21"/>
        <v>2.7762515723270442</v>
      </c>
      <c r="M300" s="66">
        <f>C302*Scoring!$B$32+D302/Scoring!$C$32+E302*Scoring!$D$32+F302*Scoring!$E$32+G302/Scoring!$F$32+H302*Scoring!$G$32+I302*Scoring!$H$32+K302*Scoring!$I$32+RB!L302*Scoring!$J$32+U300</f>
        <v>12.280000000000001</v>
      </c>
      <c r="N300" s="66">
        <f>C300*Scoring!$B$32+D300/Scoring!$C$32+E300*Scoring!$D$32+F300*Scoring!$E$32+G300/Scoring!$F$32+H300*Scoring!$G$32+I300*Scoring!$H$32+K300*Scoring!$I$32+RB!L300*Scoring!$J$32+U300</f>
        <v>12.280000000000001</v>
      </c>
      <c r="O300" s="66">
        <f>C301*Scoring!$B$32+D301/Scoring!$C$32+E301*Scoring!$D$32+F301*Scoring!$E$32+G301/Scoring!$F$32+H301*Scoring!$G$32+I301*Scoring!$H$32+K301*Scoring!$I$32+L301*Scoring!$J$32+U300</f>
        <v>12.280000000000001</v>
      </c>
      <c r="P300" s="20">
        <f>IF(COUNTIF(Rookies!$A:$A,A300)&gt;0,1,0)</f>
        <v>0</v>
      </c>
      <c r="S300" s="20">
        <f>V300/17</f>
        <v>0.72235294117647064</v>
      </c>
      <c r="T300" s="20">
        <f>IF(P300=1,MAX(0,0.258*(14.9-S300)),0)</f>
        <v>0</v>
      </c>
      <c r="U300" s="20">
        <f>T300*17</f>
        <v>0</v>
      </c>
      <c r="V300" s="20">
        <f>C300*Scoring!$B$32+D300/Scoring!$C$32+E300*Scoring!$D$32+F300*Scoring!$E$32+G300/Scoring!$F$32+H300*Scoring!$G$32+I300*Scoring!$H$32+K300*Scoring!$I$32+RB!L300*Scoring!$J$32</f>
        <v>12.280000000000001</v>
      </c>
      <c r="X300" s="20">
        <f t="shared" si="22"/>
        <v>67.3</v>
      </c>
      <c r="Y300" s="20">
        <f t="shared" si="23"/>
        <v>0.30000000000000004</v>
      </c>
      <c r="Z300" s="20">
        <f t="shared" si="24"/>
        <v>224.33333333333329</v>
      </c>
    </row>
    <row r="301" spans="1:26" ht="14.25" customHeight="1" x14ac:dyDescent="0.3">
      <c r="B301" t="s">
        <v>472</v>
      </c>
      <c r="C301">
        <v>2.1</v>
      </c>
      <c r="D301">
        <v>8.6</v>
      </c>
      <c r="E301">
        <v>0.1</v>
      </c>
      <c r="F301">
        <v>7.9</v>
      </c>
      <c r="G301">
        <v>58.7</v>
      </c>
      <c r="H301">
        <v>0.2</v>
      </c>
      <c r="I301">
        <v>0.1</v>
      </c>
      <c r="J301">
        <v>12.4</v>
      </c>
      <c r="K301" s="64">
        <f t="shared" si="20"/>
        <v>0.47777777777777775</v>
      </c>
      <c r="L301" s="64">
        <f t="shared" si="21"/>
        <v>2.7762515723270442</v>
      </c>
      <c r="M301" s="66"/>
      <c r="N301" s="66"/>
      <c r="O301" s="66"/>
      <c r="X301" s="20">
        <f t="shared" si="22"/>
        <v>67.3</v>
      </c>
      <c r="Y301" s="20">
        <f t="shared" si="23"/>
        <v>0.30000000000000004</v>
      </c>
      <c r="Z301" s="20">
        <f t="shared" si="24"/>
        <v>224.33333333333329</v>
      </c>
    </row>
    <row r="302" spans="1:26" ht="14.25" customHeight="1" x14ac:dyDescent="0.3">
      <c r="B302" t="s">
        <v>473</v>
      </c>
      <c r="C302">
        <v>2.1</v>
      </c>
      <c r="D302">
        <v>8.6</v>
      </c>
      <c r="E302">
        <v>0.1</v>
      </c>
      <c r="F302">
        <v>7.9</v>
      </c>
      <c r="G302">
        <v>58.7</v>
      </c>
      <c r="H302">
        <v>0.2</v>
      </c>
      <c r="I302">
        <v>0.1</v>
      </c>
      <c r="J302">
        <v>12.4</v>
      </c>
      <c r="K302" s="64">
        <f t="shared" si="20"/>
        <v>0.47777777777777775</v>
      </c>
      <c r="L302" s="64">
        <f t="shared" si="21"/>
        <v>2.7762515723270442</v>
      </c>
      <c r="M302" s="66"/>
      <c r="N302" s="66"/>
      <c r="O302" s="66"/>
      <c r="X302" s="20">
        <f t="shared" si="22"/>
        <v>67.3</v>
      </c>
      <c r="Y302" s="20">
        <f t="shared" si="23"/>
        <v>0.30000000000000004</v>
      </c>
      <c r="Z302" s="20">
        <f t="shared" si="24"/>
        <v>224.33333333333329</v>
      </c>
    </row>
    <row r="303" spans="1:26" ht="14.25" customHeight="1" x14ac:dyDescent="0.3">
      <c r="A303" t="s">
        <v>1559</v>
      </c>
      <c r="B303" t="s">
        <v>489</v>
      </c>
      <c r="C303">
        <v>8.8000000000000007</v>
      </c>
      <c r="D303">
        <v>36.5</v>
      </c>
      <c r="E303">
        <v>0.5</v>
      </c>
      <c r="F303">
        <v>4.4000000000000004</v>
      </c>
      <c r="G303">
        <v>30.5</v>
      </c>
      <c r="H303">
        <v>0</v>
      </c>
      <c r="I303">
        <v>0</v>
      </c>
      <c r="J303">
        <v>12</v>
      </c>
      <c r="K303" s="64">
        <f t="shared" si="20"/>
        <v>2.0277777777777781</v>
      </c>
      <c r="L303" s="64">
        <f t="shared" si="21"/>
        <v>1.4425157232704404</v>
      </c>
      <c r="M303" s="66">
        <f>C305*Scoring!$B$32+D305/Scoring!$C$32+E305*Scoring!$D$32+F305*Scoring!$E$32+G305/Scoring!$F$32+H305*Scoring!$G$32+I305*Scoring!$H$32+K305*Scoring!$I$32+RB!L305*Scoring!$J$32+U303</f>
        <v>1.05</v>
      </c>
      <c r="N303" s="66">
        <f>C303*Scoring!$B$32+D303/Scoring!$C$32+E303*Scoring!$D$32+F303*Scoring!$E$32+G303/Scoring!$F$32+H303*Scoring!$G$32+I303*Scoring!$H$32+K303*Scoring!$I$32+RB!L303*Scoring!$J$32+U303</f>
        <v>11.900000000000002</v>
      </c>
      <c r="O303" s="66">
        <f>C304*Scoring!$B$32+D304/Scoring!$C$32+E304*Scoring!$D$32+F304*Scoring!$E$32+G304/Scoring!$F$32+H304*Scoring!$G$32+I304*Scoring!$H$32+K304*Scoring!$I$32+L304*Scoring!$J$32+U303</f>
        <v>22.700000000000003</v>
      </c>
      <c r="P303" s="20">
        <f>IF(COUNTIF(Rookies!$A:$A,A303)&gt;0,1,0)</f>
        <v>0</v>
      </c>
      <c r="S303" s="20">
        <f>V303/17</f>
        <v>0.70000000000000018</v>
      </c>
      <c r="T303" s="20">
        <f>IF(P303=1,MAX(0,0.258*(14.9-S303)),0)</f>
        <v>0</v>
      </c>
      <c r="U303" s="20">
        <f>T303*17</f>
        <v>0</v>
      </c>
      <c r="V303" s="20">
        <f>C303*Scoring!$B$32+D303/Scoring!$C$32+E303*Scoring!$D$32+F303*Scoring!$E$32+G303/Scoring!$F$32+H303*Scoring!$G$32+I303*Scoring!$H$32+K303*Scoring!$I$32+RB!L303*Scoring!$J$32</f>
        <v>11.900000000000002</v>
      </c>
      <c r="X303" s="20">
        <f t="shared" si="22"/>
        <v>67</v>
      </c>
      <c r="Y303" s="20">
        <f t="shared" si="23"/>
        <v>0.5</v>
      </c>
      <c r="Z303" s="20">
        <f t="shared" si="24"/>
        <v>134</v>
      </c>
    </row>
    <row r="304" spans="1:26" ht="14.25" customHeight="1" x14ac:dyDescent="0.3">
      <c r="B304" t="s">
        <v>472</v>
      </c>
      <c r="C304">
        <v>17</v>
      </c>
      <c r="D304">
        <v>71</v>
      </c>
      <c r="E304">
        <v>1</v>
      </c>
      <c r="F304">
        <v>8</v>
      </c>
      <c r="G304">
        <v>56</v>
      </c>
      <c r="H304">
        <v>0</v>
      </c>
      <c r="I304">
        <v>0</v>
      </c>
      <c r="J304">
        <v>13.2</v>
      </c>
      <c r="K304" s="64">
        <f t="shared" si="20"/>
        <v>3.9444444444444446</v>
      </c>
      <c r="L304" s="64">
        <f t="shared" si="21"/>
        <v>2.6485534591194968</v>
      </c>
      <c r="M304" s="66"/>
      <c r="N304" s="66"/>
      <c r="O304" s="66"/>
      <c r="X304" s="20">
        <f t="shared" si="22"/>
        <v>127</v>
      </c>
      <c r="Y304" s="20">
        <f t="shared" si="23"/>
        <v>1</v>
      </c>
      <c r="Z304" s="20">
        <f t="shared" si="24"/>
        <v>127</v>
      </c>
    </row>
    <row r="305" spans="1:26" ht="14.25" customHeight="1" x14ac:dyDescent="0.3">
      <c r="B305" t="s">
        <v>473</v>
      </c>
      <c r="C305">
        <v>0.5</v>
      </c>
      <c r="D305">
        <v>2</v>
      </c>
      <c r="E305">
        <v>0</v>
      </c>
      <c r="F305">
        <v>0.7</v>
      </c>
      <c r="G305">
        <v>5</v>
      </c>
      <c r="H305">
        <v>0</v>
      </c>
      <c r="I305">
        <v>0</v>
      </c>
      <c r="J305">
        <v>3.1</v>
      </c>
      <c r="K305" s="64">
        <f t="shared" si="20"/>
        <v>0.1111111111111111</v>
      </c>
      <c r="L305" s="64">
        <f t="shared" si="21"/>
        <v>0.23647798742138362</v>
      </c>
      <c r="M305" s="66"/>
      <c r="N305" s="66"/>
      <c r="O305" s="66"/>
      <c r="X305" s="20">
        <f t="shared" si="22"/>
        <v>7</v>
      </c>
      <c r="Y305" s="20">
        <f t="shared" si="23"/>
        <v>0</v>
      </c>
      <c r="Z305" s="20" t="e">
        <f t="shared" si="24"/>
        <v>#DIV/0!</v>
      </c>
    </row>
    <row r="306" spans="1:26" ht="14.25" customHeight="1" x14ac:dyDescent="0.3">
      <c r="A306" t="s">
        <v>688</v>
      </c>
      <c r="B306" t="s">
        <v>487</v>
      </c>
      <c r="C306">
        <v>12.5</v>
      </c>
      <c r="D306">
        <v>61</v>
      </c>
      <c r="E306">
        <v>0.5</v>
      </c>
      <c r="F306">
        <v>1.5</v>
      </c>
      <c r="G306">
        <v>14.5</v>
      </c>
      <c r="H306">
        <v>0</v>
      </c>
      <c r="I306">
        <v>0</v>
      </c>
      <c r="J306">
        <v>11.3</v>
      </c>
      <c r="K306" s="64">
        <f t="shared" si="20"/>
        <v>3.3888888888888884</v>
      </c>
      <c r="L306" s="64">
        <f t="shared" si="21"/>
        <v>0.6857861635220126</v>
      </c>
      <c r="M306" s="66">
        <f>C308*Scoring!$B$32+D308/Scoring!$C$32+E308*Scoring!$D$32+F308*Scoring!$E$32+G308/Scoring!$F$32+H308*Scoring!$G$32+I308*Scoring!$H$32+K308*Scoring!$I$32+RB!L308*Scoring!$J$32+U306</f>
        <v>0</v>
      </c>
      <c r="N306" s="66">
        <f>C306*Scoring!$B$32+D306/Scoring!$C$32+E306*Scoring!$D$32+F306*Scoring!$E$32+G306/Scoring!$F$32+H306*Scoring!$G$32+I306*Scoring!$H$32+K306*Scoring!$I$32+RB!L306*Scoring!$J$32+U306</f>
        <v>11.299999999999999</v>
      </c>
      <c r="O306" s="66">
        <f>C307*Scoring!$B$32+D307/Scoring!$C$32+E307*Scoring!$D$32+F307*Scoring!$E$32+G307/Scoring!$F$32+H307*Scoring!$G$32+I307*Scoring!$H$32+K307*Scoring!$I$32+L307*Scoring!$J$32+U306</f>
        <v>22.599999999999998</v>
      </c>
      <c r="P306" s="20">
        <f>IF(COUNTIF(Rookies!$A:$A,A306)&gt;0,1,0)</f>
        <v>0</v>
      </c>
      <c r="S306" s="20">
        <f>V306/17</f>
        <v>0.66470588235294115</v>
      </c>
      <c r="T306" s="20">
        <f>IF(P306=1,MAX(0,0.258*(14.9-S306)),0)</f>
        <v>0</v>
      </c>
      <c r="U306" s="20">
        <f>T306*17</f>
        <v>0</v>
      </c>
      <c r="V306" s="20">
        <f>C306*Scoring!$B$32+D306/Scoring!$C$32+E306*Scoring!$D$32+F306*Scoring!$E$32+G306/Scoring!$F$32+H306*Scoring!$G$32+I306*Scoring!$H$32+K306*Scoring!$I$32+RB!L306*Scoring!$J$32</f>
        <v>11.299999999999999</v>
      </c>
      <c r="X306" s="20">
        <f t="shared" si="22"/>
        <v>75.5</v>
      </c>
      <c r="Y306" s="20">
        <f t="shared" si="23"/>
        <v>0.5</v>
      </c>
      <c r="Z306" s="20">
        <f t="shared" si="24"/>
        <v>151</v>
      </c>
    </row>
    <row r="307" spans="1:26" ht="14.25" customHeight="1" x14ac:dyDescent="0.3">
      <c r="B307" t="s">
        <v>472</v>
      </c>
      <c r="C307">
        <v>25</v>
      </c>
      <c r="D307">
        <v>122</v>
      </c>
      <c r="E307">
        <v>1</v>
      </c>
      <c r="F307">
        <v>3</v>
      </c>
      <c r="G307">
        <v>29</v>
      </c>
      <c r="H307">
        <v>0</v>
      </c>
      <c r="I307">
        <v>0</v>
      </c>
      <c r="J307">
        <v>10.8</v>
      </c>
      <c r="K307" s="64">
        <f t="shared" si="20"/>
        <v>6.7777777777777768</v>
      </c>
      <c r="L307" s="64">
        <f t="shared" si="21"/>
        <v>1.3715723270440252</v>
      </c>
      <c r="M307" s="66"/>
      <c r="N307" s="66"/>
      <c r="O307" s="66"/>
      <c r="X307" s="20">
        <f t="shared" si="22"/>
        <v>151</v>
      </c>
      <c r="Y307" s="20">
        <f t="shared" si="23"/>
        <v>1</v>
      </c>
      <c r="Z307" s="20">
        <f t="shared" si="24"/>
        <v>151</v>
      </c>
    </row>
    <row r="308" spans="1:26" ht="14.25" customHeight="1" x14ac:dyDescent="0.3">
      <c r="B308" t="s">
        <v>473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0.8</v>
      </c>
      <c r="K308" s="64">
        <f t="shared" si="20"/>
        <v>0</v>
      </c>
      <c r="L308" s="64">
        <f t="shared" si="21"/>
        <v>0</v>
      </c>
      <c r="M308" s="66"/>
      <c r="N308" s="66"/>
      <c r="O308" s="66"/>
      <c r="X308" s="20">
        <f t="shared" si="22"/>
        <v>0</v>
      </c>
      <c r="Y308" s="20">
        <f t="shared" si="23"/>
        <v>0</v>
      </c>
      <c r="Z308" s="20" t="e">
        <f t="shared" si="24"/>
        <v>#DIV/0!</v>
      </c>
    </row>
    <row r="309" spans="1:26" ht="14.25" customHeight="1" x14ac:dyDescent="0.3">
      <c r="A309" t="s">
        <v>700</v>
      </c>
      <c r="B309" t="s">
        <v>485</v>
      </c>
      <c r="C309">
        <v>17.5</v>
      </c>
      <c r="D309">
        <v>65</v>
      </c>
      <c r="E309">
        <v>0.5</v>
      </c>
      <c r="F309">
        <v>0.5</v>
      </c>
      <c r="G309">
        <v>5</v>
      </c>
      <c r="H309">
        <v>0</v>
      </c>
      <c r="I309">
        <v>0</v>
      </c>
      <c r="J309">
        <v>10.3</v>
      </c>
      <c r="K309" s="64">
        <f t="shared" si="20"/>
        <v>3.6111111111111116</v>
      </c>
      <c r="L309" s="64">
        <f t="shared" si="21"/>
        <v>0.23647798742138365</v>
      </c>
      <c r="M309" s="66">
        <f>C311*Scoring!$B$32+D311/Scoring!$C$32+E311*Scoring!$D$32+F311*Scoring!$E$32+G311/Scoring!$F$32+H311*Scoring!$G$32+I311*Scoring!$H$32+K311*Scoring!$I$32+RB!L311*Scoring!$J$32+U309</f>
        <v>0</v>
      </c>
      <c r="N309" s="66">
        <f>C309*Scoring!$B$32+D309/Scoring!$C$32+E309*Scoring!$D$32+F309*Scoring!$E$32+G309/Scoring!$F$32+H309*Scoring!$G$32+I309*Scoring!$H$32+K309*Scoring!$I$32+RB!L309*Scoring!$J$32+U309</f>
        <v>10.25</v>
      </c>
      <c r="O309" s="66">
        <f>C310*Scoring!$B$32+D310/Scoring!$C$32+E310*Scoring!$D$32+F310*Scoring!$E$32+G310/Scoring!$F$32+H310*Scoring!$G$32+I310*Scoring!$H$32+K310*Scoring!$I$32+L310*Scoring!$J$32+U309</f>
        <v>20.5</v>
      </c>
      <c r="P309" s="20">
        <f>IF(COUNTIF(Rookies!$A:$A,A309)&gt;0,1,0)</f>
        <v>0</v>
      </c>
      <c r="S309" s="20">
        <f>V309/17</f>
        <v>0.6029411764705882</v>
      </c>
      <c r="T309" s="20">
        <f>IF(P309=1,MAX(0,0.258*(14.9-S309)),0)</f>
        <v>0</v>
      </c>
      <c r="U309" s="20">
        <f>T309*17</f>
        <v>0</v>
      </c>
      <c r="V309" s="20">
        <f>C309*Scoring!$B$32+D309/Scoring!$C$32+E309*Scoring!$D$32+F309*Scoring!$E$32+G309/Scoring!$F$32+H309*Scoring!$G$32+I309*Scoring!$H$32+K309*Scoring!$I$32+RB!L309*Scoring!$J$32</f>
        <v>10.25</v>
      </c>
      <c r="X309" s="20">
        <f t="shared" si="22"/>
        <v>70</v>
      </c>
      <c r="Y309" s="20">
        <f t="shared" si="23"/>
        <v>0.5</v>
      </c>
      <c r="Z309" s="20">
        <f t="shared" si="24"/>
        <v>140</v>
      </c>
    </row>
    <row r="310" spans="1:26" ht="14.25" customHeight="1" x14ac:dyDescent="0.3">
      <c r="B310" t="s">
        <v>472</v>
      </c>
      <c r="C310">
        <v>35</v>
      </c>
      <c r="D310">
        <v>130</v>
      </c>
      <c r="E310">
        <v>1</v>
      </c>
      <c r="F310">
        <v>1</v>
      </c>
      <c r="G310">
        <v>10</v>
      </c>
      <c r="H310">
        <v>0</v>
      </c>
      <c r="I310">
        <v>0</v>
      </c>
      <c r="J310">
        <v>11.3</v>
      </c>
      <c r="K310" s="64">
        <f t="shared" si="20"/>
        <v>7.2222222222222232</v>
      </c>
      <c r="L310" s="64">
        <f t="shared" si="21"/>
        <v>0.4729559748427673</v>
      </c>
      <c r="M310" s="66"/>
      <c r="N310" s="66"/>
      <c r="O310" s="66"/>
      <c r="X310" s="20">
        <f t="shared" si="22"/>
        <v>140</v>
      </c>
      <c r="Y310" s="20">
        <f t="shared" si="23"/>
        <v>1</v>
      </c>
      <c r="Z310" s="20">
        <f t="shared" si="24"/>
        <v>140</v>
      </c>
    </row>
    <row r="311" spans="1:26" ht="14.25" customHeight="1" x14ac:dyDescent="0.3">
      <c r="B311" t="s">
        <v>473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0.3</v>
      </c>
      <c r="K311" s="64">
        <f t="shared" si="20"/>
        <v>0</v>
      </c>
      <c r="L311" s="64">
        <f t="shared" si="21"/>
        <v>0</v>
      </c>
      <c r="M311" s="66"/>
      <c r="N311" s="66"/>
      <c r="O311" s="66"/>
      <c r="X311" s="20">
        <f t="shared" si="22"/>
        <v>0</v>
      </c>
      <c r="Y311" s="20">
        <f t="shared" si="23"/>
        <v>0</v>
      </c>
      <c r="Z311" s="20" t="e">
        <f t="shared" si="24"/>
        <v>#DIV/0!</v>
      </c>
    </row>
    <row r="312" spans="1:26" ht="14.25" customHeight="1" x14ac:dyDescent="0.3">
      <c r="A312" t="s">
        <v>703</v>
      </c>
      <c r="B312" t="s">
        <v>523</v>
      </c>
      <c r="C312">
        <v>15.5</v>
      </c>
      <c r="D312">
        <v>66</v>
      </c>
      <c r="E312">
        <v>0.5</v>
      </c>
      <c r="F312">
        <v>0</v>
      </c>
      <c r="G312">
        <v>2</v>
      </c>
      <c r="H312">
        <v>0</v>
      </c>
      <c r="I312">
        <v>0</v>
      </c>
      <c r="J312">
        <v>9.8000000000000007</v>
      </c>
      <c r="K312" s="64">
        <f t="shared" si="20"/>
        <v>3.6666666666666665</v>
      </c>
      <c r="L312" s="64">
        <f t="shared" si="21"/>
        <v>0</v>
      </c>
      <c r="M312" s="66">
        <f>C314*Scoring!$B$32+D314/Scoring!$C$32+E314*Scoring!$D$32+F314*Scoring!$E$32+G314/Scoring!$F$32+H314*Scoring!$G$32+I314*Scoring!$H$32+K314*Scoring!$I$32+RB!L314*Scoring!$J$32+U312</f>
        <v>0</v>
      </c>
      <c r="N312" s="66">
        <f>C312*Scoring!$B$32+D312/Scoring!$C$32+E312*Scoring!$D$32+F312*Scoring!$E$32+G312/Scoring!$F$32+H312*Scoring!$G$32+I312*Scoring!$H$32+K312*Scoring!$I$32+RB!L312*Scoring!$J$32+U312</f>
        <v>9.7999999999999989</v>
      </c>
      <c r="O312" s="66">
        <f>C313*Scoring!$B$32+D313/Scoring!$C$32+E313*Scoring!$D$32+F313*Scoring!$E$32+G313/Scoring!$F$32+H313*Scoring!$G$32+I313*Scoring!$H$32+K313*Scoring!$I$32+L313*Scoring!$J$32+U312</f>
        <v>19.599999999999998</v>
      </c>
      <c r="P312" s="20">
        <f>IF(COUNTIF(Rookies!$A:$A,A312)&gt;0,1,0)</f>
        <v>0</v>
      </c>
      <c r="S312" s="20">
        <f>V312/17</f>
        <v>0.57647058823529407</v>
      </c>
      <c r="T312" s="20">
        <f>IF(P312=1,MAX(0,0.258*(14.9-S312)),0)</f>
        <v>0</v>
      </c>
      <c r="U312" s="20">
        <f>T312*17</f>
        <v>0</v>
      </c>
      <c r="V312" s="20">
        <f>C312*Scoring!$B$32+D312/Scoring!$C$32+E312*Scoring!$D$32+F312*Scoring!$E$32+G312/Scoring!$F$32+H312*Scoring!$G$32+I312*Scoring!$H$32+K312*Scoring!$I$32+RB!L312*Scoring!$J$32</f>
        <v>9.7999999999999989</v>
      </c>
      <c r="X312" s="20">
        <f t="shared" si="22"/>
        <v>68</v>
      </c>
      <c r="Y312" s="20">
        <f t="shared" si="23"/>
        <v>0.5</v>
      </c>
      <c r="Z312" s="20">
        <f t="shared" si="24"/>
        <v>136</v>
      </c>
    </row>
    <row r="313" spans="1:26" ht="14.25" customHeight="1" x14ac:dyDescent="0.3">
      <c r="B313" t="s">
        <v>472</v>
      </c>
      <c r="C313">
        <v>31</v>
      </c>
      <c r="D313">
        <v>132</v>
      </c>
      <c r="E313">
        <v>1</v>
      </c>
      <c r="F313">
        <v>0</v>
      </c>
      <c r="G313">
        <v>4</v>
      </c>
      <c r="H313">
        <v>0</v>
      </c>
      <c r="I313">
        <v>0</v>
      </c>
      <c r="J313">
        <v>11</v>
      </c>
      <c r="K313" s="64">
        <f t="shared" si="20"/>
        <v>7.333333333333333</v>
      </c>
      <c r="L313" s="64">
        <f t="shared" si="21"/>
        <v>0</v>
      </c>
      <c r="M313" s="66"/>
      <c r="N313" s="66"/>
      <c r="O313" s="66"/>
      <c r="X313" s="20">
        <f t="shared" si="22"/>
        <v>136</v>
      </c>
      <c r="Y313" s="20">
        <f t="shared" si="23"/>
        <v>1</v>
      </c>
      <c r="Z313" s="20">
        <f t="shared" si="24"/>
        <v>136</v>
      </c>
    </row>
    <row r="314" spans="1:26" ht="14.25" customHeight="1" x14ac:dyDescent="0.3">
      <c r="B314" t="s">
        <v>473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2.2999999999999998</v>
      </c>
      <c r="K314" s="64">
        <f t="shared" si="20"/>
        <v>0</v>
      </c>
      <c r="L314" s="64">
        <f t="shared" si="21"/>
        <v>0</v>
      </c>
      <c r="M314" s="66"/>
      <c r="N314" s="66"/>
      <c r="O314" s="66"/>
      <c r="X314" s="20">
        <f t="shared" si="22"/>
        <v>0</v>
      </c>
      <c r="Y314" s="20">
        <f t="shared" si="23"/>
        <v>0</v>
      </c>
      <c r="Z314" s="20" t="e">
        <f t="shared" si="24"/>
        <v>#DIV/0!</v>
      </c>
    </row>
    <row r="315" spans="1:26" ht="14.25" customHeight="1" x14ac:dyDescent="0.3">
      <c r="A315" t="s">
        <v>705</v>
      </c>
      <c r="B315" t="s">
        <v>527</v>
      </c>
      <c r="C315">
        <v>13</v>
      </c>
      <c r="D315">
        <v>43</v>
      </c>
      <c r="E315">
        <v>0.5</v>
      </c>
      <c r="F315">
        <v>1.5</v>
      </c>
      <c r="G315">
        <v>10</v>
      </c>
      <c r="H315">
        <v>0</v>
      </c>
      <c r="I315">
        <v>0</v>
      </c>
      <c r="J315">
        <v>9.1</v>
      </c>
      <c r="K315" s="64">
        <f t="shared" si="20"/>
        <v>2.3888888888888888</v>
      </c>
      <c r="L315" s="64">
        <f t="shared" si="21"/>
        <v>0.4729559748427673</v>
      </c>
      <c r="M315" s="66">
        <f>C317*Scoring!$B$32+D317/Scoring!$C$32+E317*Scoring!$D$32+F317*Scoring!$E$32+G317/Scoring!$F$32+H317*Scoring!$G$32+I317*Scoring!$H$32+K317*Scoring!$I$32+RB!L317*Scoring!$J$32+U315</f>
        <v>0</v>
      </c>
      <c r="N315" s="66">
        <f>C315*Scoring!$B$32+D315/Scoring!$C$32+E315*Scoring!$D$32+F315*Scoring!$E$32+G315/Scoring!$F$32+H315*Scoring!$G$32+I315*Scoring!$H$32+K315*Scoring!$I$32+RB!L315*Scoring!$J$32+U315</f>
        <v>9.0500000000000007</v>
      </c>
      <c r="O315" s="66">
        <f>C316*Scoring!$B$32+D316/Scoring!$C$32+E316*Scoring!$D$32+F316*Scoring!$E$32+G316/Scoring!$F$32+H316*Scoring!$G$32+I316*Scoring!$H$32+K316*Scoring!$I$32+L316*Scoring!$J$32+U315</f>
        <v>18.100000000000001</v>
      </c>
      <c r="P315" s="20">
        <f>IF(COUNTIF(Rookies!$A:$A,A315)&gt;0,1,0)</f>
        <v>0</v>
      </c>
      <c r="S315" s="20">
        <f>V315/17</f>
        <v>0.53235294117647058</v>
      </c>
      <c r="T315" s="20">
        <f>IF(P315=1,MAX(0,0.258*(14.9-S315)),0)</f>
        <v>0</v>
      </c>
      <c r="U315" s="20">
        <f>T315*17</f>
        <v>0</v>
      </c>
      <c r="V315" s="20">
        <f>C315*Scoring!$B$32+D315/Scoring!$C$32+E315*Scoring!$D$32+F315*Scoring!$E$32+G315/Scoring!$F$32+H315*Scoring!$G$32+I315*Scoring!$H$32+K315*Scoring!$I$32+RB!L315*Scoring!$J$32</f>
        <v>9.0500000000000007</v>
      </c>
      <c r="X315" s="20">
        <f t="shared" si="22"/>
        <v>53</v>
      </c>
      <c r="Y315" s="20">
        <f t="shared" si="23"/>
        <v>0.5</v>
      </c>
      <c r="Z315" s="20">
        <f t="shared" si="24"/>
        <v>106</v>
      </c>
    </row>
    <row r="316" spans="1:26" ht="14.25" customHeight="1" x14ac:dyDescent="0.3">
      <c r="B316" t="s">
        <v>472</v>
      </c>
      <c r="C316">
        <v>26</v>
      </c>
      <c r="D316">
        <v>86</v>
      </c>
      <c r="E316">
        <v>1</v>
      </c>
      <c r="F316">
        <v>3</v>
      </c>
      <c r="G316">
        <v>20</v>
      </c>
      <c r="H316">
        <v>0</v>
      </c>
      <c r="I316">
        <v>0</v>
      </c>
      <c r="J316">
        <v>11.8</v>
      </c>
      <c r="K316" s="64">
        <f t="shared" si="20"/>
        <v>4.7777777777777777</v>
      </c>
      <c r="L316" s="64">
        <f t="shared" si="21"/>
        <v>0.9459119496855346</v>
      </c>
      <c r="M316" s="66"/>
      <c r="N316" s="66"/>
      <c r="O316" s="66"/>
      <c r="X316" s="20">
        <f t="shared" si="22"/>
        <v>106</v>
      </c>
      <c r="Y316" s="20">
        <f t="shared" si="23"/>
        <v>1</v>
      </c>
      <c r="Z316" s="20">
        <f t="shared" si="24"/>
        <v>106</v>
      </c>
    </row>
    <row r="317" spans="1:26" ht="14.25" customHeight="1" x14ac:dyDescent="0.3">
      <c r="B317" t="s">
        <v>473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1.6</v>
      </c>
      <c r="K317" s="64">
        <f t="shared" si="20"/>
        <v>0</v>
      </c>
      <c r="L317" s="64">
        <f t="shared" si="21"/>
        <v>0</v>
      </c>
      <c r="M317" s="66"/>
      <c r="N317" s="66"/>
      <c r="O317" s="66"/>
      <c r="X317" s="20">
        <f t="shared" si="22"/>
        <v>0</v>
      </c>
      <c r="Y317" s="20">
        <f t="shared" si="23"/>
        <v>0</v>
      </c>
      <c r="Z317" s="20" t="e">
        <f t="shared" si="24"/>
        <v>#DIV/0!</v>
      </c>
    </row>
    <row r="318" spans="1:26" ht="14.25" customHeight="1" x14ac:dyDescent="0.3">
      <c r="A318" t="s">
        <v>692</v>
      </c>
      <c r="B318" t="s">
        <v>499</v>
      </c>
      <c r="C318">
        <v>4.0999999999999996</v>
      </c>
      <c r="D318">
        <v>17.399999999999999</v>
      </c>
      <c r="E318">
        <v>0.1</v>
      </c>
      <c r="F318">
        <v>4.0999999999999996</v>
      </c>
      <c r="G318">
        <v>29.8</v>
      </c>
      <c r="H318">
        <v>0.2</v>
      </c>
      <c r="I318">
        <v>0</v>
      </c>
      <c r="J318">
        <v>8.4</v>
      </c>
      <c r="K318" s="64">
        <f t="shared" si="20"/>
        <v>0.96666666666666656</v>
      </c>
      <c r="L318" s="64">
        <f t="shared" si="21"/>
        <v>1.4094088050314466</v>
      </c>
      <c r="M318" s="66">
        <f>C320*Scoring!$B$32+D320/Scoring!$C$32+E320*Scoring!$D$32+F320*Scoring!$E$32+G320/Scoring!$F$32+H320*Scoring!$G$32+I320*Scoring!$H$32+K320*Scoring!$I$32+RB!L320*Scoring!$J$32+U318</f>
        <v>8.57</v>
      </c>
      <c r="N318" s="66">
        <f>C318*Scoring!$B$32+D318/Scoring!$C$32+E318*Scoring!$D$32+F318*Scoring!$E$32+G318/Scoring!$F$32+H318*Scoring!$G$32+I318*Scoring!$H$32+K318*Scoring!$I$32+RB!L318*Scoring!$J$32+U318</f>
        <v>8.57</v>
      </c>
      <c r="O318" s="66">
        <f>C319*Scoring!$B$32+D319/Scoring!$C$32+E319*Scoring!$D$32+F319*Scoring!$E$32+G319/Scoring!$F$32+H319*Scoring!$G$32+I319*Scoring!$H$32+K319*Scoring!$I$32+L319*Scoring!$J$32+U318</f>
        <v>8.57</v>
      </c>
      <c r="P318" s="20">
        <f>IF(COUNTIF(Rookies!$A:$A,A318)&gt;0,1,0)</f>
        <v>0</v>
      </c>
      <c r="S318" s="20">
        <f>V318/17</f>
        <v>0.50411764705882356</v>
      </c>
      <c r="T318" s="20">
        <f>IF(P318=1,MAX(0,0.258*(14.9-S318)),0)</f>
        <v>0</v>
      </c>
      <c r="U318" s="20">
        <f>T318*17</f>
        <v>0</v>
      </c>
      <c r="V318" s="20">
        <f>C318*Scoring!$B$32+D318/Scoring!$C$32+E318*Scoring!$D$32+F318*Scoring!$E$32+G318/Scoring!$F$32+H318*Scoring!$G$32+I318*Scoring!$H$32+K318*Scoring!$I$32+RB!L318*Scoring!$J$32</f>
        <v>8.57</v>
      </c>
      <c r="X318" s="20">
        <f t="shared" si="22"/>
        <v>47.2</v>
      </c>
      <c r="Y318" s="20">
        <f t="shared" si="23"/>
        <v>0.30000000000000004</v>
      </c>
      <c r="Z318" s="20">
        <f t="shared" si="24"/>
        <v>157.33333333333331</v>
      </c>
    </row>
    <row r="319" spans="1:26" ht="14.25" customHeight="1" x14ac:dyDescent="0.3">
      <c r="B319" t="s">
        <v>472</v>
      </c>
      <c r="C319">
        <v>4.0999999999999996</v>
      </c>
      <c r="D319">
        <v>17.399999999999999</v>
      </c>
      <c r="E319">
        <v>0.1</v>
      </c>
      <c r="F319">
        <v>4.0999999999999996</v>
      </c>
      <c r="G319">
        <v>29.8</v>
      </c>
      <c r="H319">
        <v>0.2</v>
      </c>
      <c r="I319">
        <v>0</v>
      </c>
      <c r="J319">
        <v>8.4</v>
      </c>
      <c r="K319" s="64">
        <f t="shared" si="20"/>
        <v>0.96666666666666656</v>
      </c>
      <c r="L319" s="64">
        <f t="shared" si="21"/>
        <v>1.4094088050314466</v>
      </c>
      <c r="M319" s="66"/>
      <c r="N319" s="66"/>
      <c r="O319" s="66"/>
      <c r="X319" s="20">
        <f t="shared" si="22"/>
        <v>47.2</v>
      </c>
      <c r="Y319" s="20">
        <f t="shared" si="23"/>
        <v>0.30000000000000004</v>
      </c>
      <c r="Z319" s="20">
        <f t="shared" si="24"/>
        <v>157.33333333333331</v>
      </c>
    </row>
    <row r="320" spans="1:26" ht="14.25" customHeight="1" x14ac:dyDescent="0.3">
      <c r="B320" t="s">
        <v>473</v>
      </c>
      <c r="C320">
        <v>4.0999999999999996</v>
      </c>
      <c r="D320">
        <v>17.399999999999999</v>
      </c>
      <c r="E320">
        <v>0.1</v>
      </c>
      <c r="F320">
        <v>4.0999999999999996</v>
      </c>
      <c r="G320">
        <v>29.8</v>
      </c>
      <c r="H320">
        <v>0.2</v>
      </c>
      <c r="I320">
        <v>0</v>
      </c>
      <c r="J320">
        <v>8.4</v>
      </c>
      <c r="K320" s="64">
        <f t="shared" si="20"/>
        <v>0.96666666666666656</v>
      </c>
      <c r="L320" s="64">
        <f t="shared" si="21"/>
        <v>1.4094088050314466</v>
      </c>
      <c r="M320" s="66"/>
      <c r="N320" s="66"/>
      <c r="O320" s="66"/>
      <c r="X320" s="20">
        <f t="shared" si="22"/>
        <v>47.2</v>
      </c>
      <c r="Y320" s="20">
        <f t="shared" si="23"/>
        <v>0.30000000000000004</v>
      </c>
      <c r="Z320" s="20">
        <f t="shared" si="24"/>
        <v>157.33333333333331</v>
      </c>
    </row>
    <row r="321" spans="1:26" ht="14.25" customHeight="1" x14ac:dyDescent="0.3">
      <c r="A321" t="s">
        <v>693</v>
      </c>
      <c r="B321" t="s">
        <v>531</v>
      </c>
      <c r="C321">
        <v>4.2</v>
      </c>
      <c r="D321">
        <v>17.399999999999999</v>
      </c>
      <c r="E321">
        <v>0.1</v>
      </c>
      <c r="F321">
        <v>4</v>
      </c>
      <c r="G321">
        <v>29</v>
      </c>
      <c r="H321">
        <v>0.2</v>
      </c>
      <c r="I321">
        <v>0</v>
      </c>
      <c r="J321">
        <v>8.1999999999999993</v>
      </c>
      <c r="K321" s="64">
        <f t="shared" si="20"/>
        <v>0.96666666666666656</v>
      </c>
      <c r="L321" s="64">
        <f t="shared" si="21"/>
        <v>1.3715723270440252</v>
      </c>
      <c r="M321" s="66">
        <f>C323*Scoring!$B$32+D323/Scoring!$C$32+E323*Scoring!$D$32+F323*Scoring!$E$32+G323/Scoring!$F$32+H323*Scoring!$G$32+I323*Scoring!$H$32+K323*Scoring!$I$32+RB!L323*Scoring!$J$32+U321</f>
        <v>8.4400000000000013</v>
      </c>
      <c r="N321" s="66">
        <f>C321*Scoring!$B$32+D321/Scoring!$C$32+E321*Scoring!$D$32+F321*Scoring!$E$32+G321/Scoring!$F$32+H321*Scoring!$G$32+I321*Scoring!$H$32+K321*Scoring!$I$32+RB!L321*Scoring!$J$32+U321</f>
        <v>8.4400000000000013</v>
      </c>
      <c r="O321" s="66">
        <f>C322*Scoring!$B$32+D322/Scoring!$C$32+E322*Scoring!$D$32+F322*Scoring!$E$32+G322/Scoring!$F$32+H322*Scoring!$G$32+I322*Scoring!$H$32+K322*Scoring!$I$32+L322*Scoring!$J$32+U321</f>
        <v>8.4400000000000013</v>
      </c>
      <c r="P321" s="20">
        <f>IF(COUNTIF(Rookies!$A:$A,A321)&gt;0,1,0)</f>
        <v>0</v>
      </c>
      <c r="S321" s="20">
        <f>V321/17</f>
        <v>0.49647058823529422</v>
      </c>
      <c r="T321" s="20">
        <f>IF(P321=1,MAX(0,0.258*(14.9-S321)),0)</f>
        <v>0</v>
      </c>
      <c r="U321" s="20">
        <f>T321*17</f>
        <v>0</v>
      </c>
      <c r="V321" s="20">
        <f>C321*Scoring!$B$32+D321/Scoring!$C$32+E321*Scoring!$D$32+F321*Scoring!$E$32+G321/Scoring!$F$32+H321*Scoring!$G$32+I321*Scoring!$H$32+K321*Scoring!$I$32+RB!L321*Scoring!$J$32</f>
        <v>8.4400000000000013</v>
      </c>
      <c r="X321" s="20">
        <f t="shared" si="22"/>
        <v>46.4</v>
      </c>
      <c r="Y321" s="20">
        <f t="shared" si="23"/>
        <v>0.30000000000000004</v>
      </c>
      <c r="Z321" s="20">
        <f t="shared" si="24"/>
        <v>154.66666666666663</v>
      </c>
    </row>
    <row r="322" spans="1:26" ht="14.25" customHeight="1" x14ac:dyDescent="0.3">
      <c r="B322" t="s">
        <v>472</v>
      </c>
      <c r="C322">
        <v>4.2</v>
      </c>
      <c r="D322">
        <v>17.399999999999999</v>
      </c>
      <c r="E322">
        <v>0.1</v>
      </c>
      <c r="F322">
        <v>4</v>
      </c>
      <c r="G322">
        <v>29</v>
      </c>
      <c r="H322">
        <v>0.2</v>
      </c>
      <c r="I322">
        <v>0</v>
      </c>
      <c r="J322">
        <v>8.3000000000000007</v>
      </c>
      <c r="K322" s="64">
        <f t="shared" si="20"/>
        <v>0.96666666666666656</v>
      </c>
      <c r="L322" s="64">
        <f t="shared" si="21"/>
        <v>1.3715723270440252</v>
      </c>
      <c r="M322" s="66"/>
      <c r="N322" s="66"/>
      <c r="O322" s="66"/>
      <c r="X322" s="20">
        <f t="shared" si="22"/>
        <v>46.4</v>
      </c>
      <c r="Y322" s="20">
        <f t="shared" si="23"/>
        <v>0.30000000000000004</v>
      </c>
      <c r="Z322" s="20">
        <f t="shared" si="24"/>
        <v>154.66666666666663</v>
      </c>
    </row>
    <row r="323" spans="1:26" ht="14.25" customHeight="1" x14ac:dyDescent="0.3">
      <c r="B323" t="s">
        <v>473</v>
      </c>
      <c r="C323">
        <v>4.2</v>
      </c>
      <c r="D323">
        <v>17.399999999999999</v>
      </c>
      <c r="E323">
        <v>0.1</v>
      </c>
      <c r="F323">
        <v>4</v>
      </c>
      <c r="G323">
        <v>29</v>
      </c>
      <c r="H323">
        <v>0.2</v>
      </c>
      <c r="I323">
        <v>0</v>
      </c>
      <c r="J323">
        <v>8.3000000000000007</v>
      </c>
      <c r="K323" s="64">
        <f t="shared" ref="K323:K386" si="25">IFERROR((D323/C323)/4.5*0.25*C323,0)</f>
        <v>0.96666666666666656</v>
      </c>
      <c r="L323" s="64">
        <f t="shared" ref="L323:L386" si="26">IFERROR((G323/F323)/7.95*0.376*F323,0)</f>
        <v>1.3715723270440252</v>
      </c>
      <c r="M323" s="66"/>
      <c r="N323" s="66"/>
      <c r="O323" s="66"/>
      <c r="X323" s="20">
        <f t="shared" si="22"/>
        <v>46.4</v>
      </c>
      <c r="Y323" s="20">
        <f t="shared" si="23"/>
        <v>0.30000000000000004</v>
      </c>
      <c r="Z323" s="20">
        <f t="shared" si="24"/>
        <v>154.66666666666663</v>
      </c>
    </row>
    <row r="324" spans="1:26" ht="14.25" customHeight="1" x14ac:dyDescent="0.3">
      <c r="A324" t="s">
        <v>694</v>
      </c>
      <c r="B324" t="s">
        <v>509</v>
      </c>
      <c r="C324">
        <v>2</v>
      </c>
      <c r="D324">
        <v>8.5</v>
      </c>
      <c r="E324">
        <v>0.1</v>
      </c>
      <c r="F324">
        <v>4.5</v>
      </c>
      <c r="G324">
        <v>29.5</v>
      </c>
      <c r="H324">
        <v>0.2</v>
      </c>
      <c r="I324">
        <v>0</v>
      </c>
      <c r="J324">
        <v>7.4</v>
      </c>
      <c r="K324" s="64">
        <f t="shared" si="25"/>
        <v>0.47222222222222221</v>
      </c>
      <c r="L324" s="64">
        <f t="shared" si="26"/>
        <v>1.3952201257861634</v>
      </c>
      <c r="M324" s="66">
        <f>C326*Scoring!$B$32+D326/Scoring!$C$32+E326*Scoring!$D$32+F326*Scoring!$E$32+G326/Scoring!$F$32+H326*Scoring!$G$32+I326*Scoring!$H$32+K326*Scoring!$I$32+RB!L326*Scoring!$J$32+U324</f>
        <v>71.176100000000005</v>
      </c>
      <c r="N324" s="66">
        <f>C324*Scoring!$B$32+D324/Scoring!$C$32+E324*Scoring!$D$32+F324*Scoring!$E$32+G324/Scoring!$F$32+H324*Scoring!$G$32+I324*Scoring!$H$32+K324*Scoring!$I$32+RB!L324*Scoring!$J$32+U324</f>
        <v>71.176100000000005</v>
      </c>
      <c r="O324" s="66">
        <f>C325*Scoring!$B$32+D325/Scoring!$C$32+E325*Scoring!$D$32+F325*Scoring!$E$32+G325/Scoring!$F$32+H325*Scoring!$G$32+I325*Scoring!$H$32+K325*Scoring!$I$32+L325*Scoring!$J$32+U324</f>
        <v>71.176100000000005</v>
      </c>
      <c r="P324" s="20">
        <f>IF(COUNTIF(Rookies!$A:$A,A324)&gt;0,1,0)</f>
        <v>1</v>
      </c>
      <c r="S324" s="20">
        <f>V324/17</f>
        <v>0.46176470588235297</v>
      </c>
      <c r="T324" s="20">
        <f>IF(P324=1,MAX(0,0.258*(14.9-S324)),0)</f>
        <v>3.7250647058823532</v>
      </c>
      <c r="U324" s="20">
        <f>T324*17</f>
        <v>63.326100000000004</v>
      </c>
      <c r="V324" s="20">
        <f>C324*Scoring!$B$32+D324/Scoring!$C$32+E324*Scoring!$D$32+F324*Scoring!$E$32+G324/Scoring!$F$32+H324*Scoring!$G$32+I324*Scoring!$H$32+K324*Scoring!$I$32+RB!L324*Scoring!$J$32</f>
        <v>7.8500000000000005</v>
      </c>
      <c r="X324" s="20">
        <f t="shared" ref="X324:X387" si="27">D324+G324</f>
        <v>38</v>
      </c>
      <c r="Y324" s="20">
        <f t="shared" ref="Y324:Y387" si="28">H324+E324</f>
        <v>0.30000000000000004</v>
      </c>
      <c r="Z324" s="20">
        <f t="shared" ref="Z324:Z387" si="29">X324/Y324</f>
        <v>126.66666666666664</v>
      </c>
    </row>
    <row r="325" spans="1:26" ht="14.25" customHeight="1" x14ac:dyDescent="0.3">
      <c r="B325" t="s">
        <v>472</v>
      </c>
      <c r="C325">
        <v>2</v>
      </c>
      <c r="D325">
        <v>8.5</v>
      </c>
      <c r="E325">
        <v>0.1</v>
      </c>
      <c r="F325">
        <v>4.5</v>
      </c>
      <c r="G325">
        <v>29.5</v>
      </c>
      <c r="H325">
        <v>0.2</v>
      </c>
      <c r="I325">
        <v>0</v>
      </c>
      <c r="J325">
        <v>7.4</v>
      </c>
      <c r="K325" s="64">
        <f t="shared" si="25"/>
        <v>0.47222222222222221</v>
      </c>
      <c r="L325" s="64">
        <f t="shared" si="26"/>
        <v>1.3952201257861634</v>
      </c>
      <c r="M325" s="66"/>
      <c r="N325" s="66"/>
      <c r="O325" s="66"/>
      <c r="X325" s="20">
        <f t="shared" si="27"/>
        <v>38</v>
      </c>
      <c r="Y325" s="20">
        <f t="shared" si="28"/>
        <v>0.30000000000000004</v>
      </c>
      <c r="Z325" s="20">
        <f t="shared" si="29"/>
        <v>126.66666666666664</v>
      </c>
    </row>
    <row r="326" spans="1:26" ht="14.25" customHeight="1" x14ac:dyDescent="0.3">
      <c r="B326" t="s">
        <v>473</v>
      </c>
      <c r="C326">
        <v>2</v>
      </c>
      <c r="D326">
        <v>8.5</v>
      </c>
      <c r="E326">
        <v>0.1</v>
      </c>
      <c r="F326">
        <v>4.5</v>
      </c>
      <c r="G326">
        <v>29.5</v>
      </c>
      <c r="H326">
        <v>0.2</v>
      </c>
      <c r="I326">
        <v>0</v>
      </c>
      <c r="J326">
        <v>7.4</v>
      </c>
      <c r="K326" s="64">
        <f t="shared" si="25"/>
        <v>0.47222222222222221</v>
      </c>
      <c r="L326" s="64">
        <f t="shared" si="26"/>
        <v>1.3952201257861634</v>
      </c>
      <c r="M326" s="66"/>
      <c r="N326" s="66"/>
      <c r="O326" s="66"/>
      <c r="X326" s="20">
        <f t="shared" si="27"/>
        <v>38</v>
      </c>
      <c r="Y326" s="20">
        <f t="shared" si="28"/>
        <v>0.30000000000000004</v>
      </c>
      <c r="Z326" s="20">
        <f t="shared" si="29"/>
        <v>126.66666666666664</v>
      </c>
    </row>
    <row r="327" spans="1:26" ht="14.25" customHeight="1" x14ac:dyDescent="0.3">
      <c r="A327" t="s">
        <v>698</v>
      </c>
      <c r="B327" t="s">
        <v>515</v>
      </c>
      <c r="C327">
        <v>7.8</v>
      </c>
      <c r="D327">
        <v>33.200000000000003</v>
      </c>
      <c r="E327">
        <v>0.3</v>
      </c>
      <c r="F327">
        <v>1.4</v>
      </c>
      <c r="G327">
        <v>10.3</v>
      </c>
      <c r="H327">
        <v>0.1</v>
      </c>
      <c r="I327">
        <v>0</v>
      </c>
      <c r="J327">
        <v>7.2</v>
      </c>
      <c r="K327" s="64">
        <f t="shared" si="25"/>
        <v>1.8444444444444448</v>
      </c>
      <c r="L327" s="64">
        <f t="shared" si="26"/>
        <v>0.48714465408805041</v>
      </c>
      <c r="M327" s="66">
        <f>C329*Scoring!$B$32+D329/Scoring!$C$32+E329*Scoring!$D$32+F329*Scoring!$E$32+G329/Scoring!$F$32+H329*Scoring!$G$32+I329*Scoring!$H$32+K329*Scoring!$I$32+RB!L329*Scoring!$J$32+U327</f>
        <v>7.4500000000000011</v>
      </c>
      <c r="N327" s="66">
        <f>C327*Scoring!$B$32+D327/Scoring!$C$32+E327*Scoring!$D$32+F327*Scoring!$E$32+G327/Scoring!$F$32+H327*Scoring!$G$32+I327*Scoring!$H$32+K327*Scoring!$I$32+RB!L327*Scoring!$J$32+U327</f>
        <v>7.4500000000000011</v>
      </c>
      <c r="O327" s="66">
        <f>C328*Scoring!$B$32+D328/Scoring!$C$32+E328*Scoring!$D$32+F328*Scoring!$E$32+G328/Scoring!$F$32+H328*Scoring!$G$32+I328*Scoring!$H$32+K328*Scoring!$I$32+L328*Scoring!$J$32+U327</f>
        <v>7.4500000000000011</v>
      </c>
      <c r="P327" s="20">
        <f>IF(COUNTIF(Rookies!$A:$A,A327)&gt;0,1,0)</f>
        <v>0</v>
      </c>
      <c r="S327" s="20">
        <f>V327/17</f>
        <v>0.43823529411764711</v>
      </c>
      <c r="T327" s="20">
        <f>IF(P327=1,MAX(0,0.258*(14.9-S327)),0)</f>
        <v>0</v>
      </c>
      <c r="U327" s="20">
        <f>T327*17</f>
        <v>0</v>
      </c>
      <c r="V327" s="20">
        <f>C327*Scoring!$B$32+D327/Scoring!$C$32+E327*Scoring!$D$32+F327*Scoring!$E$32+G327/Scoring!$F$32+H327*Scoring!$G$32+I327*Scoring!$H$32+K327*Scoring!$I$32+RB!L327*Scoring!$J$32</f>
        <v>7.4500000000000011</v>
      </c>
      <c r="X327" s="20">
        <f t="shared" si="27"/>
        <v>43.5</v>
      </c>
      <c r="Y327" s="20">
        <f t="shared" si="28"/>
        <v>0.4</v>
      </c>
      <c r="Z327" s="20">
        <f t="shared" si="29"/>
        <v>108.75</v>
      </c>
    </row>
    <row r="328" spans="1:26" ht="14.25" customHeight="1" x14ac:dyDescent="0.3">
      <c r="B328" t="s">
        <v>472</v>
      </c>
      <c r="C328">
        <v>7.8</v>
      </c>
      <c r="D328">
        <v>33.200000000000003</v>
      </c>
      <c r="E328">
        <v>0.3</v>
      </c>
      <c r="F328">
        <v>1.4</v>
      </c>
      <c r="G328">
        <v>10.3</v>
      </c>
      <c r="H328">
        <v>0.1</v>
      </c>
      <c r="I328">
        <v>0</v>
      </c>
      <c r="J328">
        <v>7.2</v>
      </c>
      <c r="K328" s="64">
        <f t="shared" si="25"/>
        <v>1.8444444444444448</v>
      </c>
      <c r="L328" s="64">
        <f t="shared" si="26"/>
        <v>0.48714465408805041</v>
      </c>
      <c r="M328" s="66"/>
      <c r="N328" s="66"/>
      <c r="O328" s="66"/>
      <c r="X328" s="20">
        <f t="shared" si="27"/>
        <v>43.5</v>
      </c>
      <c r="Y328" s="20">
        <f t="shared" si="28"/>
        <v>0.4</v>
      </c>
      <c r="Z328" s="20">
        <f t="shared" si="29"/>
        <v>108.75</v>
      </c>
    </row>
    <row r="329" spans="1:26" ht="14.25" customHeight="1" x14ac:dyDescent="0.3">
      <c r="B329" t="s">
        <v>473</v>
      </c>
      <c r="C329">
        <v>7.8</v>
      </c>
      <c r="D329">
        <v>33.200000000000003</v>
      </c>
      <c r="E329">
        <v>0.3</v>
      </c>
      <c r="F329">
        <v>1.4</v>
      </c>
      <c r="G329">
        <v>10.3</v>
      </c>
      <c r="H329">
        <v>0.1</v>
      </c>
      <c r="I329">
        <v>0</v>
      </c>
      <c r="J329">
        <v>7.2</v>
      </c>
      <c r="K329" s="64">
        <f t="shared" si="25"/>
        <v>1.8444444444444448</v>
      </c>
      <c r="L329" s="64">
        <f t="shared" si="26"/>
        <v>0.48714465408805041</v>
      </c>
      <c r="M329" s="66"/>
      <c r="N329" s="66"/>
      <c r="O329" s="66"/>
      <c r="X329" s="20">
        <f t="shared" si="27"/>
        <v>43.5</v>
      </c>
      <c r="Y329" s="20">
        <f t="shared" si="28"/>
        <v>0.4</v>
      </c>
      <c r="Z329" s="20">
        <f t="shared" si="29"/>
        <v>108.75</v>
      </c>
    </row>
    <row r="330" spans="1:26" ht="14.25" customHeight="1" x14ac:dyDescent="0.3">
      <c r="A330" t="s">
        <v>695</v>
      </c>
      <c r="B330" t="s">
        <v>529</v>
      </c>
      <c r="C330">
        <v>0</v>
      </c>
      <c r="D330">
        <v>0</v>
      </c>
      <c r="E330">
        <v>0</v>
      </c>
      <c r="F330">
        <v>4.3</v>
      </c>
      <c r="G330">
        <v>29.2</v>
      </c>
      <c r="H330">
        <v>0.2</v>
      </c>
      <c r="I330">
        <v>0</v>
      </c>
      <c r="J330">
        <v>6</v>
      </c>
      <c r="K330" s="64">
        <f t="shared" si="25"/>
        <v>0</v>
      </c>
      <c r="L330" s="64">
        <f t="shared" si="26"/>
        <v>1.3810314465408804</v>
      </c>
      <c r="M330" s="66">
        <f>C332*Scoring!$B$32+D332/Scoring!$C$32+E332*Scoring!$D$32+F332*Scoring!$E$32+G332/Scoring!$F$32+H332*Scoring!$G$32+I332*Scoring!$H$32+K332*Scoring!$I$32+RB!L332*Scoring!$J$32+U330</f>
        <v>70.003740000000008</v>
      </c>
      <c r="N330" s="66">
        <f>C330*Scoring!$B$32+D330/Scoring!$C$32+E330*Scoring!$D$32+F330*Scoring!$E$32+G330/Scoring!$F$32+H330*Scoring!$G$32+I330*Scoring!$H$32+K330*Scoring!$I$32+RB!L330*Scoring!$J$32+U330</f>
        <v>70.003740000000008</v>
      </c>
      <c r="O330" s="66">
        <f>C331*Scoring!$B$32+D331/Scoring!$C$32+E331*Scoring!$D$32+F331*Scoring!$E$32+G331/Scoring!$F$32+H331*Scoring!$G$32+I331*Scoring!$H$32+K331*Scoring!$I$32+L331*Scoring!$J$32+U330</f>
        <v>70.003740000000008</v>
      </c>
      <c r="P330" s="20">
        <f>IF(COUNTIF(Rookies!$A:$A,A330)&gt;0,1,0)</f>
        <v>1</v>
      </c>
      <c r="S330" s="20">
        <f>V330/17</f>
        <v>0.36882352941176472</v>
      </c>
      <c r="T330" s="20">
        <f>IF(P330=1,MAX(0,0.258*(14.9-S330)),0)</f>
        <v>3.749043529411765</v>
      </c>
      <c r="U330" s="20">
        <f>T330*17</f>
        <v>63.733740000000004</v>
      </c>
      <c r="V330" s="20">
        <f>C330*Scoring!$B$32+D330/Scoring!$C$32+E330*Scoring!$D$32+F330*Scoring!$E$32+G330/Scoring!$F$32+H330*Scoring!$G$32+I330*Scoring!$H$32+K330*Scoring!$I$32+RB!L330*Scoring!$J$32</f>
        <v>6.2700000000000005</v>
      </c>
      <c r="X330" s="20">
        <f t="shared" si="27"/>
        <v>29.2</v>
      </c>
      <c r="Y330" s="20">
        <f t="shared" si="28"/>
        <v>0.2</v>
      </c>
      <c r="Z330" s="20">
        <f t="shared" si="29"/>
        <v>146</v>
      </c>
    </row>
    <row r="331" spans="1:26" ht="14.25" customHeight="1" x14ac:dyDescent="0.3">
      <c r="B331" t="s">
        <v>472</v>
      </c>
      <c r="C331">
        <v>0</v>
      </c>
      <c r="D331">
        <v>0</v>
      </c>
      <c r="E331">
        <v>0</v>
      </c>
      <c r="F331">
        <v>4.3</v>
      </c>
      <c r="G331">
        <v>29.2</v>
      </c>
      <c r="H331">
        <v>0.2</v>
      </c>
      <c r="I331">
        <v>0</v>
      </c>
      <c r="J331">
        <v>6</v>
      </c>
      <c r="K331" s="64">
        <f t="shared" si="25"/>
        <v>0</v>
      </c>
      <c r="L331" s="64">
        <f t="shared" si="26"/>
        <v>1.3810314465408804</v>
      </c>
      <c r="M331" s="66"/>
      <c r="N331" s="66"/>
      <c r="O331" s="66"/>
      <c r="X331" s="20">
        <f t="shared" si="27"/>
        <v>29.2</v>
      </c>
      <c r="Y331" s="20">
        <f t="shared" si="28"/>
        <v>0.2</v>
      </c>
      <c r="Z331" s="20">
        <f t="shared" si="29"/>
        <v>146</v>
      </c>
    </row>
    <row r="332" spans="1:26" ht="14.25" customHeight="1" x14ac:dyDescent="0.3">
      <c r="B332" t="s">
        <v>473</v>
      </c>
      <c r="C332">
        <v>0</v>
      </c>
      <c r="D332">
        <v>0</v>
      </c>
      <c r="E332">
        <v>0</v>
      </c>
      <c r="F332">
        <v>4.3</v>
      </c>
      <c r="G332">
        <v>29.2</v>
      </c>
      <c r="H332">
        <v>0.2</v>
      </c>
      <c r="I332">
        <v>0</v>
      </c>
      <c r="J332">
        <v>6</v>
      </c>
      <c r="K332" s="64">
        <f t="shared" si="25"/>
        <v>0</v>
      </c>
      <c r="L332" s="64">
        <f t="shared" si="26"/>
        <v>1.3810314465408804</v>
      </c>
      <c r="M332" s="66"/>
      <c r="N332" s="66"/>
      <c r="O332" s="66"/>
      <c r="X332" s="20">
        <f t="shared" si="27"/>
        <v>29.2</v>
      </c>
      <c r="Y332" s="20">
        <f t="shared" si="28"/>
        <v>0.2</v>
      </c>
      <c r="Z332" s="20">
        <f t="shared" si="29"/>
        <v>146</v>
      </c>
    </row>
    <row r="333" spans="1:26" ht="14.25" customHeight="1" x14ac:dyDescent="0.3">
      <c r="A333" t="s">
        <v>696</v>
      </c>
      <c r="B333" t="s">
        <v>477</v>
      </c>
      <c r="C333">
        <v>0</v>
      </c>
      <c r="D333">
        <v>0</v>
      </c>
      <c r="E333">
        <v>0</v>
      </c>
      <c r="F333">
        <v>4.0999999999999996</v>
      </c>
      <c r="G333">
        <v>29.9</v>
      </c>
      <c r="H333">
        <v>0.2</v>
      </c>
      <c r="I333">
        <v>0</v>
      </c>
      <c r="J333">
        <v>5.9</v>
      </c>
      <c r="K333" s="64">
        <f t="shared" si="25"/>
        <v>0</v>
      </c>
      <c r="L333" s="64">
        <f t="shared" si="26"/>
        <v>1.4141383647798742</v>
      </c>
      <c r="M333" s="66">
        <f>C335*Scoring!$B$32+D335/Scoring!$C$32+E335*Scoring!$D$32+F335*Scoring!$E$32+G335/Scoring!$F$32+H335*Scoring!$G$32+I335*Scoring!$H$32+K335*Scoring!$I$32+RB!L335*Scoring!$J$32+U333</f>
        <v>6.2399999999999993</v>
      </c>
      <c r="N333" s="66">
        <f>C333*Scoring!$B$32+D333/Scoring!$C$32+E333*Scoring!$D$32+F333*Scoring!$E$32+G333/Scoring!$F$32+H333*Scoring!$G$32+I333*Scoring!$H$32+K333*Scoring!$I$32+RB!L333*Scoring!$J$32+U333</f>
        <v>6.2399999999999993</v>
      </c>
      <c r="O333" s="66">
        <f>C334*Scoring!$B$32+D334/Scoring!$C$32+E334*Scoring!$D$32+F334*Scoring!$E$32+G334/Scoring!$F$32+H334*Scoring!$G$32+I334*Scoring!$H$32+K334*Scoring!$I$32+L334*Scoring!$J$32+U333</f>
        <v>6.2399999999999993</v>
      </c>
      <c r="P333" s="20">
        <f>IF(COUNTIF(Rookies!$A:$A,A333)&gt;0,1,0)</f>
        <v>0</v>
      </c>
      <c r="S333" s="20">
        <f>V333/17</f>
        <v>0.36705882352941172</v>
      </c>
      <c r="T333" s="20">
        <f>IF(P333=1,MAX(0,0.258*(14.9-S333)),0)</f>
        <v>0</v>
      </c>
      <c r="U333" s="20">
        <f>T333*17</f>
        <v>0</v>
      </c>
      <c r="V333" s="20">
        <f>C333*Scoring!$B$32+D333/Scoring!$C$32+E333*Scoring!$D$32+F333*Scoring!$E$32+G333/Scoring!$F$32+H333*Scoring!$G$32+I333*Scoring!$H$32+K333*Scoring!$I$32+RB!L333*Scoring!$J$32</f>
        <v>6.2399999999999993</v>
      </c>
      <c r="X333" s="20">
        <f t="shared" si="27"/>
        <v>29.9</v>
      </c>
      <c r="Y333" s="20">
        <f t="shared" si="28"/>
        <v>0.2</v>
      </c>
      <c r="Z333" s="20">
        <f t="shared" si="29"/>
        <v>149.49999999999997</v>
      </c>
    </row>
    <row r="334" spans="1:26" ht="14.25" customHeight="1" x14ac:dyDescent="0.3">
      <c r="B334" t="s">
        <v>472</v>
      </c>
      <c r="C334">
        <v>0</v>
      </c>
      <c r="D334">
        <v>0</v>
      </c>
      <c r="E334">
        <v>0</v>
      </c>
      <c r="F334">
        <v>4.0999999999999996</v>
      </c>
      <c r="G334">
        <v>29.9</v>
      </c>
      <c r="H334">
        <v>0.2</v>
      </c>
      <c r="I334">
        <v>0</v>
      </c>
      <c r="J334">
        <v>5.9</v>
      </c>
      <c r="K334" s="64">
        <f t="shared" si="25"/>
        <v>0</v>
      </c>
      <c r="L334" s="64">
        <f t="shared" si="26"/>
        <v>1.4141383647798742</v>
      </c>
      <c r="M334" s="66"/>
      <c r="N334" s="66"/>
      <c r="O334" s="66"/>
      <c r="X334" s="20">
        <f t="shared" si="27"/>
        <v>29.9</v>
      </c>
      <c r="Y334" s="20">
        <f t="shared" si="28"/>
        <v>0.2</v>
      </c>
      <c r="Z334" s="20">
        <f t="shared" si="29"/>
        <v>149.49999999999997</v>
      </c>
    </row>
    <row r="335" spans="1:26" ht="14.25" customHeight="1" x14ac:dyDescent="0.3">
      <c r="B335" t="s">
        <v>473</v>
      </c>
      <c r="C335">
        <v>0</v>
      </c>
      <c r="D335">
        <v>0</v>
      </c>
      <c r="E335">
        <v>0</v>
      </c>
      <c r="F335">
        <v>4.0999999999999996</v>
      </c>
      <c r="G335">
        <v>29.9</v>
      </c>
      <c r="H335">
        <v>0.2</v>
      </c>
      <c r="I335">
        <v>0</v>
      </c>
      <c r="J335">
        <v>5.9</v>
      </c>
      <c r="K335" s="64">
        <f t="shared" si="25"/>
        <v>0</v>
      </c>
      <c r="L335" s="64">
        <f t="shared" si="26"/>
        <v>1.4141383647798742</v>
      </c>
      <c r="M335" s="66"/>
      <c r="N335" s="66"/>
      <c r="O335" s="66"/>
      <c r="X335" s="20">
        <f t="shared" si="27"/>
        <v>29.9</v>
      </c>
      <c r="Y335" s="20">
        <f t="shared" si="28"/>
        <v>0.2</v>
      </c>
      <c r="Z335" s="20">
        <f t="shared" si="29"/>
        <v>149.49999999999997</v>
      </c>
    </row>
    <row r="336" spans="1:26" ht="14.25" customHeight="1" x14ac:dyDescent="0.3">
      <c r="A336" t="s">
        <v>1213</v>
      </c>
      <c r="B336" t="s">
        <v>503</v>
      </c>
      <c r="C336">
        <v>6.9</v>
      </c>
      <c r="D336">
        <v>27.5</v>
      </c>
      <c r="E336">
        <v>0.2</v>
      </c>
      <c r="F336">
        <v>1.2</v>
      </c>
      <c r="G336">
        <v>8.6999999999999993</v>
      </c>
      <c r="H336">
        <v>0.1</v>
      </c>
      <c r="I336">
        <v>0</v>
      </c>
      <c r="J336">
        <v>5.7</v>
      </c>
      <c r="K336" s="64">
        <f t="shared" si="25"/>
        <v>1.5277777777777777</v>
      </c>
      <c r="L336" s="64">
        <f t="shared" si="26"/>
        <v>0.41147169811320755</v>
      </c>
      <c r="M336" s="66">
        <f>C338*Scoring!$B$32+D338/Scoring!$C$32+E338*Scoring!$D$32+F338*Scoring!$E$32+G338/Scoring!$F$32+H338*Scoring!$G$32+I338*Scoring!$H$32+K338*Scoring!$I$32+RB!L338*Scoring!$J$32+U336</f>
        <v>6.02</v>
      </c>
      <c r="N336" s="66">
        <f>C336*Scoring!$B$32+D336/Scoring!$C$32+E336*Scoring!$D$32+F336*Scoring!$E$32+G336/Scoring!$F$32+H336*Scoring!$G$32+I336*Scoring!$H$32+K336*Scoring!$I$32+RB!L336*Scoring!$J$32+U336</f>
        <v>6.02</v>
      </c>
      <c r="O336" s="66">
        <f>C337*Scoring!$B$32+D337/Scoring!$C$32+E337*Scoring!$D$32+F337*Scoring!$E$32+G337/Scoring!$F$32+H337*Scoring!$G$32+I337*Scoring!$H$32+K337*Scoring!$I$32+L337*Scoring!$J$32+U336</f>
        <v>6.02</v>
      </c>
      <c r="P336" s="20">
        <f>IF(COUNTIF(Rookies!$A:$A,A336)&gt;0,1,0)</f>
        <v>0</v>
      </c>
      <c r="S336" s="20">
        <f>V336/17</f>
        <v>0.35411764705882348</v>
      </c>
      <c r="T336" s="20">
        <f>IF(P336=1,MAX(0,0.258*(14.9-S336)),0)</f>
        <v>0</v>
      </c>
      <c r="U336" s="20">
        <f>T336*17</f>
        <v>0</v>
      </c>
      <c r="V336" s="20">
        <f>C336*Scoring!$B$32+D336/Scoring!$C$32+E336*Scoring!$D$32+F336*Scoring!$E$32+G336/Scoring!$F$32+H336*Scoring!$G$32+I336*Scoring!$H$32+K336*Scoring!$I$32+RB!L336*Scoring!$J$32</f>
        <v>6.02</v>
      </c>
      <c r="X336" s="20">
        <f t="shared" si="27"/>
        <v>36.200000000000003</v>
      </c>
      <c r="Y336" s="20">
        <f t="shared" si="28"/>
        <v>0.30000000000000004</v>
      </c>
      <c r="Z336" s="20">
        <f t="shared" si="29"/>
        <v>120.66666666666666</v>
      </c>
    </row>
    <row r="337" spans="1:26" ht="14.25" customHeight="1" x14ac:dyDescent="0.3">
      <c r="B337" t="s">
        <v>472</v>
      </c>
      <c r="C337">
        <v>6.9</v>
      </c>
      <c r="D337">
        <v>27.5</v>
      </c>
      <c r="E337">
        <v>0.2</v>
      </c>
      <c r="F337">
        <v>1.2</v>
      </c>
      <c r="G337">
        <v>8.6999999999999993</v>
      </c>
      <c r="H337">
        <v>0.1</v>
      </c>
      <c r="I337">
        <v>0</v>
      </c>
      <c r="J337">
        <v>6.4</v>
      </c>
      <c r="K337" s="64">
        <f t="shared" si="25"/>
        <v>1.5277777777777777</v>
      </c>
      <c r="L337" s="64">
        <f t="shared" si="26"/>
        <v>0.41147169811320755</v>
      </c>
      <c r="M337" s="66"/>
      <c r="N337" s="66"/>
      <c r="O337" s="66"/>
      <c r="X337" s="20">
        <f t="shared" si="27"/>
        <v>36.200000000000003</v>
      </c>
      <c r="Y337" s="20">
        <f t="shared" si="28"/>
        <v>0.30000000000000004</v>
      </c>
      <c r="Z337" s="20">
        <f t="shared" si="29"/>
        <v>120.66666666666666</v>
      </c>
    </row>
    <row r="338" spans="1:26" ht="14.25" customHeight="1" x14ac:dyDescent="0.3">
      <c r="B338" t="s">
        <v>473</v>
      </c>
      <c r="C338">
        <v>6.9</v>
      </c>
      <c r="D338">
        <v>27.5</v>
      </c>
      <c r="E338">
        <v>0.2</v>
      </c>
      <c r="F338">
        <v>1.2</v>
      </c>
      <c r="G338">
        <v>8.6999999999999993</v>
      </c>
      <c r="H338">
        <v>0.1</v>
      </c>
      <c r="I338">
        <v>0</v>
      </c>
      <c r="J338">
        <v>6.4</v>
      </c>
      <c r="K338" s="64">
        <f t="shared" si="25"/>
        <v>1.5277777777777777</v>
      </c>
      <c r="L338" s="64">
        <f t="shared" si="26"/>
        <v>0.41147169811320755</v>
      </c>
      <c r="M338" s="66"/>
      <c r="N338" s="66"/>
      <c r="O338" s="66"/>
      <c r="X338" s="20">
        <f t="shared" si="27"/>
        <v>36.200000000000003</v>
      </c>
      <c r="Y338" s="20">
        <f t="shared" si="28"/>
        <v>0.30000000000000004</v>
      </c>
      <c r="Z338" s="20">
        <f t="shared" si="29"/>
        <v>120.66666666666666</v>
      </c>
    </row>
    <row r="339" spans="1:26" ht="14.25" customHeight="1" x14ac:dyDescent="0.3">
      <c r="A339" t="s">
        <v>697</v>
      </c>
      <c r="B339" t="s">
        <v>485</v>
      </c>
      <c r="C339">
        <v>0</v>
      </c>
      <c r="D339">
        <v>0</v>
      </c>
      <c r="E339">
        <v>0</v>
      </c>
      <c r="F339">
        <v>3.9</v>
      </c>
      <c r="G339">
        <v>26.8</v>
      </c>
      <c r="H339">
        <v>0.1</v>
      </c>
      <c r="I339">
        <v>0</v>
      </c>
      <c r="J339">
        <v>5.4</v>
      </c>
      <c r="K339" s="64">
        <f t="shared" si="25"/>
        <v>0</v>
      </c>
      <c r="L339" s="64">
        <f t="shared" si="26"/>
        <v>1.2675220125786162</v>
      </c>
      <c r="M339" s="66">
        <f>C341*Scoring!$B$32+D341/Scoring!$C$32+E341*Scoring!$D$32+F341*Scoring!$E$32+G341/Scoring!$F$32+H341*Scoring!$G$32+I341*Scoring!$H$32+K341*Scoring!$I$32+RB!L341*Scoring!$J$32+U339</f>
        <v>5.23</v>
      </c>
      <c r="N339" s="66">
        <f>C339*Scoring!$B$32+D339/Scoring!$C$32+E339*Scoring!$D$32+F339*Scoring!$E$32+G339/Scoring!$F$32+H339*Scoring!$G$32+I339*Scoring!$H$32+K339*Scoring!$I$32+RB!L339*Scoring!$J$32+U339</f>
        <v>5.23</v>
      </c>
      <c r="O339" s="66">
        <f>C340*Scoring!$B$32+D340/Scoring!$C$32+E340*Scoring!$D$32+F340*Scoring!$E$32+G340/Scoring!$F$32+H340*Scoring!$G$32+I340*Scoring!$H$32+K340*Scoring!$I$32+L340*Scoring!$J$32+U339</f>
        <v>5.23</v>
      </c>
      <c r="P339" s="20">
        <f>IF(COUNTIF(Rookies!$A:$A,A339)&gt;0,1,0)</f>
        <v>0</v>
      </c>
      <c r="S339" s="20">
        <f>V339/17</f>
        <v>0.30764705882352944</v>
      </c>
      <c r="T339" s="20">
        <f>IF(P339=1,MAX(0,0.258*(14.9-S339)),0)</f>
        <v>0</v>
      </c>
      <c r="U339" s="20">
        <f>T339*17</f>
        <v>0</v>
      </c>
      <c r="V339" s="20">
        <f>C339*Scoring!$B$32+D339/Scoring!$C$32+E339*Scoring!$D$32+F339*Scoring!$E$32+G339/Scoring!$F$32+H339*Scoring!$G$32+I339*Scoring!$H$32+K339*Scoring!$I$32+RB!L339*Scoring!$J$32</f>
        <v>5.23</v>
      </c>
      <c r="X339" s="20">
        <f t="shared" si="27"/>
        <v>26.8</v>
      </c>
      <c r="Y339" s="20">
        <f t="shared" si="28"/>
        <v>0.1</v>
      </c>
      <c r="Z339" s="20">
        <f t="shared" si="29"/>
        <v>268</v>
      </c>
    </row>
    <row r="340" spans="1:26" ht="14.25" customHeight="1" x14ac:dyDescent="0.3">
      <c r="B340" t="s">
        <v>472</v>
      </c>
      <c r="C340">
        <v>0</v>
      </c>
      <c r="D340">
        <v>0</v>
      </c>
      <c r="E340">
        <v>0</v>
      </c>
      <c r="F340">
        <v>3.9</v>
      </c>
      <c r="G340">
        <v>26.8</v>
      </c>
      <c r="H340">
        <v>0.1</v>
      </c>
      <c r="I340">
        <v>0</v>
      </c>
      <c r="J340">
        <v>5.4</v>
      </c>
      <c r="K340" s="64">
        <f t="shared" si="25"/>
        <v>0</v>
      </c>
      <c r="L340" s="64">
        <f t="shared" si="26"/>
        <v>1.2675220125786162</v>
      </c>
      <c r="M340" s="66"/>
      <c r="N340" s="66"/>
      <c r="O340" s="66"/>
      <c r="X340" s="20">
        <f t="shared" si="27"/>
        <v>26.8</v>
      </c>
      <c r="Y340" s="20">
        <f t="shared" si="28"/>
        <v>0.1</v>
      </c>
      <c r="Z340" s="20">
        <f t="shared" si="29"/>
        <v>268</v>
      </c>
    </row>
    <row r="341" spans="1:26" ht="14.25" customHeight="1" x14ac:dyDescent="0.3">
      <c r="B341" t="s">
        <v>473</v>
      </c>
      <c r="C341">
        <v>0</v>
      </c>
      <c r="D341">
        <v>0</v>
      </c>
      <c r="E341">
        <v>0</v>
      </c>
      <c r="F341">
        <v>3.9</v>
      </c>
      <c r="G341">
        <v>26.8</v>
      </c>
      <c r="H341">
        <v>0.1</v>
      </c>
      <c r="I341">
        <v>0</v>
      </c>
      <c r="J341">
        <v>5.4</v>
      </c>
      <c r="K341" s="64">
        <f t="shared" si="25"/>
        <v>0</v>
      </c>
      <c r="L341" s="64">
        <f t="shared" si="26"/>
        <v>1.2675220125786162</v>
      </c>
      <c r="M341" s="66"/>
      <c r="N341" s="66"/>
      <c r="O341" s="66"/>
      <c r="X341" s="20">
        <f t="shared" si="27"/>
        <v>26.8</v>
      </c>
      <c r="Y341" s="20">
        <f t="shared" si="28"/>
        <v>0.1</v>
      </c>
      <c r="Z341" s="20">
        <f t="shared" si="29"/>
        <v>268</v>
      </c>
    </row>
    <row r="342" spans="1:26" ht="14.25" customHeight="1" x14ac:dyDescent="0.3">
      <c r="A342" t="s">
        <v>699</v>
      </c>
      <c r="B342" t="s">
        <v>519</v>
      </c>
      <c r="C342">
        <v>4.2</v>
      </c>
      <c r="D342">
        <v>18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2.4</v>
      </c>
      <c r="K342" s="64">
        <f t="shared" si="25"/>
        <v>1</v>
      </c>
      <c r="L342" s="64">
        <f t="shared" si="26"/>
        <v>0</v>
      </c>
      <c r="M342" s="66">
        <f>C344*Scoring!$B$32+D344/Scoring!$C$32+E344*Scoring!$D$32+F344*Scoring!$E$32+G344/Scoring!$F$32+H344*Scoring!$G$32+I344*Scoring!$H$32+K344*Scoring!$I$32+RB!L344*Scoring!$J$32+U342</f>
        <v>2.4000000000000004</v>
      </c>
      <c r="N342" s="66">
        <f>C342*Scoring!$B$32+D342/Scoring!$C$32+E342*Scoring!$D$32+F342*Scoring!$E$32+G342/Scoring!$F$32+H342*Scoring!$G$32+I342*Scoring!$H$32+K342*Scoring!$I$32+RB!L342*Scoring!$J$32+U342</f>
        <v>2.4000000000000004</v>
      </c>
      <c r="O342" s="66">
        <f>C343*Scoring!$B$32+D343/Scoring!$C$32+E343*Scoring!$D$32+F343*Scoring!$E$32+G343/Scoring!$F$32+H343*Scoring!$G$32+I343*Scoring!$H$32+K343*Scoring!$I$32+L343*Scoring!$J$32+U342</f>
        <v>2.4000000000000004</v>
      </c>
      <c r="P342" s="20">
        <f>IF(COUNTIF(Rookies!$A:$A,A342)&gt;0,1,0)</f>
        <v>0</v>
      </c>
      <c r="S342" s="20">
        <f>V342/17</f>
        <v>0.14117647058823532</v>
      </c>
      <c r="T342" s="20">
        <f>IF(P342=1,MAX(0,0.258*(14.9-S342)),0)</f>
        <v>0</v>
      </c>
      <c r="U342" s="20">
        <f>T342*17</f>
        <v>0</v>
      </c>
      <c r="V342" s="20">
        <f>C342*Scoring!$B$32+D342/Scoring!$C$32+E342*Scoring!$D$32+F342*Scoring!$E$32+G342/Scoring!$F$32+H342*Scoring!$G$32+I342*Scoring!$H$32+K342*Scoring!$I$32+RB!L342*Scoring!$J$32</f>
        <v>2.4000000000000004</v>
      </c>
      <c r="X342" s="20">
        <f t="shared" si="27"/>
        <v>18</v>
      </c>
      <c r="Y342" s="20">
        <f t="shared" si="28"/>
        <v>0.1</v>
      </c>
      <c r="Z342" s="20">
        <f t="shared" si="29"/>
        <v>180</v>
      </c>
    </row>
    <row r="343" spans="1:26" ht="14.25" customHeight="1" x14ac:dyDescent="0.3">
      <c r="B343" t="s">
        <v>472</v>
      </c>
      <c r="C343">
        <v>4.2</v>
      </c>
      <c r="D343">
        <v>18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2.4</v>
      </c>
      <c r="K343" s="64">
        <f t="shared" si="25"/>
        <v>1</v>
      </c>
      <c r="L343" s="64">
        <f t="shared" si="26"/>
        <v>0</v>
      </c>
      <c r="M343" s="66"/>
      <c r="N343" s="66"/>
      <c r="O343" s="66"/>
      <c r="X343" s="20">
        <f t="shared" si="27"/>
        <v>18</v>
      </c>
      <c r="Y343" s="20">
        <f t="shared" si="28"/>
        <v>0.1</v>
      </c>
      <c r="Z343" s="20">
        <f t="shared" si="29"/>
        <v>180</v>
      </c>
    </row>
    <row r="344" spans="1:26" ht="14.25" customHeight="1" x14ac:dyDescent="0.3">
      <c r="B344" t="s">
        <v>473</v>
      </c>
      <c r="C344">
        <v>4.2</v>
      </c>
      <c r="D344">
        <v>18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2.4</v>
      </c>
      <c r="K344" s="64">
        <f t="shared" si="25"/>
        <v>1</v>
      </c>
      <c r="L344" s="64">
        <f t="shared" si="26"/>
        <v>0</v>
      </c>
      <c r="M344" s="66"/>
      <c r="N344" s="66"/>
      <c r="O344" s="66"/>
      <c r="X344" s="20">
        <f t="shared" si="27"/>
        <v>18</v>
      </c>
      <c r="Y344" s="20">
        <f t="shared" si="28"/>
        <v>0.1</v>
      </c>
      <c r="Z344" s="20">
        <f t="shared" si="29"/>
        <v>180</v>
      </c>
    </row>
    <row r="345" spans="1:26" ht="14.25" customHeight="1" x14ac:dyDescent="0.3">
      <c r="A345" t="s">
        <v>701</v>
      </c>
      <c r="B345" t="s">
        <v>509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 s="64">
        <f t="shared" si="25"/>
        <v>0</v>
      </c>
      <c r="L345" s="64">
        <f t="shared" si="26"/>
        <v>0</v>
      </c>
      <c r="M345" s="66">
        <f>C347*Scoring!$B$32+D347/Scoring!$C$32+E347*Scoring!$D$32+F347*Scoring!$E$32+G347/Scoring!$F$32+H347*Scoring!$G$32+I347*Scoring!$H$32+K347*Scoring!$I$32+RB!L347*Scoring!$J$32+U345</f>
        <v>0</v>
      </c>
      <c r="N345" s="66">
        <f>C345*Scoring!$B$32+D345/Scoring!$C$32+E345*Scoring!$D$32+F345*Scoring!$E$32+G345/Scoring!$F$32+H345*Scoring!$G$32+I345*Scoring!$H$32+K345*Scoring!$I$32+RB!L345*Scoring!$J$32+U345</f>
        <v>0</v>
      </c>
      <c r="O345" s="66">
        <f>C346*Scoring!$B$32+D346/Scoring!$C$32+E346*Scoring!$D$32+F346*Scoring!$E$32+G346/Scoring!$F$32+H346*Scoring!$G$32+I346*Scoring!$H$32+K346*Scoring!$I$32+L346*Scoring!$J$32+U345</f>
        <v>0</v>
      </c>
      <c r="P345" s="20">
        <f>IF(COUNTIF(Rookies!$A:$A,A345)&gt;0,1,0)</f>
        <v>0</v>
      </c>
      <c r="S345" s="20">
        <f>V345/17</f>
        <v>0</v>
      </c>
      <c r="T345" s="20">
        <f>IF(P345=1,MAX(0,0.258*(14.9-S345)),0)</f>
        <v>0</v>
      </c>
      <c r="U345" s="20">
        <f>T345*17</f>
        <v>0</v>
      </c>
      <c r="V345" s="20">
        <f>C345*Scoring!$B$32+D345/Scoring!$C$32+E345*Scoring!$D$32+F345*Scoring!$E$32+G345/Scoring!$F$32+H345*Scoring!$G$32+I345*Scoring!$H$32+K345*Scoring!$I$32+RB!L345*Scoring!$J$32</f>
        <v>0</v>
      </c>
      <c r="X345" s="20">
        <f t="shared" si="27"/>
        <v>0</v>
      </c>
      <c r="Y345" s="20">
        <f t="shared" si="28"/>
        <v>0</v>
      </c>
      <c r="Z345" s="20" t="e">
        <f t="shared" si="29"/>
        <v>#DIV/0!</v>
      </c>
    </row>
    <row r="346" spans="1:26" ht="14.25" customHeight="1" x14ac:dyDescent="0.3">
      <c r="B346" t="s">
        <v>472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s="64">
        <f t="shared" si="25"/>
        <v>0</v>
      </c>
      <c r="L346" s="64">
        <f t="shared" si="26"/>
        <v>0</v>
      </c>
      <c r="M346" s="66"/>
      <c r="N346" s="66"/>
      <c r="O346" s="66"/>
      <c r="X346" s="20">
        <f t="shared" si="27"/>
        <v>0</v>
      </c>
      <c r="Y346" s="20">
        <f t="shared" si="28"/>
        <v>0</v>
      </c>
      <c r="Z346" s="20" t="e">
        <f t="shared" si="29"/>
        <v>#DIV/0!</v>
      </c>
    </row>
    <row r="347" spans="1:26" ht="14.25" customHeight="1" x14ac:dyDescent="0.3">
      <c r="B347" t="s">
        <v>473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s="64">
        <f t="shared" si="25"/>
        <v>0</v>
      </c>
      <c r="L347" s="64">
        <f t="shared" si="26"/>
        <v>0</v>
      </c>
      <c r="M347" s="66"/>
      <c r="N347" s="66"/>
      <c r="O347" s="66"/>
      <c r="X347" s="20">
        <f t="shared" si="27"/>
        <v>0</v>
      </c>
      <c r="Y347" s="20">
        <f t="shared" si="28"/>
        <v>0</v>
      </c>
      <c r="Z347" s="20" t="e">
        <f t="shared" si="29"/>
        <v>#DIV/0!</v>
      </c>
    </row>
    <row r="348" spans="1:26" ht="14.25" customHeight="1" x14ac:dyDescent="0.3">
      <c r="A348" t="s">
        <v>702</v>
      </c>
      <c r="B348" t="s">
        <v>479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s="64">
        <f t="shared" si="25"/>
        <v>0</v>
      </c>
      <c r="L348" s="64">
        <f t="shared" si="26"/>
        <v>0</v>
      </c>
      <c r="M348" s="66">
        <f>C350*Scoring!$B$32+D350/Scoring!$C$32+E350*Scoring!$D$32+F350*Scoring!$E$32+G350/Scoring!$F$32+H350*Scoring!$G$32+I350*Scoring!$H$32+K350*Scoring!$I$32+RB!L350*Scoring!$J$32+U348</f>
        <v>0</v>
      </c>
      <c r="N348" s="66">
        <f>C348*Scoring!$B$32+D348/Scoring!$C$32+E348*Scoring!$D$32+F348*Scoring!$E$32+G348/Scoring!$F$32+H348*Scoring!$G$32+I348*Scoring!$H$32+K348*Scoring!$I$32+RB!L348*Scoring!$J$32+U348</f>
        <v>0</v>
      </c>
      <c r="O348" s="66">
        <f>C349*Scoring!$B$32+D349/Scoring!$C$32+E349*Scoring!$D$32+F349*Scoring!$E$32+G349/Scoring!$F$32+H349*Scoring!$G$32+I349*Scoring!$H$32+K349*Scoring!$I$32+L349*Scoring!$J$32+U348</f>
        <v>0</v>
      </c>
      <c r="P348" s="20">
        <f>IF(COUNTIF(Rookies!$A:$A,A348)&gt;0,1,0)</f>
        <v>0</v>
      </c>
      <c r="S348" s="20">
        <f>V348/17</f>
        <v>0</v>
      </c>
      <c r="T348" s="20">
        <f>IF(P348=1,MAX(0,0.258*(14.9-S348)),0)</f>
        <v>0</v>
      </c>
      <c r="U348" s="20">
        <f>T348*17</f>
        <v>0</v>
      </c>
      <c r="V348" s="20">
        <f>C348*Scoring!$B$32+D348/Scoring!$C$32+E348*Scoring!$D$32+F348*Scoring!$E$32+G348/Scoring!$F$32+H348*Scoring!$G$32+I348*Scoring!$H$32+K348*Scoring!$I$32+RB!L348*Scoring!$J$32</f>
        <v>0</v>
      </c>
      <c r="X348" s="20">
        <f t="shared" si="27"/>
        <v>0</v>
      </c>
      <c r="Y348" s="20">
        <f t="shared" si="28"/>
        <v>0</v>
      </c>
      <c r="Z348" s="20" t="e">
        <f t="shared" si="29"/>
        <v>#DIV/0!</v>
      </c>
    </row>
    <row r="349" spans="1:26" ht="14.25" customHeight="1" x14ac:dyDescent="0.3">
      <c r="B349" t="s">
        <v>472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s="64">
        <f t="shared" si="25"/>
        <v>0</v>
      </c>
      <c r="L349" s="64">
        <f t="shared" si="26"/>
        <v>0</v>
      </c>
      <c r="M349" s="66"/>
      <c r="N349" s="66"/>
      <c r="O349" s="66"/>
      <c r="X349" s="20">
        <f t="shared" si="27"/>
        <v>0</v>
      </c>
      <c r="Y349" s="20">
        <f t="shared" si="28"/>
        <v>0</v>
      </c>
      <c r="Z349" s="20" t="e">
        <f t="shared" si="29"/>
        <v>#DIV/0!</v>
      </c>
    </row>
    <row r="350" spans="1:26" ht="14.25" customHeight="1" x14ac:dyDescent="0.3">
      <c r="B350" t="s">
        <v>473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s="64">
        <f t="shared" si="25"/>
        <v>0</v>
      </c>
      <c r="L350" s="64">
        <f t="shared" si="26"/>
        <v>0</v>
      </c>
      <c r="M350" s="66"/>
      <c r="N350" s="66"/>
      <c r="O350" s="66"/>
      <c r="X350" s="20">
        <f t="shared" si="27"/>
        <v>0</v>
      </c>
      <c r="Y350" s="20">
        <f t="shared" si="28"/>
        <v>0</v>
      </c>
      <c r="Z350" s="20" t="e">
        <f t="shared" si="29"/>
        <v>#DIV/0!</v>
      </c>
    </row>
    <row r="351" spans="1:26" ht="14.25" customHeight="1" x14ac:dyDescent="0.3">
      <c r="A351" t="s">
        <v>704</v>
      </c>
      <c r="B351" t="s">
        <v>499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s="64">
        <f t="shared" si="25"/>
        <v>0</v>
      </c>
      <c r="L351" s="64">
        <f t="shared" si="26"/>
        <v>0</v>
      </c>
      <c r="M351" s="66">
        <f>C353*Scoring!$B$32+D353/Scoring!$C$32+E353*Scoring!$D$32+F353*Scoring!$E$32+G353/Scoring!$F$32+H353*Scoring!$G$32+I353*Scoring!$H$32+K353*Scoring!$I$32+RB!L353*Scoring!$J$32+U351</f>
        <v>0</v>
      </c>
      <c r="N351" s="66">
        <f>C351*Scoring!$B$32+D351/Scoring!$C$32+E351*Scoring!$D$32+F351*Scoring!$E$32+G351/Scoring!$F$32+H351*Scoring!$G$32+I351*Scoring!$H$32+K351*Scoring!$I$32+RB!L351*Scoring!$J$32+U351</f>
        <v>0</v>
      </c>
      <c r="O351" s="66">
        <f>C352*Scoring!$B$32+D352/Scoring!$C$32+E352*Scoring!$D$32+F352*Scoring!$E$32+G352/Scoring!$F$32+H352*Scoring!$G$32+I352*Scoring!$H$32+K352*Scoring!$I$32+L352*Scoring!$J$32+U351</f>
        <v>0</v>
      </c>
      <c r="P351" s="20">
        <f>IF(COUNTIF(Rookies!$A:$A,A351)&gt;0,1,0)</f>
        <v>0</v>
      </c>
      <c r="S351" s="20">
        <f>V351/17</f>
        <v>0</v>
      </c>
      <c r="T351" s="20">
        <f>IF(P351=1,MAX(0,0.258*(14.9-S351)),0)</f>
        <v>0</v>
      </c>
      <c r="U351" s="20">
        <f>T351*17</f>
        <v>0</v>
      </c>
      <c r="V351" s="20">
        <f>C351*Scoring!$B$32+D351/Scoring!$C$32+E351*Scoring!$D$32+F351*Scoring!$E$32+G351/Scoring!$F$32+H351*Scoring!$G$32+I351*Scoring!$H$32+K351*Scoring!$I$32+RB!L351*Scoring!$J$32</f>
        <v>0</v>
      </c>
      <c r="X351" s="20">
        <f t="shared" si="27"/>
        <v>0</v>
      </c>
      <c r="Y351" s="20">
        <f t="shared" si="28"/>
        <v>0</v>
      </c>
      <c r="Z351" s="20" t="e">
        <f t="shared" si="29"/>
        <v>#DIV/0!</v>
      </c>
    </row>
    <row r="352" spans="1:26" ht="14.25" customHeight="1" x14ac:dyDescent="0.3">
      <c r="B352" t="s">
        <v>472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0.4</v>
      </c>
      <c r="K352" s="64">
        <f t="shared" si="25"/>
        <v>0</v>
      </c>
      <c r="L352" s="64">
        <f t="shared" si="26"/>
        <v>0</v>
      </c>
      <c r="M352" s="66"/>
      <c r="N352" s="66"/>
      <c r="O352" s="66"/>
      <c r="X352" s="20">
        <f t="shared" si="27"/>
        <v>0</v>
      </c>
      <c r="Y352" s="20">
        <f t="shared" si="28"/>
        <v>0</v>
      </c>
      <c r="Z352" s="20" t="e">
        <f t="shared" si="29"/>
        <v>#DIV/0!</v>
      </c>
    </row>
    <row r="353" spans="1:26" ht="14.25" customHeight="1" x14ac:dyDescent="0.3">
      <c r="B353" t="s">
        <v>473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0.4</v>
      </c>
      <c r="K353" s="64">
        <f t="shared" si="25"/>
        <v>0</v>
      </c>
      <c r="L353" s="64">
        <f t="shared" si="26"/>
        <v>0</v>
      </c>
      <c r="M353" s="66"/>
      <c r="N353" s="66"/>
      <c r="O353" s="66"/>
      <c r="X353" s="20">
        <f t="shared" si="27"/>
        <v>0</v>
      </c>
      <c r="Y353" s="20">
        <f t="shared" si="28"/>
        <v>0</v>
      </c>
      <c r="Z353" s="20" t="e">
        <f t="shared" si="29"/>
        <v>#DIV/0!</v>
      </c>
    </row>
    <row r="354" spans="1:26" ht="14.25" customHeight="1" x14ac:dyDescent="0.3">
      <c r="A354" t="s">
        <v>706</v>
      </c>
      <c r="B354" t="s">
        <v>527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s="64">
        <f t="shared" si="25"/>
        <v>0</v>
      </c>
      <c r="L354" s="64">
        <f t="shared" si="26"/>
        <v>0</v>
      </c>
      <c r="M354" s="66">
        <f>C356*Scoring!$B$32+D356/Scoring!$C$32+E356*Scoring!$D$32+F356*Scoring!$E$32+G356/Scoring!$F$32+H356*Scoring!$G$32+I356*Scoring!$H$32+K356*Scoring!$I$32+RB!L356*Scoring!$J$32+U354</f>
        <v>0</v>
      </c>
      <c r="N354" s="66">
        <f>C354*Scoring!$B$32+D354/Scoring!$C$32+E354*Scoring!$D$32+F354*Scoring!$E$32+G354/Scoring!$F$32+H354*Scoring!$G$32+I354*Scoring!$H$32+K354*Scoring!$I$32+RB!L354*Scoring!$J$32+U354</f>
        <v>0</v>
      </c>
      <c r="O354" s="66">
        <f>C355*Scoring!$B$32+D355/Scoring!$C$32+E355*Scoring!$D$32+F355*Scoring!$E$32+G355/Scoring!$F$32+H355*Scoring!$G$32+I355*Scoring!$H$32+K355*Scoring!$I$32+L355*Scoring!$J$32+U354</f>
        <v>0</v>
      </c>
      <c r="P354" s="20">
        <f>IF(COUNTIF(Rookies!$A:$A,A354)&gt;0,1,0)</f>
        <v>0</v>
      </c>
      <c r="S354" s="20">
        <f>V354/17</f>
        <v>0</v>
      </c>
      <c r="T354" s="20">
        <f>IF(P354=1,MAX(0,0.258*(14.9-S354)),0)</f>
        <v>0</v>
      </c>
      <c r="U354" s="20">
        <f>T354*17</f>
        <v>0</v>
      </c>
      <c r="V354" s="20">
        <f>C354*Scoring!$B$32+D354/Scoring!$C$32+E354*Scoring!$D$32+F354*Scoring!$E$32+G354/Scoring!$F$32+H354*Scoring!$G$32+I354*Scoring!$H$32+K354*Scoring!$I$32+RB!L354*Scoring!$J$32</f>
        <v>0</v>
      </c>
      <c r="X354" s="20">
        <f t="shared" si="27"/>
        <v>0</v>
      </c>
      <c r="Y354" s="20">
        <f t="shared" si="28"/>
        <v>0</v>
      </c>
      <c r="Z354" s="20" t="e">
        <f t="shared" si="29"/>
        <v>#DIV/0!</v>
      </c>
    </row>
    <row r="355" spans="1:26" ht="14.25" customHeight="1" x14ac:dyDescent="0.3">
      <c r="B355" t="s">
        <v>472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s="64">
        <f t="shared" si="25"/>
        <v>0</v>
      </c>
      <c r="L355" s="64">
        <f t="shared" si="26"/>
        <v>0</v>
      </c>
      <c r="M355" s="66"/>
      <c r="N355" s="66"/>
      <c r="O355" s="66"/>
      <c r="X355" s="20">
        <f t="shared" si="27"/>
        <v>0</v>
      </c>
      <c r="Y355" s="20">
        <f t="shared" si="28"/>
        <v>0</v>
      </c>
      <c r="Z355" s="20" t="e">
        <f t="shared" si="29"/>
        <v>#DIV/0!</v>
      </c>
    </row>
    <row r="356" spans="1:26" ht="14.25" customHeight="1" x14ac:dyDescent="0.3">
      <c r="B356" t="s">
        <v>473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s="64">
        <f t="shared" si="25"/>
        <v>0</v>
      </c>
      <c r="L356" s="64">
        <f t="shared" si="26"/>
        <v>0</v>
      </c>
      <c r="M356" s="66"/>
      <c r="N356" s="66"/>
      <c r="O356" s="66"/>
      <c r="X356" s="20">
        <f t="shared" si="27"/>
        <v>0</v>
      </c>
      <c r="Y356" s="20">
        <f t="shared" si="28"/>
        <v>0</v>
      </c>
      <c r="Z356" s="20" t="e">
        <f t="shared" si="29"/>
        <v>#DIV/0!</v>
      </c>
    </row>
    <row r="357" spans="1:26" ht="14.25" customHeight="1" x14ac:dyDescent="0.3">
      <c r="A357" t="s">
        <v>689</v>
      </c>
      <c r="B357" t="s">
        <v>521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s="64">
        <f t="shared" si="25"/>
        <v>0</v>
      </c>
      <c r="L357" s="64">
        <f t="shared" si="26"/>
        <v>0</v>
      </c>
      <c r="M357" s="66">
        <f>C359*Scoring!$B$32+D359/Scoring!$C$32+E359*Scoring!$D$32+F359*Scoring!$E$32+G359/Scoring!$F$32+H359*Scoring!$G$32+I359*Scoring!$H$32+K359*Scoring!$I$32+RB!L359*Scoring!$J$32+U357</f>
        <v>0</v>
      </c>
      <c r="N357" s="66">
        <f>C357*Scoring!$B$32+D357/Scoring!$C$32+E357*Scoring!$D$32+F357*Scoring!$E$32+G357/Scoring!$F$32+H357*Scoring!$G$32+I357*Scoring!$H$32+K357*Scoring!$I$32+RB!L357*Scoring!$J$32+U357</f>
        <v>0</v>
      </c>
      <c r="O357" s="66">
        <f>C358*Scoring!$B$32+D358/Scoring!$C$32+E358*Scoring!$D$32+F358*Scoring!$E$32+G358/Scoring!$F$32+H358*Scoring!$G$32+I358*Scoring!$H$32+K358*Scoring!$I$32+L358*Scoring!$J$32+U357</f>
        <v>0</v>
      </c>
      <c r="P357" s="20">
        <f>IF(COUNTIF(Rookies!$A:$A,A357)&gt;0,1,0)</f>
        <v>0</v>
      </c>
      <c r="S357" s="20">
        <f>V357/17</f>
        <v>0</v>
      </c>
      <c r="T357" s="20">
        <f>IF(P357=1,MAX(0,0.258*(14.9-S357)),0)</f>
        <v>0</v>
      </c>
      <c r="U357" s="20">
        <f>T357*17</f>
        <v>0</v>
      </c>
      <c r="V357" s="20">
        <f>C357*Scoring!$B$32+D357/Scoring!$C$32+E357*Scoring!$D$32+F357*Scoring!$E$32+G357/Scoring!$F$32+H357*Scoring!$G$32+I357*Scoring!$H$32+K357*Scoring!$I$32+RB!L357*Scoring!$J$32</f>
        <v>0</v>
      </c>
      <c r="X357" s="20">
        <f t="shared" si="27"/>
        <v>0</v>
      </c>
      <c r="Y357" s="20">
        <f t="shared" si="28"/>
        <v>0</v>
      </c>
      <c r="Z357" s="20" t="e">
        <f t="shared" si="29"/>
        <v>#DIV/0!</v>
      </c>
    </row>
    <row r="358" spans="1:26" ht="14.25" customHeight="1" x14ac:dyDescent="0.3">
      <c r="B358" t="s">
        <v>472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s="64">
        <f t="shared" si="25"/>
        <v>0</v>
      </c>
      <c r="L358" s="64">
        <f t="shared" si="26"/>
        <v>0</v>
      </c>
      <c r="M358" s="66"/>
      <c r="N358" s="66"/>
      <c r="O358" s="66"/>
      <c r="X358" s="20">
        <f t="shared" si="27"/>
        <v>0</v>
      </c>
      <c r="Y358" s="20">
        <f t="shared" si="28"/>
        <v>0</v>
      </c>
      <c r="Z358" s="20" t="e">
        <f t="shared" si="29"/>
        <v>#DIV/0!</v>
      </c>
    </row>
    <row r="359" spans="1:26" ht="14.25" customHeight="1" x14ac:dyDescent="0.3">
      <c r="B359" t="s">
        <v>473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s="64">
        <f t="shared" si="25"/>
        <v>0</v>
      </c>
      <c r="L359" s="64">
        <f t="shared" si="26"/>
        <v>0</v>
      </c>
      <c r="M359" s="66"/>
      <c r="N359" s="66"/>
      <c r="O359" s="66"/>
      <c r="X359" s="20">
        <f t="shared" si="27"/>
        <v>0</v>
      </c>
      <c r="Y359" s="20">
        <f t="shared" si="28"/>
        <v>0</v>
      </c>
      <c r="Z359" s="20" t="e">
        <f t="shared" si="29"/>
        <v>#DIV/0!</v>
      </c>
    </row>
    <row r="360" spans="1:26" ht="14.25" customHeight="1" x14ac:dyDescent="0.3">
      <c r="A360" t="s">
        <v>710</v>
      </c>
      <c r="B360" t="s">
        <v>531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s="64">
        <f t="shared" si="25"/>
        <v>0</v>
      </c>
      <c r="L360" s="64">
        <f t="shared" si="26"/>
        <v>0</v>
      </c>
      <c r="M360" s="66">
        <f>C362*Scoring!$B$32+D362/Scoring!$C$32+E362*Scoring!$D$32+F362*Scoring!$E$32+G362/Scoring!$F$32+H362*Scoring!$G$32+I362*Scoring!$H$32+K362*Scoring!$I$32+RB!L362*Scoring!$J$32+U360</f>
        <v>0</v>
      </c>
      <c r="N360" s="66">
        <f>C360*Scoring!$B$32+D360/Scoring!$C$32+E360*Scoring!$D$32+F360*Scoring!$E$32+G360/Scoring!$F$32+H360*Scoring!$G$32+I360*Scoring!$H$32+K360*Scoring!$I$32+RB!L360*Scoring!$J$32+U360</f>
        <v>0</v>
      </c>
      <c r="O360" s="66">
        <f>C361*Scoring!$B$32+D361/Scoring!$C$32+E361*Scoring!$D$32+F361*Scoring!$E$32+G361/Scoring!$F$32+H361*Scoring!$G$32+I361*Scoring!$H$32+K361*Scoring!$I$32+L361*Scoring!$J$32+U360</f>
        <v>0</v>
      </c>
      <c r="P360" s="20">
        <f>IF(COUNTIF(Rookies!$A:$A,A360)&gt;0,1,0)</f>
        <v>0</v>
      </c>
      <c r="S360" s="20">
        <f>V360/17</f>
        <v>0</v>
      </c>
      <c r="T360" s="20">
        <f>IF(P360=1,MAX(0,0.258*(14.9-S360)),0)</f>
        <v>0</v>
      </c>
      <c r="U360" s="20">
        <f>T360*17</f>
        <v>0</v>
      </c>
      <c r="V360" s="20">
        <f>C360*Scoring!$B$32+D360/Scoring!$C$32+E360*Scoring!$D$32+F360*Scoring!$E$32+G360/Scoring!$F$32+H360*Scoring!$G$32+I360*Scoring!$H$32+K360*Scoring!$I$32+RB!L360*Scoring!$J$32</f>
        <v>0</v>
      </c>
      <c r="X360" s="20">
        <f t="shared" si="27"/>
        <v>0</v>
      </c>
      <c r="Y360" s="20">
        <f t="shared" si="28"/>
        <v>0</v>
      </c>
      <c r="Z360" s="20" t="e">
        <f t="shared" si="29"/>
        <v>#DIV/0!</v>
      </c>
    </row>
    <row r="361" spans="1:26" ht="14.25" customHeight="1" x14ac:dyDescent="0.3">
      <c r="B361" t="s">
        <v>472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0.7</v>
      </c>
      <c r="K361" s="64">
        <f t="shared" si="25"/>
        <v>0</v>
      </c>
      <c r="L361" s="64">
        <f t="shared" si="26"/>
        <v>0</v>
      </c>
      <c r="M361" s="66"/>
      <c r="N361" s="66"/>
      <c r="O361" s="66"/>
      <c r="X361" s="20">
        <f t="shared" si="27"/>
        <v>0</v>
      </c>
      <c r="Y361" s="20">
        <f t="shared" si="28"/>
        <v>0</v>
      </c>
      <c r="Z361" s="20" t="e">
        <f t="shared" si="29"/>
        <v>#DIV/0!</v>
      </c>
    </row>
    <row r="362" spans="1:26" ht="14.25" customHeight="1" x14ac:dyDescent="0.3">
      <c r="B362" t="s">
        <v>473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0.7</v>
      </c>
      <c r="K362" s="64">
        <f t="shared" si="25"/>
        <v>0</v>
      </c>
      <c r="L362" s="64">
        <f t="shared" si="26"/>
        <v>0</v>
      </c>
      <c r="M362" s="66"/>
      <c r="N362" s="66"/>
      <c r="O362" s="66"/>
      <c r="X362" s="20">
        <f t="shared" si="27"/>
        <v>0</v>
      </c>
      <c r="Y362" s="20">
        <f t="shared" si="28"/>
        <v>0</v>
      </c>
      <c r="Z362" s="20" t="e">
        <f t="shared" si="29"/>
        <v>#DIV/0!</v>
      </c>
    </row>
    <row r="363" spans="1:26" ht="14.25" customHeight="1" x14ac:dyDescent="0.3">
      <c r="A363" t="s">
        <v>711</v>
      </c>
      <c r="B363" t="s">
        <v>531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s="64">
        <f t="shared" si="25"/>
        <v>0</v>
      </c>
      <c r="L363" s="64">
        <f t="shared" si="26"/>
        <v>0</v>
      </c>
      <c r="M363" s="66">
        <f>C365*Scoring!$B$32+D365/Scoring!$C$32+E365*Scoring!$D$32+F365*Scoring!$E$32+G365/Scoring!$F$32+H365*Scoring!$G$32+I365*Scoring!$H$32+K365*Scoring!$I$32+RB!L365*Scoring!$J$32+U363</f>
        <v>0</v>
      </c>
      <c r="N363" s="66">
        <f>C363*Scoring!$B$32+D363/Scoring!$C$32+E363*Scoring!$D$32+F363*Scoring!$E$32+G363/Scoring!$F$32+H363*Scoring!$G$32+I363*Scoring!$H$32+K363*Scoring!$I$32+RB!L363*Scoring!$J$32+U363</f>
        <v>0</v>
      </c>
      <c r="O363" s="66">
        <f>C364*Scoring!$B$32+D364/Scoring!$C$32+E364*Scoring!$D$32+F364*Scoring!$E$32+G364/Scoring!$F$32+H364*Scoring!$G$32+I364*Scoring!$H$32+K364*Scoring!$I$32+L364*Scoring!$J$32+U363</f>
        <v>0</v>
      </c>
      <c r="P363" s="20">
        <f>IF(COUNTIF(Rookies!$A:$A,A363)&gt;0,1,0)</f>
        <v>0</v>
      </c>
      <c r="S363" s="20">
        <f>V363/17</f>
        <v>0</v>
      </c>
      <c r="T363" s="20">
        <f>IF(P363=1,MAX(0,0.258*(14.9-S363)),0)</f>
        <v>0</v>
      </c>
      <c r="U363" s="20">
        <f>T363*17</f>
        <v>0</v>
      </c>
      <c r="V363" s="20">
        <f>C363*Scoring!$B$32+D363/Scoring!$C$32+E363*Scoring!$D$32+F363*Scoring!$E$32+G363/Scoring!$F$32+H363*Scoring!$G$32+I363*Scoring!$H$32+K363*Scoring!$I$32+RB!L363*Scoring!$J$32</f>
        <v>0</v>
      </c>
      <c r="X363" s="20">
        <f t="shared" si="27"/>
        <v>0</v>
      </c>
      <c r="Y363" s="20">
        <f t="shared" si="28"/>
        <v>0</v>
      </c>
      <c r="Z363" s="20" t="e">
        <f t="shared" si="29"/>
        <v>#DIV/0!</v>
      </c>
    </row>
    <row r="364" spans="1:26" ht="14.25" customHeight="1" x14ac:dyDescent="0.3">
      <c r="B364" t="s">
        <v>472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s="64">
        <f t="shared" si="25"/>
        <v>0</v>
      </c>
      <c r="L364" s="64">
        <f t="shared" si="26"/>
        <v>0</v>
      </c>
      <c r="M364" s="66"/>
      <c r="N364" s="66"/>
      <c r="O364" s="66"/>
      <c r="X364" s="20">
        <f t="shared" si="27"/>
        <v>0</v>
      </c>
      <c r="Y364" s="20">
        <f t="shared" si="28"/>
        <v>0</v>
      </c>
      <c r="Z364" s="20" t="e">
        <f t="shared" si="29"/>
        <v>#DIV/0!</v>
      </c>
    </row>
    <row r="365" spans="1:26" ht="14.25" customHeight="1" x14ac:dyDescent="0.3">
      <c r="B365" t="s">
        <v>473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s="64">
        <f t="shared" si="25"/>
        <v>0</v>
      </c>
      <c r="L365" s="64">
        <f t="shared" si="26"/>
        <v>0</v>
      </c>
      <c r="M365" s="66"/>
      <c r="N365" s="66"/>
      <c r="O365" s="66"/>
      <c r="X365" s="20">
        <f t="shared" si="27"/>
        <v>0</v>
      </c>
      <c r="Y365" s="20">
        <f t="shared" si="28"/>
        <v>0</v>
      </c>
      <c r="Z365" s="20" t="e">
        <f t="shared" si="29"/>
        <v>#DIV/0!</v>
      </c>
    </row>
    <row r="366" spans="1:26" ht="14.25" customHeight="1" x14ac:dyDescent="0.3">
      <c r="K366" s="64">
        <f t="shared" si="25"/>
        <v>0</v>
      </c>
      <c r="L366" s="64">
        <f t="shared" si="26"/>
        <v>0</v>
      </c>
      <c r="M366" s="66">
        <f>C368*Scoring!$B$32+D368/Scoring!$C$32+E368*Scoring!$D$32+F368*Scoring!$E$32+G368/Scoring!$F$32+H368*Scoring!$G$32+I368*Scoring!$H$32+K368*Scoring!$I$32+RB!L368*Scoring!$J$32+U366</f>
        <v>0</v>
      </c>
      <c r="N366" s="66">
        <f>C366*Scoring!$B$32+D366/Scoring!$C$32+E366*Scoring!$D$32+F366*Scoring!$E$32+G366/Scoring!$F$32+H366*Scoring!$G$32+I366*Scoring!$H$32+K366*Scoring!$I$32+RB!L366*Scoring!$J$32+U366</f>
        <v>0</v>
      </c>
      <c r="O366" s="66">
        <f>C367*Scoring!$B$32+D367/Scoring!$C$32+E367*Scoring!$D$32+F367*Scoring!$E$32+G367/Scoring!$F$32+H367*Scoring!$G$32+I367*Scoring!$H$32+K367*Scoring!$I$32+L367*Scoring!$J$32+U366</f>
        <v>0</v>
      </c>
      <c r="P366" s="20">
        <f>IF(COUNTIF(Rookies!$A:$A,A366)&gt;0,1,0)</f>
        <v>0</v>
      </c>
      <c r="S366" s="20">
        <f>V366/17</f>
        <v>0</v>
      </c>
      <c r="T366" s="20">
        <f>IF(P366=1,MAX(0,0.258*(14.9-S366)),0)</f>
        <v>0</v>
      </c>
      <c r="U366" s="20">
        <f>T366*17</f>
        <v>0</v>
      </c>
      <c r="V366" s="20">
        <f>C366*Scoring!$B$32+D366/Scoring!$C$32+E366*Scoring!$D$32+F366*Scoring!$E$32+G366/Scoring!$F$32+H366*Scoring!$G$32+I366*Scoring!$H$32+K366*Scoring!$I$32+RB!L366*Scoring!$J$32</f>
        <v>0</v>
      </c>
      <c r="X366" s="20">
        <f t="shared" si="27"/>
        <v>0</v>
      </c>
      <c r="Y366" s="20">
        <f t="shared" si="28"/>
        <v>0</v>
      </c>
      <c r="Z366" s="20" t="e">
        <f t="shared" si="29"/>
        <v>#DIV/0!</v>
      </c>
    </row>
    <row r="367" spans="1:26" ht="14.25" customHeight="1" x14ac:dyDescent="0.3">
      <c r="K367" s="64">
        <f t="shared" si="25"/>
        <v>0</v>
      </c>
      <c r="L367" s="64">
        <f t="shared" si="26"/>
        <v>0</v>
      </c>
      <c r="M367" s="66"/>
      <c r="N367" s="66"/>
      <c r="O367" s="66"/>
      <c r="X367" s="20">
        <f t="shared" si="27"/>
        <v>0</v>
      </c>
      <c r="Y367" s="20">
        <f t="shared" si="28"/>
        <v>0</v>
      </c>
      <c r="Z367" s="20" t="e">
        <f t="shared" si="29"/>
        <v>#DIV/0!</v>
      </c>
    </row>
    <row r="368" spans="1:26" ht="14.25" customHeight="1" x14ac:dyDescent="0.3">
      <c r="K368" s="64">
        <f t="shared" si="25"/>
        <v>0</v>
      </c>
      <c r="L368" s="64">
        <f t="shared" si="26"/>
        <v>0</v>
      </c>
      <c r="M368" s="66"/>
      <c r="N368" s="66"/>
      <c r="O368" s="66"/>
      <c r="X368" s="20">
        <f t="shared" si="27"/>
        <v>0</v>
      </c>
      <c r="Y368" s="20">
        <f t="shared" si="28"/>
        <v>0</v>
      </c>
      <c r="Z368" s="20" t="e">
        <f t="shared" si="29"/>
        <v>#DIV/0!</v>
      </c>
    </row>
    <row r="369" spans="11:26" ht="14.25" customHeight="1" x14ac:dyDescent="0.3">
      <c r="K369" s="64">
        <f t="shared" si="25"/>
        <v>0</v>
      </c>
      <c r="L369" s="64">
        <f t="shared" si="26"/>
        <v>0</v>
      </c>
      <c r="M369" s="66">
        <f>C371*Scoring!$B$32+D371/Scoring!$C$32+E371*Scoring!$D$32+F371*Scoring!$E$32+G371/Scoring!$F$32+H371*Scoring!$G$32+I371*Scoring!$H$32+K371*Scoring!$I$32+RB!L371*Scoring!$J$32+U369</f>
        <v>0</v>
      </c>
      <c r="N369" s="66">
        <f>C369*Scoring!$B$32+D369/Scoring!$C$32+E369*Scoring!$D$32+F369*Scoring!$E$32+G369/Scoring!$F$32+H369*Scoring!$G$32+I369*Scoring!$H$32+K369*Scoring!$I$32+RB!L369*Scoring!$J$32+U369</f>
        <v>0</v>
      </c>
      <c r="O369" s="66">
        <f>C370*Scoring!$B$32+D370/Scoring!$C$32+E370*Scoring!$D$32+F370*Scoring!$E$32+G370/Scoring!$F$32+H370*Scoring!$G$32+I370*Scoring!$H$32+K370*Scoring!$I$32+L370*Scoring!$J$32+U369</f>
        <v>0</v>
      </c>
      <c r="P369" s="20">
        <f>IF(COUNTIF(Rookies!$A:$A,A369)&gt;0,1,0)</f>
        <v>0</v>
      </c>
      <c r="S369" s="20">
        <f>V369/17</f>
        <v>0</v>
      </c>
      <c r="T369" s="20">
        <f>IF(P369=1,MAX(0,0.258*(14.9-S369)),0)</f>
        <v>0</v>
      </c>
      <c r="U369" s="20">
        <f>T369*17</f>
        <v>0</v>
      </c>
      <c r="V369" s="20">
        <f>C369*Scoring!$B$32+D369/Scoring!$C$32+E369*Scoring!$D$32+F369*Scoring!$E$32+G369/Scoring!$F$32+H369*Scoring!$G$32+I369*Scoring!$H$32+K369*Scoring!$I$32+RB!L369*Scoring!$J$32</f>
        <v>0</v>
      </c>
      <c r="X369" s="20">
        <f t="shared" si="27"/>
        <v>0</v>
      </c>
      <c r="Y369" s="20">
        <f t="shared" si="28"/>
        <v>0</v>
      </c>
      <c r="Z369" s="20" t="e">
        <f t="shared" si="29"/>
        <v>#DIV/0!</v>
      </c>
    </row>
    <row r="370" spans="11:26" ht="14.25" customHeight="1" x14ac:dyDescent="0.3">
      <c r="K370" s="64">
        <f t="shared" si="25"/>
        <v>0</v>
      </c>
      <c r="L370" s="64">
        <f t="shared" si="26"/>
        <v>0</v>
      </c>
      <c r="M370" s="66"/>
      <c r="N370" s="66"/>
      <c r="O370" s="66"/>
      <c r="X370" s="20">
        <f t="shared" si="27"/>
        <v>0</v>
      </c>
      <c r="Y370" s="20">
        <f t="shared" si="28"/>
        <v>0</v>
      </c>
      <c r="Z370" s="20" t="e">
        <f t="shared" si="29"/>
        <v>#DIV/0!</v>
      </c>
    </row>
    <row r="371" spans="11:26" ht="14.25" customHeight="1" x14ac:dyDescent="0.3">
      <c r="K371" s="64">
        <f t="shared" si="25"/>
        <v>0</v>
      </c>
      <c r="L371" s="64">
        <f t="shared" si="26"/>
        <v>0</v>
      </c>
      <c r="M371" s="66"/>
      <c r="N371" s="66"/>
      <c r="O371" s="66"/>
      <c r="X371" s="20">
        <f t="shared" si="27"/>
        <v>0</v>
      </c>
      <c r="Y371" s="20">
        <f t="shared" si="28"/>
        <v>0</v>
      </c>
      <c r="Z371" s="20" t="e">
        <f t="shared" si="29"/>
        <v>#DIV/0!</v>
      </c>
    </row>
    <row r="372" spans="11:26" ht="14.25" customHeight="1" x14ac:dyDescent="0.3">
      <c r="K372" s="64">
        <f t="shared" si="25"/>
        <v>0</v>
      </c>
      <c r="L372" s="64">
        <f t="shared" si="26"/>
        <v>0</v>
      </c>
      <c r="M372" s="66">
        <f>C374*Scoring!$B$32+D374/Scoring!$C$32+E374*Scoring!$D$32+F374*Scoring!$E$32+G374/Scoring!$F$32+H374*Scoring!$G$32+I374*Scoring!$H$32+K374*Scoring!$I$32+RB!L374*Scoring!$J$32+U372</f>
        <v>0</v>
      </c>
      <c r="N372" s="66">
        <f>C372*Scoring!$B$32+D372/Scoring!$C$32+E372*Scoring!$D$32+F372*Scoring!$E$32+G372/Scoring!$F$32+H372*Scoring!$G$32+I372*Scoring!$H$32+K372*Scoring!$I$32+RB!L372*Scoring!$J$32+U372</f>
        <v>0</v>
      </c>
      <c r="O372" s="66">
        <f>C373*Scoring!$B$32+D373/Scoring!$C$32+E373*Scoring!$D$32+F373*Scoring!$E$32+G373/Scoring!$F$32+H373*Scoring!$G$32+I373*Scoring!$H$32+K373*Scoring!$I$32+L373*Scoring!$J$32+U372</f>
        <v>0</v>
      </c>
      <c r="P372" s="20">
        <f>IF(COUNTIF(Rookies!$A:$A,A372)&gt;0,1,0)</f>
        <v>0</v>
      </c>
      <c r="S372" s="20">
        <f>V372/17</f>
        <v>0</v>
      </c>
      <c r="T372" s="20">
        <f>IF(P372=1,MAX(0,0.258*(14.9-S372)),0)</f>
        <v>0</v>
      </c>
      <c r="U372" s="20">
        <f>T372*17</f>
        <v>0</v>
      </c>
      <c r="V372" s="20">
        <f>C372*Scoring!$B$32+D372/Scoring!$C$32+E372*Scoring!$D$32+F372*Scoring!$E$32+G372/Scoring!$F$32+H372*Scoring!$G$32+I372*Scoring!$H$32+K372*Scoring!$I$32+RB!L372*Scoring!$J$32</f>
        <v>0</v>
      </c>
      <c r="X372" s="20">
        <f t="shared" si="27"/>
        <v>0</v>
      </c>
      <c r="Y372" s="20">
        <f t="shared" si="28"/>
        <v>0</v>
      </c>
      <c r="Z372" s="20" t="e">
        <f t="shared" si="29"/>
        <v>#DIV/0!</v>
      </c>
    </row>
    <row r="373" spans="11:26" ht="14.25" customHeight="1" x14ac:dyDescent="0.3">
      <c r="K373" s="64">
        <f t="shared" si="25"/>
        <v>0</v>
      </c>
      <c r="L373" s="64">
        <f t="shared" si="26"/>
        <v>0</v>
      </c>
      <c r="M373" s="66"/>
      <c r="N373" s="66"/>
      <c r="O373" s="66"/>
      <c r="X373" s="20">
        <f t="shared" si="27"/>
        <v>0</v>
      </c>
      <c r="Y373" s="20">
        <f t="shared" si="28"/>
        <v>0</v>
      </c>
      <c r="Z373" s="20" t="e">
        <f t="shared" si="29"/>
        <v>#DIV/0!</v>
      </c>
    </row>
    <row r="374" spans="11:26" ht="14.25" customHeight="1" x14ac:dyDescent="0.3">
      <c r="K374" s="64">
        <f t="shared" si="25"/>
        <v>0</v>
      </c>
      <c r="L374" s="64">
        <f t="shared" si="26"/>
        <v>0</v>
      </c>
      <c r="M374" s="66"/>
      <c r="N374" s="66"/>
      <c r="O374" s="66"/>
      <c r="X374" s="20">
        <f t="shared" si="27"/>
        <v>0</v>
      </c>
      <c r="Y374" s="20">
        <f t="shared" si="28"/>
        <v>0</v>
      </c>
      <c r="Z374" s="20" t="e">
        <f t="shared" si="29"/>
        <v>#DIV/0!</v>
      </c>
    </row>
    <row r="375" spans="11:26" ht="14.25" customHeight="1" x14ac:dyDescent="0.3">
      <c r="K375" s="64">
        <f t="shared" si="25"/>
        <v>0</v>
      </c>
      <c r="L375" s="64">
        <f t="shared" si="26"/>
        <v>0</v>
      </c>
      <c r="M375" s="66">
        <f>C377*Scoring!$B$32+D377/Scoring!$C$32+E377*Scoring!$D$32+F377*Scoring!$E$32+G377/Scoring!$F$32+H377*Scoring!$G$32+I377*Scoring!$H$32+K377*Scoring!$I$32+RB!L377*Scoring!$J$32+U375</f>
        <v>0</v>
      </c>
      <c r="N375" s="66">
        <f>C375*Scoring!$B$32+D375/Scoring!$C$32+E375*Scoring!$D$32+F375*Scoring!$E$32+G375/Scoring!$F$32+H375*Scoring!$G$32+I375*Scoring!$H$32+K375*Scoring!$I$32+RB!L375*Scoring!$J$32+U375</f>
        <v>0</v>
      </c>
      <c r="O375" s="66">
        <f>C376*Scoring!$B$32+D376/Scoring!$C$32+E376*Scoring!$D$32+F376*Scoring!$E$32+G376/Scoring!$F$32+H376*Scoring!$G$32+I376*Scoring!$H$32+K376*Scoring!$I$32+L376*Scoring!$J$32+U375</f>
        <v>0</v>
      </c>
      <c r="P375" s="20">
        <f>IF(COUNTIF(Rookies!$A:$A,A375)&gt;0,1,0)</f>
        <v>0</v>
      </c>
      <c r="S375" s="20">
        <f>V375/17</f>
        <v>0</v>
      </c>
      <c r="T375" s="20">
        <f>IF(P375=1,MAX(0,0.258*(14.9-S375)),0)</f>
        <v>0</v>
      </c>
      <c r="U375" s="20">
        <f>T375*17</f>
        <v>0</v>
      </c>
      <c r="V375" s="20">
        <f>C375*Scoring!$B$32+D375/Scoring!$C$32+E375*Scoring!$D$32+F375*Scoring!$E$32+G375/Scoring!$F$32+H375*Scoring!$G$32+I375*Scoring!$H$32+K375*Scoring!$I$32+RB!L375*Scoring!$J$32</f>
        <v>0</v>
      </c>
      <c r="X375" s="20">
        <f t="shared" si="27"/>
        <v>0</v>
      </c>
      <c r="Y375" s="20">
        <f t="shared" si="28"/>
        <v>0</v>
      </c>
      <c r="Z375" s="20" t="e">
        <f t="shared" si="29"/>
        <v>#DIV/0!</v>
      </c>
    </row>
    <row r="376" spans="11:26" ht="14.25" customHeight="1" x14ac:dyDescent="0.3">
      <c r="K376" s="64">
        <f t="shared" si="25"/>
        <v>0</v>
      </c>
      <c r="L376" s="64">
        <f t="shared" si="26"/>
        <v>0</v>
      </c>
      <c r="M376" s="66"/>
      <c r="N376" s="66"/>
      <c r="O376" s="66"/>
      <c r="X376" s="20">
        <f t="shared" si="27"/>
        <v>0</v>
      </c>
      <c r="Y376" s="20">
        <f t="shared" si="28"/>
        <v>0</v>
      </c>
      <c r="Z376" s="20" t="e">
        <f t="shared" si="29"/>
        <v>#DIV/0!</v>
      </c>
    </row>
    <row r="377" spans="11:26" ht="14.25" customHeight="1" x14ac:dyDescent="0.3">
      <c r="K377" s="64">
        <f t="shared" si="25"/>
        <v>0</v>
      </c>
      <c r="L377" s="64">
        <f t="shared" si="26"/>
        <v>0</v>
      </c>
      <c r="M377" s="66"/>
      <c r="N377" s="66"/>
      <c r="O377" s="66"/>
      <c r="X377" s="20">
        <f t="shared" si="27"/>
        <v>0</v>
      </c>
      <c r="Y377" s="20">
        <f t="shared" si="28"/>
        <v>0</v>
      </c>
      <c r="Z377" s="20" t="e">
        <f t="shared" si="29"/>
        <v>#DIV/0!</v>
      </c>
    </row>
    <row r="378" spans="11:26" ht="14.25" customHeight="1" x14ac:dyDescent="0.3">
      <c r="K378" s="64">
        <f t="shared" si="25"/>
        <v>0</v>
      </c>
      <c r="L378" s="64">
        <f t="shared" si="26"/>
        <v>0</v>
      </c>
      <c r="M378" s="66">
        <f>C380*Scoring!$B$32+D380/Scoring!$C$32+E380*Scoring!$D$32+F380*Scoring!$E$32+G380/Scoring!$F$32+H380*Scoring!$G$32+I380*Scoring!$H$32+K380*Scoring!$I$32+RB!L380*Scoring!$J$32+U378</f>
        <v>0</v>
      </c>
      <c r="N378" s="66">
        <f>C378*Scoring!$B$32+D378/Scoring!$C$32+E378*Scoring!$D$32+F378*Scoring!$E$32+G378/Scoring!$F$32+H378*Scoring!$G$32+I378*Scoring!$H$32+K378*Scoring!$I$32+RB!L378*Scoring!$J$32+U378</f>
        <v>0</v>
      </c>
      <c r="O378" s="66">
        <f>C379*Scoring!$B$32+D379/Scoring!$C$32+E379*Scoring!$D$32+F379*Scoring!$E$32+G379/Scoring!$F$32+H379*Scoring!$G$32+I379*Scoring!$H$32+K379*Scoring!$I$32+L379*Scoring!$J$32+U378</f>
        <v>0</v>
      </c>
      <c r="P378" s="20">
        <f>IF(COUNTIF(Rookies!$A:$A,A378)&gt;0,1,0)</f>
        <v>0</v>
      </c>
      <c r="S378" s="20">
        <f>V378/17</f>
        <v>0</v>
      </c>
      <c r="T378" s="20">
        <f>IF(P378=1,MAX(0,0.258*(14.9-S378)),0)</f>
        <v>0</v>
      </c>
      <c r="U378" s="20">
        <f>T378*17</f>
        <v>0</v>
      </c>
      <c r="V378" s="20">
        <f>C378*Scoring!$B$32+D378/Scoring!$C$32+E378*Scoring!$D$32+F378*Scoring!$E$32+G378/Scoring!$F$32+H378*Scoring!$G$32+I378*Scoring!$H$32+K378*Scoring!$I$32+RB!L378*Scoring!$J$32</f>
        <v>0</v>
      </c>
      <c r="X378" s="20">
        <f t="shared" si="27"/>
        <v>0</v>
      </c>
      <c r="Y378" s="20">
        <f t="shared" si="28"/>
        <v>0</v>
      </c>
      <c r="Z378" s="20" t="e">
        <f t="shared" si="29"/>
        <v>#DIV/0!</v>
      </c>
    </row>
    <row r="379" spans="11:26" ht="14.25" customHeight="1" x14ac:dyDescent="0.3">
      <c r="K379" s="64">
        <f t="shared" si="25"/>
        <v>0</v>
      </c>
      <c r="L379" s="64">
        <f t="shared" si="26"/>
        <v>0</v>
      </c>
      <c r="M379" s="66"/>
      <c r="N379" s="66"/>
      <c r="O379" s="66"/>
      <c r="X379" s="20">
        <f t="shared" si="27"/>
        <v>0</v>
      </c>
      <c r="Y379" s="20">
        <f t="shared" si="28"/>
        <v>0</v>
      </c>
      <c r="Z379" s="20" t="e">
        <f t="shared" si="29"/>
        <v>#DIV/0!</v>
      </c>
    </row>
    <row r="380" spans="11:26" ht="14.25" customHeight="1" x14ac:dyDescent="0.3">
      <c r="K380" s="64">
        <f t="shared" si="25"/>
        <v>0</v>
      </c>
      <c r="L380" s="64">
        <f t="shared" si="26"/>
        <v>0</v>
      </c>
      <c r="M380" s="66"/>
      <c r="N380" s="66"/>
      <c r="O380" s="66"/>
      <c r="X380" s="20">
        <f t="shared" si="27"/>
        <v>0</v>
      </c>
      <c r="Y380" s="20">
        <f t="shared" si="28"/>
        <v>0</v>
      </c>
      <c r="Z380" s="20" t="e">
        <f t="shared" si="29"/>
        <v>#DIV/0!</v>
      </c>
    </row>
    <row r="381" spans="11:26" ht="14.25" customHeight="1" x14ac:dyDescent="0.3">
      <c r="K381" s="64">
        <f t="shared" si="25"/>
        <v>0</v>
      </c>
      <c r="L381" s="64">
        <f t="shared" si="26"/>
        <v>0</v>
      </c>
      <c r="M381" s="66">
        <f>C383*Scoring!$B$32+D383/Scoring!$C$32+E383*Scoring!$D$32+F383*Scoring!$E$32+G383/Scoring!$F$32+H383*Scoring!$G$32+I383*Scoring!$H$32+K383*Scoring!$I$32+RB!L383*Scoring!$J$32+U381</f>
        <v>0</v>
      </c>
      <c r="N381" s="66">
        <f>C381*Scoring!$B$32+D381/Scoring!$C$32+E381*Scoring!$D$32+F381*Scoring!$E$32+G381/Scoring!$F$32+H381*Scoring!$G$32+I381*Scoring!$H$32+K381*Scoring!$I$32+RB!L381*Scoring!$J$32+U381</f>
        <v>0</v>
      </c>
      <c r="O381" s="66">
        <f>C382*Scoring!$B$32+D382/Scoring!$C$32+E382*Scoring!$D$32+F382*Scoring!$E$32+G382/Scoring!$F$32+H382*Scoring!$G$32+I382*Scoring!$H$32+K382*Scoring!$I$32+L382*Scoring!$J$32+U381</f>
        <v>0</v>
      </c>
      <c r="P381" s="20">
        <f>IF(COUNTIF(Rookies!$A:$A,A381)&gt;0,1,0)</f>
        <v>0</v>
      </c>
      <c r="S381" s="20">
        <f>V381/17</f>
        <v>0</v>
      </c>
      <c r="T381" s="20">
        <f>IF(P381=1,MAX(0,0.258*(14.9-S381)),0)</f>
        <v>0</v>
      </c>
      <c r="U381" s="20">
        <f>T381*17</f>
        <v>0</v>
      </c>
      <c r="V381" s="20">
        <f>C381*Scoring!$B$32+D381/Scoring!$C$32+E381*Scoring!$D$32+F381*Scoring!$E$32+G381/Scoring!$F$32+H381*Scoring!$G$32+I381*Scoring!$H$32+K381*Scoring!$I$32+RB!L381*Scoring!$J$32</f>
        <v>0</v>
      </c>
      <c r="X381" s="20">
        <f t="shared" si="27"/>
        <v>0</v>
      </c>
      <c r="Y381" s="20">
        <f t="shared" si="28"/>
        <v>0</v>
      </c>
      <c r="Z381" s="20" t="e">
        <f t="shared" si="29"/>
        <v>#DIV/0!</v>
      </c>
    </row>
    <row r="382" spans="11:26" ht="14.25" customHeight="1" x14ac:dyDescent="0.3">
      <c r="K382" s="64">
        <f t="shared" si="25"/>
        <v>0</v>
      </c>
      <c r="L382" s="64">
        <f t="shared" si="26"/>
        <v>0</v>
      </c>
      <c r="M382" s="66"/>
      <c r="N382" s="66"/>
      <c r="O382" s="66"/>
      <c r="X382" s="20">
        <f t="shared" si="27"/>
        <v>0</v>
      </c>
      <c r="Y382" s="20">
        <f t="shared" si="28"/>
        <v>0</v>
      </c>
      <c r="Z382" s="20" t="e">
        <f t="shared" si="29"/>
        <v>#DIV/0!</v>
      </c>
    </row>
    <row r="383" spans="11:26" ht="14.25" customHeight="1" x14ac:dyDescent="0.3">
      <c r="K383" s="64">
        <f t="shared" si="25"/>
        <v>0</v>
      </c>
      <c r="L383" s="64">
        <f t="shared" si="26"/>
        <v>0</v>
      </c>
      <c r="M383" s="66"/>
      <c r="N383" s="66"/>
      <c r="O383" s="66"/>
      <c r="X383" s="20">
        <f t="shared" si="27"/>
        <v>0</v>
      </c>
      <c r="Y383" s="20">
        <f t="shared" si="28"/>
        <v>0</v>
      </c>
      <c r="Z383" s="20" t="e">
        <f t="shared" si="29"/>
        <v>#DIV/0!</v>
      </c>
    </row>
    <row r="384" spans="11:26" ht="14.25" customHeight="1" x14ac:dyDescent="0.3">
      <c r="K384" s="64">
        <f t="shared" si="25"/>
        <v>0</v>
      </c>
      <c r="L384" s="64">
        <f t="shared" si="26"/>
        <v>0</v>
      </c>
      <c r="M384" s="66">
        <f>C386*Scoring!$B$32+D386/Scoring!$C$32+E386*Scoring!$D$32+F386*Scoring!$E$32+G386/Scoring!$F$32+H386*Scoring!$G$32+I386*Scoring!$H$32+K386*Scoring!$I$32+RB!L386*Scoring!$J$32+U384</f>
        <v>0</v>
      </c>
      <c r="N384" s="66">
        <f>C384*Scoring!$B$32+D384/Scoring!$C$32+E384*Scoring!$D$32+F384*Scoring!$E$32+G384/Scoring!$F$32+H384*Scoring!$G$32+I384*Scoring!$H$32+K384*Scoring!$I$32+RB!L384*Scoring!$J$32+U384</f>
        <v>0</v>
      </c>
      <c r="O384" s="66">
        <f>C385*Scoring!$B$32+D385/Scoring!$C$32+E385*Scoring!$D$32+F385*Scoring!$E$32+G385/Scoring!$F$32+H385*Scoring!$G$32+I385*Scoring!$H$32+K385*Scoring!$I$32+L385*Scoring!$J$32+U384</f>
        <v>0</v>
      </c>
      <c r="P384" s="20">
        <f>IF(COUNTIF(Rookies!$A:$A,A384)&gt;0,1,0)</f>
        <v>0</v>
      </c>
      <c r="S384" s="20">
        <f>V384/17</f>
        <v>0</v>
      </c>
      <c r="T384" s="20">
        <f>IF(P384=1,MAX(0,0.258*(14.9-S384)),0)</f>
        <v>0</v>
      </c>
      <c r="U384" s="20">
        <f>T384*17</f>
        <v>0</v>
      </c>
      <c r="V384" s="20">
        <f>C384*Scoring!$B$32+D384/Scoring!$C$32+E384*Scoring!$D$32+F384*Scoring!$E$32+G384/Scoring!$F$32+H384*Scoring!$G$32+I384*Scoring!$H$32+K384*Scoring!$I$32+RB!L384*Scoring!$J$32</f>
        <v>0</v>
      </c>
      <c r="X384" s="20">
        <f t="shared" si="27"/>
        <v>0</v>
      </c>
      <c r="Y384" s="20">
        <f t="shared" si="28"/>
        <v>0</v>
      </c>
      <c r="Z384" s="20" t="e">
        <f t="shared" si="29"/>
        <v>#DIV/0!</v>
      </c>
    </row>
    <row r="385" spans="11:26" ht="14.25" customHeight="1" x14ac:dyDescent="0.3">
      <c r="K385" s="64">
        <f t="shared" si="25"/>
        <v>0</v>
      </c>
      <c r="L385" s="64">
        <f t="shared" si="26"/>
        <v>0</v>
      </c>
      <c r="M385" s="66"/>
      <c r="N385" s="66"/>
      <c r="O385" s="66"/>
      <c r="X385" s="20">
        <f t="shared" si="27"/>
        <v>0</v>
      </c>
      <c r="Y385" s="20">
        <f t="shared" si="28"/>
        <v>0</v>
      </c>
      <c r="Z385" s="20" t="e">
        <f t="shared" si="29"/>
        <v>#DIV/0!</v>
      </c>
    </row>
    <row r="386" spans="11:26" ht="14.25" customHeight="1" x14ac:dyDescent="0.3">
      <c r="K386" s="64">
        <f t="shared" si="25"/>
        <v>0</v>
      </c>
      <c r="L386" s="64">
        <f t="shared" si="26"/>
        <v>0</v>
      </c>
      <c r="M386" s="66"/>
      <c r="N386" s="66"/>
      <c r="O386" s="66"/>
      <c r="X386" s="20">
        <f t="shared" si="27"/>
        <v>0</v>
      </c>
      <c r="Y386" s="20">
        <f t="shared" si="28"/>
        <v>0</v>
      </c>
      <c r="Z386" s="20" t="e">
        <f t="shared" si="29"/>
        <v>#DIV/0!</v>
      </c>
    </row>
    <row r="387" spans="11:26" ht="14.25" customHeight="1" x14ac:dyDescent="0.3">
      <c r="K387" s="64">
        <f t="shared" ref="K387:K450" si="30">IFERROR((D387/C387)/4.5*0.25*C387,0)</f>
        <v>0</v>
      </c>
      <c r="L387" s="64">
        <f t="shared" ref="L387:L450" si="31">IFERROR((G387/F387)/7.95*0.376*F387,0)</f>
        <v>0</v>
      </c>
      <c r="M387" s="66">
        <f>C389*Scoring!$B$32+D389/Scoring!$C$32+E389*Scoring!$D$32+F389*Scoring!$E$32+G389/Scoring!$F$32+H389*Scoring!$G$32+I389*Scoring!$H$32+K389*Scoring!$I$32+RB!L389*Scoring!$J$32+U387</f>
        <v>0</v>
      </c>
      <c r="N387" s="66">
        <f>C387*Scoring!$B$32+D387/Scoring!$C$32+E387*Scoring!$D$32+F387*Scoring!$E$32+G387/Scoring!$F$32+H387*Scoring!$G$32+I387*Scoring!$H$32+K387*Scoring!$I$32+RB!L387*Scoring!$J$32+U387</f>
        <v>0</v>
      </c>
      <c r="O387" s="66">
        <f>C388*Scoring!$B$32+D388/Scoring!$C$32+E388*Scoring!$D$32+F388*Scoring!$E$32+G388/Scoring!$F$32+H388*Scoring!$G$32+I388*Scoring!$H$32+K388*Scoring!$I$32+L388*Scoring!$J$32+U387</f>
        <v>0</v>
      </c>
      <c r="P387" s="20">
        <f>IF(COUNTIF(Rookies!$A:$A,A387)&gt;0,1,0)</f>
        <v>0</v>
      </c>
      <c r="S387" s="20">
        <f>V387/17</f>
        <v>0</v>
      </c>
      <c r="T387" s="20">
        <f>IF(P387=1,MAX(0,0.258*(14.9-S387)),0)</f>
        <v>0</v>
      </c>
      <c r="U387" s="20">
        <f>T387*17</f>
        <v>0</v>
      </c>
      <c r="V387" s="20">
        <f>C387*Scoring!$B$32+D387/Scoring!$C$32+E387*Scoring!$D$32+F387*Scoring!$E$32+G387/Scoring!$F$32+H387*Scoring!$G$32+I387*Scoring!$H$32+K387*Scoring!$I$32+RB!L387*Scoring!$J$32</f>
        <v>0</v>
      </c>
      <c r="X387" s="20">
        <f t="shared" si="27"/>
        <v>0</v>
      </c>
      <c r="Y387" s="20">
        <f t="shared" si="28"/>
        <v>0</v>
      </c>
      <c r="Z387" s="20" t="e">
        <f t="shared" si="29"/>
        <v>#DIV/0!</v>
      </c>
    </row>
    <row r="388" spans="11:26" ht="14.25" customHeight="1" x14ac:dyDescent="0.3">
      <c r="K388" s="64">
        <f t="shared" si="30"/>
        <v>0</v>
      </c>
      <c r="L388" s="64">
        <f t="shared" si="31"/>
        <v>0</v>
      </c>
      <c r="M388" s="66"/>
      <c r="N388" s="66"/>
      <c r="O388" s="66"/>
      <c r="X388" s="20">
        <f t="shared" ref="X388:X451" si="32">D388+G388</f>
        <v>0</v>
      </c>
      <c r="Y388" s="20">
        <f t="shared" ref="Y388:Y451" si="33">H388+E388</f>
        <v>0</v>
      </c>
      <c r="Z388" s="20" t="e">
        <f t="shared" ref="Z388:Z451" si="34">X388/Y388</f>
        <v>#DIV/0!</v>
      </c>
    </row>
    <row r="389" spans="11:26" ht="14.25" customHeight="1" x14ac:dyDescent="0.3">
      <c r="K389" s="64">
        <f t="shared" si="30"/>
        <v>0</v>
      </c>
      <c r="L389" s="64">
        <f t="shared" si="31"/>
        <v>0</v>
      </c>
      <c r="M389" s="66"/>
      <c r="N389" s="66"/>
      <c r="O389" s="66"/>
      <c r="X389" s="20">
        <f t="shared" si="32"/>
        <v>0</v>
      </c>
      <c r="Y389" s="20">
        <f t="shared" si="33"/>
        <v>0</v>
      </c>
      <c r="Z389" s="20" t="e">
        <f t="shared" si="34"/>
        <v>#DIV/0!</v>
      </c>
    </row>
    <row r="390" spans="11:26" ht="14.25" customHeight="1" x14ac:dyDescent="0.3">
      <c r="K390" s="64">
        <f t="shared" si="30"/>
        <v>0</v>
      </c>
      <c r="L390" s="64">
        <f t="shared" si="31"/>
        <v>0</v>
      </c>
      <c r="M390" s="66">
        <f>C392*Scoring!$B$32+D392/Scoring!$C$32+E392*Scoring!$D$32+F392*Scoring!$E$32+G392/Scoring!$F$32+H392*Scoring!$G$32+I392*Scoring!$H$32+K392*Scoring!$I$32+RB!L392*Scoring!$J$32+U390</f>
        <v>0</v>
      </c>
      <c r="N390" s="66">
        <f>C390*Scoring!$B$32+D390/Scoring!$C$32+E390*Scoring!$D$32+F390*Scoring!$E$32+G390/Scoring!$F$32+H390*Scoring!$G$32+I390*Scoring!$H$32+K390*Scoring!$I$32+RB!L390*Scoring!$J$32+U390</f>
        <v>0</v>
      </c>
      <c r="O390" s="66">
        <f>C391*Scoring!$B$32+D391/Scoring!$C$32+E391*Scoring!$D$32+F391*Scoring!$E$32+G391/Scoring!$F$32+H391*Scoring!$G$32+I391*Scoring!$H$32+K391*Scoring!$I$32+L391*Scoring!$J$32+U390</f>
        <v>0</v>
      </c>
      <c r="P390" s="20">
        <f>IF(COUNTIF(Rookies!$A:$A,A390)&gt;0,1,0)</f>
        <v>0</v>
      </c>
      <c r="S390" s="20">
        <f>V390/17</f>
        <v>0</v>
      </c>
      <c r="T390" s="20">
        <f>IF(P390=1,MAX(0,0.258*(14.9-S390)),0)</f>
        <v>0</v>
      </c>
      <c r="U390" s="20">
        <f>T390*17</f>
        <v>0</v>
      </c>
      <c r="V390" s="20">
        <f>C390*Scoring!$B$32+D390/Scoring!$C$32+E390*Scoring!$D$32+F390*Scoring!$E$32+G390/Scoring!$F$32+H390*Scoring!$G$32+I390*Scoring!$H$32+K390*Scoring!$I$32+RB!L390*Scoring!$J$32</f>
        <v>0</v>
      </c>
      <c r="X390" s="20">
        <f t="shared" si="32"/>
        <v>0</v>
      </c>
      <c r="Y390" s="20">
        <f t="shared" si="33"/>
        <v>0</v>
      </c>
      <c r="Z390" s="20" t="e">
        <f t="shared" si="34"/>
        <v>#DIV/0!</v>
      </c>
    </row>
    <row r="391" spans="11:26" ht="14.25" customHeight="1" x14ac:dyDescent="0.3">
      <c r="K391" s="64">
        <f t="shared" si="30"/>
        <v>0</v>
      </c>
      <c r="L391" s="64">
        <f t="shared" si="31"/>
        <v>0</v>
      </c>
      <c r="M391" s="66"/>
      <c r="N391" s="66"/>
      <c r="O391" s="66"/>
      <c r="X391" s="20">
        <f t="shared" si="32"/>
        <v>0</v>
      </c>
      <c r="Y391" s="20">
        <f t="shared" si="33"/>
        <v>0</v>
      </c>
      <c r="Z391" s="20" t="e">
        <f t="shared" si="34"/>
        <v>#DIV/0!</v>
      </c>
    </row>
    <row r="392" spans="11:26" ht="14.25" customHeight="1" x14ac:dyDescent="0.3">
      <c r="K392" s="64">
        <f t="shared" si="30"/>
        <v>0</v>
      </c>
      <c r="L392" s="64">
        <f t="shared" si="31"/>
        <v>0</v>
      </c>
      <c r="M392" s="66"/>
      <c r="N392" s="66"/>
      <c r="O392" s="66"/>
      <c r="X392" s="20">
        <f t="shared" si="32"/>
        <v>0</v>
      </c>
      <c r="Y392" s="20">
        <f t="shared" si="33"/>
        <v>0</v>
      </c>
      <c r="Z392" s="20" t="e">
        <f t="shared" si="34"/>
        <v>#DIV/0!</v>
      </c>
    </row>
    <row r="393" spans="11:26" ht="14.25" customHeight="1" x14ac:dyDescent="0.3">
      <c r="K393" s="64">
        <f t="shared" si="30"/>
        <v>0</v>
      </c>
      <c r="L393" s="64">
        <f t="shared" si="31"/>
        <v>0</v>
      </c>
      <c r="M393" s="66">
        <f>C395*Scoring!$B$32+D395/Scoring!$C$32+E395*Scoring!$D$32+F395*Scoring!$E$32+G395/Scoring!$F$32+H395*Scoring!$G$32+I395*Scoring!$H$32+K395*Scoring!$I$32+RB!L395*Scoring!$J$32+U393</f>
        <v>0</v>
      </c>
      <c r="N393" s="66">
        <f>C393*Scoring!$B$32+D393/Scoring!$C$32+E393*Scoring!$D$32+F393*Scoring!$E$32+G393/Scoring!$F$32+H393*Scoring!$G$32+I393*Scoring!$H$32+K393*Scoring!$I$32+RB!L393*Scoring!$J$32+U393</f>
        <v>0</v>
      </c>
      <c r="O393" s="66">
        <f>C394*Scoring!$B$32+D394/Scoring!$C$32+E394*Scoring!$D$32+F394*Scoring!$E$32+G394/Scoring!$F$32+H394*Scoring!$G$32+I394*Scoring!$H$32+K394*Scoring!$I$32+L394*Scoring!$J$32+U393</f>
        <v>0</v>
      </c>
      <c r="P393" s="20">
        <f>IF(COUNTIF(Rookies!$A:$A,A393)&gt;0,1,0)</f>
        <v>0</v>
      </c>
      <c r="S393" s="20">
        <f>V393/17</f>
        <v>0</v>
      </c>
      <c r="T393" s="20">
        <f>IF(P393=1,MAX(0,0.258*(14.9-S393)),0)</f>
        <v>0</v>
      </c>
      <c r="U393" s="20">
        <f>T393*17</f>
        <v>0</v>
      </c>
      <c r="V393" s="20">
        <f>C393*Scoring!$B$32+D393/Scoring!$C$32+E393*Scoring!$D$32+F393*Scoring!$E$32+G393/Scoring!$F$32+H393*Scoring!$G$32+I393*Scoring!$H$32+K393*Scoring!$I$32+RB!L393*Scoring!$J$32</f>
        <v>0</v>
      </c>
      <c r="X393" s="20">
        <f t="shared" si="32"/>
        <v>0</v>
      </c>
      <c r="Y393" s="20">
        <f t="shared" si="33"/>
        <v>0</v>
      </c>
      <c r="Z393" s="20" t="e">
        <f t="shared" si="34"/>
        <v>#DIV/0!</v>
      </c>
    </row>
    <row r="394" spans="11:26" ht="14.25" customHeight="1" x14ac:dyDescent="0.3">
      <c r="K394" s="64">
        <f t="shared" si="30"/>
        <v>0</v>
      </c>
      <c r="L394" s="64">
        <f t="shared" si="31"/>
        <v>0</v>
      </c>
      <c r="M394" s="66"/>
      <c r="N394" s="66"/>
      <c r="O394" s="66"/>
      <c r="X394" s="20">
        <f t="shared" si="32"/>
        <v>0</v>
      </c>
      <c r="Y394" s="20">
        <f t="shared" si="33"/>
        <v>0</v>
      </c>
      <c r="Z394" s="20" t="e">
        <f t="shared" si="34"/>
        <v>#DIV/0!</v>
      </c>
    </row>
    <row r="395" spans="11:26" ht="14.25" customHeight="1" x14ac:dyDescent="0.3">
      <c r="K395" s="64">
        <f t="shared" si="30"/>
        <v>0</v>
      </c>
      <c r="L395" s="64">
        <f t="shared" si="31"/>
        <v>0</v>
      </c>
      <c r="M395" s="66"/>
      <c r="N395" s="66"/>
      <c r="O395" s="66"/>
      <c r="X395" s="20">
        <f t="shared" si="32"/>
        <v>0</v>
      </c>
      <c r="Y395" s="20">
        <f t="shared" si="33"/>
        <v>0</v>
      </c>
      <c r="Z395" s="20" t="e">
        <f t="shared" si="34"/>
        <v>#DIV/0!</v>
      </c>
    </row>
    <row r="396" spans="11:26" ht="14.25" customHeight="1" x14ac:dyDescent="0.3">
      <c r="K396" s="64">
        <f t="shared" si="30"/>
        <v>0</v>
      </c>
      <c r="L396" s="64">
        <f t="shared" si="31"/>
        <v>0</v>
      </c>
      <c r="M396" s="66">
        <f>C398*Scoring!$B$32+D398/Scoring!$C$32+E398*Scoring!$D$32+F398*Scoring!$E$32+G398/Scoring!$F$32+H398*Scoring!$G$32+I398*Scoring!$H$32+K398*Scoring!$I$32+RB!L398*Scoring!$J$32+U396</f>
        <v>0</v>
      </c>
      <c r="N396" s="66">
        <f>C396*Scoring!$B$32+D396/Scoring!$C$32+E396*Scoring!$D$32+F396*Scoring!$E$32+G396/Scoring!$F$32+H396*Scoring!$G$32+I396*Scoring!$H$32+K396*Scoring!$I$32+RB!L396*Scoring!$J$32+U396</f>
        <v>0</v>
      </c>
      <c r="O396" s="66">
        <f>C397*Scoring!$B$32+D397/Scoring!$C$32+E397*Scoring!$D$32+F397*Scoring!$E$32+G397/Scoring!$F$32+H397*Scoring!$G$32+I397*Scoring!$H$32+K397*Scoring!$I$32+L397*Scoring!$J$32+U396</f>
        <v>0</v>
      </c>
      <c r="P396" s="20">
        <f>IF(COUNTIF(Rookies!$A:$A,A396)&gt;0,1,0)</f>
        <v>0</v>
      </c>
      <c r="S396" s="20">
        <f>V396/17</f>
        <v>0</v>
      </c>
      <c r="T396" s="20">
        <f>IF(P396=1,MAX(0,0.258*(14.9-S396)),0)</f>
        <v>0</v>
      </c>
      <c r="U396" s="20">
        <f>T396*17</f>
        <v>0</v>
      </c>
      <c r="V396" s="20">
        <f>C396*Scoring!$B$32+D396/Scoring!$C$32+E396*Scoring!$D$32+F396*Scoring!$E$32+G396/Scoring!$F$32+H396*Scoring!$G$32+I396*Scoring!$H$32+K396*Scoring!$I$32+RB!L396*Scoring!$J$32</f>
        <v>0</v>
      </c>
      <c r="X396" s="20">
        <f t="shared" si="32"/>
        <v>0</v>
      </c>
      <c r="Y396" s="20">
        <f t="shared" si="33"/>
        <v>0</v>
      </c>
      <c r="Z396" s="20" t="e">
        <f t="shared" si="34"/>
        <v>#DIV/0!</v>
      </c>
    </row>
    <row r="397" spans="11:26" ht="14.25" customHeight="1" x14ac:dyDescent="0.3">
      <c r="K397" s="64">
        <f t="shared" si="30"/>
        <v>0</v>
      </c>
      <c r="L397" s="64">
        <f t="shared" si="31"/>
        <v>0</v>
      </c>
      <c r="M397" s="66"/>
      <c r="N397" s="66"/>
      <c r="O397" s="66"/>
      <c r="X397" s="20">
        <f t="shared" si="32"/>
        <v>0</v>
      </c>
      <c r="Y397" s="20">
        <f t="shared" si="33"/>
        <v>0</v>
      </c>
      <c r="Z397" s="20" t="e">
        <f t="shared" si="34"/>
        <v>#DIV/0!</v>
      </c>
    </row>
    <row r="398" spans="11:26" ht="14.25" customHeight="1" x14ac:dyDescent="0.3">
      <c r="K398" s="64">
        <f t="shared" si="30"/>
        <v>0</v>
      </c>
      <c r="L398" s="64">
        <f t="shared" si="31"/>
        <v>0</v>
      </c>
      <c r="M398" s="66"/>
      <c r="N398" s="66"/>
      <c r="O398" s="66"/>
      <c r="X398" s="20">
        <f t="shared" si="32"/>
        <v>0</v>
      </c>
      <c r="Y398" s="20">
        <f t="shared" si="33"/>
        <v>0</v>
      </c>
      <c r="Z398" s="20" t="e">
        <f t="shared" si="34"/>
        <v>#DIV/0!</v>
      </c>
    </row>
    <row r="399" spans="11:26" ht="14.25" customHeight="1" x14ac:dyDescent="0.3">
      <c r="K399" s="64">
        <f t="shared" si="30"/>
        <v>0</v>
      </c>
      <c r="L399" s="64">
        <f t="shared" si="31"/>
        <v>0</v>
      </c>
      <c r="M399" s="66">
        <f>C401*Scoring!$B$32+D401/Scoring!$C$32+E401*Scoring!$D$32+F401*Scoring!$E$32+G401/Scoring!$F$32+H401*Scoring!$G$32+I401*Scoring!$H$32+K401*Scoring!$I$32+RB!L401*Scoring!$J$32+U399</f>
        <v>0</v>
      </c>
      <c r="N399" s="66">
        <f>C399*Scoring!$B$32+D399/Scoring!$C$32+E399*Scoring!$D$32+F399*Scoring!$E$32+G399/Scoring!$F$32+H399*Scoring!$G$32+I399*Scoring!$H$32+K399*Scoring!$I$32+RB!L399*Scoring!$J$32+U399</f>
        <v>0</v>
      </c>
      <c r="O399" s="66">
        <f>C400*Scoring!$B$32+D400/Scoring!$C$32+E400*Scoring!$D$32+F400*Scoring!$E$32+G400/Scoring!$F$32+H400*Scoring!$G$32+I400*Scoring!$H$32+K400*Scoring!$I$32+L400*Scoring!$J$32+U399</f>
        <v>0</v>
      </c>
      <c r="P399" s="20">
        <f>IF(COUNTIF(Rookies!$A:$A,A399)&gt;0,1,0)</f>
        <v>0</v>
      </c>
      <c r="S399" s="20">
        <f>V399/17</f>
        <v>0</v>
      </c>
      <c r="T399" s="20">
        <f>IF(P399=1,MAX(0,0.258*(14.9-S399)),0)</f>
        <v>0</v>
      </c>
      <c r="U399" s="20">
        <f>T399*17</f>
        <v>0</v>
      </c>
      <c r="V399" s="20">
        <f>C399*Scoring!$B$32+D399/Scoring!$C$32+E399*Scoring!$D$32+F399*Scoring!$E$32+G399/Scoring!$F$32+H399*Scoring!$G$32+I399*Scoring!$H$32+K399*Scoring!$I$32+RB!L399*Scoring!$J$32</f>
        <v>0</v>
      </c>
      <c r="X399" s="20">
        <f t="shared" si="32"/>
        <v>0</v>
      </c>
      <c r="Y399" s="20">
        <f t="shared" si="33"/>
        <v>0</v>
      </c>
      <c r="Z399" s="20" t="e">
        <f t="shared" si="34"/>
        <v>#DIV/0!</v>
      </c>
    </row>
    <row r="400" spans="11:26" ht="14.25" customHeight="1" x14ac:dyDescent="0.3">
      <c r="K400" s="64">
        <f t="shared" si="30"/>
        <v>0</v>
      </c>
      <c r="L400" s="64">
        <f t="shared" si="31"/>
        <v>0</v>
      </c>
      <c r="M400" s="66"/>
      <c r="N400" s="66"/>
      <c r="O400" s="66"/>
      <c r="X400" s="20">
        <f t="shared" si="32"/>
        <v>0</v>
      </c>
      <c r="Y400" s="20">
        <f t="shared" si="33"/>
        <v>0</v>
      </c>
      <c r="Z400" s="20" t="e">
        <f t="shared" si="34"/>
        <v>#DIV/0!</v>
      </c>
    </row>
    <row r="401" spans="11:26" ht="14.25" customHeight="1" x14ac:dyDescent="0.3">
      <c r="K401" s="64">
        <f t="shared" si="30"/>
        <v>0</v>
      </c>
      <c r="L401" s="64">
        <f t="shared" si="31"/>
        <v>0</v>
      </c>
      <c r="M401" s="66"/>
      <c r="N401" s="66"/>
      <c r="O401" s="66"/>
      <c r="X401" s="20">
        <f t="shared" si="32"/>
        <v>0</v>
      </c>
      <c r="Y401" s="20">
        <f t="shared" si="33"/>
        <v>0</v>
      </c>
      <c r="Z401" s="20" t="e">
        <f t="shared" si="34"/>
        <v>#DIV/0!</v>
      </c>
    </row>
    <row r="402" spans="11:26" ht="14.25" customHeight="1" x14ac:dyDescent="0.3">
      <c r="K402" s="64">
        <f t="shared" si="30"/>
        <v>0</v>
      </c>
      <c r="L402" s="64">
        <f t="shared" si="31"/>
        <v>0</v>
      </c>
      <c r="M402" s="66">
        <f>C404*Scoring!$B$32+D404/Scoring!$C$32+E404*Scoring!$D$32+F404*Scoring!$E$32+G404/Scoring!$F$32+H404*Scoring!$G$32+I404*Scoring!$H$32+K404*Scoring!$I$32+RB!L404*Scoring!$J$32+U402</f>
        <v>0</v>
      </c>
      <c r="N402" s="66">
        <f>C402*Scoring!$B$32+D402/Scoring!$C$32+E402*Scoring!$D$32+F402*Scoring!$E$32+G402/Scoring!$F$32+H402*Scoring!$G$32+I402*Scoring!$H$32+K402*Scoring!$I$32+RB!L402*Scoring!$J$32+U402</f>
        <v>0</v>
      </c>
      <c r="O402" s="66">
        <f>C403*Scoring!$B$32+D403/Scoring!$C$32+E403*Scoring!$D$32+F403*Scoring!$E$32+G403/Scoring!$F$32+H403*Scoring!$G$32+I403*Scoring!$H$32+K403*Scoring!$I$32+L403*Scoring!$J$32+U402</f>
        <v>0</v>
      </c>
      <c r="P402" s="20">
        <f>IF(COUNTIF(Rookies!$A:$A,A402)&gt;0,1,0)</f>
        <v>0</v>
      </c>
      <c r="S402" s="20">
        <f>V402/17</f>
        <v>0</v>
      </c>
      <c r="T402" s="20">
        <f>IF(P402=1,MAX(0,0.258*(14.9-S402)),0)</f>
        <v>0</v>
      </c>
      <c r="U402" s="20">
        <f>T402*17</f>
        <v>0</v>
      </c>
      <c r="V402" s="20">
        <f>C402*Scoring!$B$32+D402/Scoring!$C$32+E402*Scoring!$D$32+F402*Scoring!$E$32+G402/Scoring!$F$32+H402*Scoring!$G$32+I402*Scoring!$H$32+K402*Scoring!$I$32+RB!L402*Scoring!$J$32</f>
        <v>0</v>
      </c>
      <c r="X402" s="20">
        <f t="shared" si="32"/>
        <v>0</v>
      </c>
      <c r="Y402" s="20">
        <f t="shared" si="33"/>
        <v>0</v>
      </c>
      <c r="Z402" s="20" t="e">
        <f t="shared" si="34"/>
        <v>#DIV/0!</v>
      </c>
    </row>
    <row r="403" spans="11:26" ht="14.25" customHeight="1" x14ac:dyDescent="0.3">
      <c r="K403" s="64">
        <f t="shared" si="30"/>
        <v>0</v>
      </c>
      <c r="L403" s="64">
        <f t="shared" si="31"/>
        <v>0</v>
      </c>
      <c r="M403" s="66"/>
      <c r="N403" s="66"/>
      <c r="O403" s="66"/>
      <c r="X403" s="20">
        <f t="shared" si="32"/>
        <v>0</v>
      </c>
      <c r="Y403" s="20">
        <f t="shared" si="33"/>
        <v>0</v>
      </c>
      <c r="Z403" s="20" t="e">
        <f t="shared" si="34"/>
        <v>#DIV/0!</v>
      </c>
    </row>
    <row r="404" spans="11:26" ht="14.25" customHeight="1" x14ac:dyDescent="0.3">
      <c r="K404" s="64">
        <f t="shared" si="30"/>
        <v>0</v>
      </c>
      <c r="L404" s="64">
        <f t="shared" si="31"/>
        <v>0</v>
      </c>
      <c r="M404" s="66"/>
      <c r="N404" s="66"/>
      <c r="O404" s="66"/>
      <c r="X404" s="20">
        <f t="shared" si="32"/>
        <v>0</v>
      </c>
      <c r="Y404" s="20">
        <f t="shared" si="33"/>
        <v>0</v>
      </c>
      <c r="Z404" s="20" t="e">
        <f t="shared" si="34"/>
        <v>#DIV/0!</v>
      </c>
    </row>
    <row r="405" spans="11:26" ht="14.25" customHeight="1" x14ac:dyDescent="0.3">
      <c r="K405" s="64">
        <f t="shared" si="30"/>
        <v>0</v>
      </c>
      <c r="L405" s="64">
        <f t="shared" si="31"/>
        <v>0</v>
      </c>
      <c r="M405" s="66">
        <f>C407*Scoring!$B$32+D407/Scoring!$C$32+E407*Scoring!$D$32+F407*Scoring!$E$32+G407/Scoring!$F$32+H407*Scoring!$G$32+I407*Scoring!$H$32+K407*Scoring!$I$32+RB!L407*Scoring!$J$32+U405</f>
        <v>0</v>
      </c>
      <c r="N405" s="66">
        <f>C405*Scoring!$B$32+D405/Scoring!$C$32+E405*Scoring!$D$32+F405*Scoring!$E$32+G405/Scoring!$F$32+H405*Scoring!$G$32+I405*Scoring!$H$32+K405*Scoring!$I$32+RB!L405*Scoring!$J$32+U405</f>
        <v>0</v>
      </c>
      <c r="O405" s="66">
        <f>C406*Scoring!$B$32+D406/Scoring!$C$32+E406*Scoring!$D$32+F406*Scoring!$E$32+G406/Scoring!$F$32+H406*Scoring!$G$32+I406*Scoring!$H$32+K406*Scoring!$I$32+L406*Scoring!$J$32+U405</f>
        <v>0</v>
      </c>
      <c r="P405" s="20">
        <f>IF(COUNTIF(Rookies!$A:$A,A405)&gt;0,1,0)</f>
        <v>0</v>
      </c>
      <c r="S405" s="20">
        <f>V405/17</f>
        <v>0</v>
      </c>
      <c r="T405" s="20">
        <f>IF(P405=1,MAX(0,0.258*(14.9-S405)),0)</f>
        <v>0</v>
      </c>
      <c r="U405" s="20">
        <f>T405*17</f>
        <v>0</v>
      </c>
      <c r="V405" s="20">
        <f>C405*Scoring!$B$32+D405/Scoring!$C$32+E405*Scoring!$D$32+F405*Scoring!$E$32+G405/Scoring!$F$32+H405*Scoring!$G$32+I405*Scoring!$H$32+K405*Scoring!$I$32+RB!L405*Scoring!$J$32</f>
        <v>0</v>
      </c>
      <c r="X405" s="20">
        <f t="shared" si="32"/>
        <v>0</v>
      </c>
      <c r="Y405" s="20">
        <f t="shared" si="33"/>
        <v>0</v>
      </c>
      <c r="Z405" s="20" t="e">
        <f t="shared" si="34"/>
        <v>#DIV/0!</v>
      </c>
    </row>
    <row r="406" spans="11:26" ht="14.25" customHeight="1" x14ac:dyDescent="0.3">
      <c r="K406" s="64">
        <f t="shared" si="30"/>
        <v>0</v>
      </c>
      <c r="L406" s="64">
        <f t="shared" si="31"/>
        <v>0</v>
      </c>
      <c r="M406" s="66"/>
      <c r="N406" s="66"/>
      <c r="O406" s="66"/>
      <c r="X406" s="20">
        <f t="shared" si="32"/>
        <v>0</v>
      </c>
      <c r="Y406" s="20">
        <f t="shared" si="33"/>
        <v>0</v>
      </c>
      <c r="Z406" s="20" t="e">
        <f t="shared" si="34"/>
        <v>#DIV/0!</v>
      </c>
    </row>
    <row r="407" spans="11:26" ht="14.25" customHeight="1" x14ac:dyDescent="0.3">
      <c r="K407" s="64">
        <f t="shared" si="30"/>
        <v>0</v>
      </c>
      <c r="L407" s="64">
        <f t="shared" si="31"/>
        <v>0</v>
      </c>
      <c r="M407" s="66"/>
      <c r="N407" s="66"/>
      <c r="O407" s="66"/>
      <c r="X407" s="20">
        <f t="shared" si="32"/>
        <v>0</v>
      </c>
      <c r="Y407" s="20">
        <f t="shared" si="33"/>
        <v>0</v>
      </c>
      <c r="Z407" s="20" t="e">
        <f t="shared" si="34"/>
        <v>#DIV/0!</v>
      </c>
    </row>
    <row r="408" spans="11:26" ht="14.25" customHeight="1" x14ac:dyDescent="0.3">
      <c r="K408" s="64">
        <f t="shared" si="30"/>
        <v>0</v>
      </c>
      <c r="L408" s="64">
        <f t="shared" si="31"/>
        <v>0</v>
      </c>
      <c r="M408" s="66">
        <f>C410*Scoring!$B$32+D410/Scoring!$C$32+E410*Scoring!$D$32+F410*Scoring!$E$32+G410/Scoring!$F$32+H410*Scoring!$G$32+I410*Scoring!$H$32+K410*Scoring!$I$32+RB!L410*Scoring!$J$32+U408</f>
        <v>0</v>
      </c>
      <c r="N408" s="66">
        <f>C408*Scoring!$B$32+D408/Scoring!$C$32+E408*Scoring!$D$32+F408*Scoring!$E$32+G408/Scoring!$F$32+H408*Scoring!$G$32+I408*Scoring!$H$32+K408*Scoring!$I$32+RB!L408*Scoring!$J$32+U408</f>
        <v>0</v>
      </c>
      <c r="O408" s="66">
        <f>C409*Scoring!$B$32+D409/Scoring!$C$32+E409*Scoring!$D$32+F409*Scoring!$E$32+G409/Scoring!$F$32+H409*Scoring!$G$32+I409*Scoring!$H$32+K409*Scoring!$I$32+L409*Scoring!$J$32+U408</f>
        <v>0</v>
      </c>
      <c r="P408" s="20">
        <f>IF(COUNTIF(Rookies!$A:$A,A408)&gt;0,1,0)</f>
        <v>0</v>
      </c>
      <c r="S408" s="20">
        <f>V408/17</f>
        <v>0</v>
      </c>
      <c r="T408" s="20">
        <f>IF(P408=1,MAX(0,0.258*(14.9-S408)),0)</f>
        <v>0</v>
      </c>
      <c r="U408" s="20">
        <f>T408*17</f>
        <v>0</v>
      </c>
      <c r="V408" s="20">
        <f>C408*Scoring!$B$32+D408/Scoring!$C$32+E408*Scoring!$D$32+F408*Scoring!$E$32+G408/Scoring!$F$32+H408*Scoring!$G$32+I408*Scoring!$H$32+K408*Scoring!$I$32+RB!L408*Scoring!$J$32</f>
        <v>0</v>
      </c>
      <c r="X408" s="20">
        <f t="shared" si="32"/>
        <v>0</v>
      </c>
      <c r="Y408" s="20">
        <f t="shared" si="33"/>
        <v>0</v>
      </c>
      <c r="Z408" s="20" t="e">
        <f t="shared" si="34"/>
        <v>#DIV/0!</v>
      </c>
    </row>
    <row r="409" spans="11:26" ht="14.25" customHeight="1" x14ac:dyDescent="0.3">
      <c r="K409" s="64">
        <f t="shared" si="30"/>
        <v>0</v>
      </c>
      <c r="L409" s="64">
        <f t="shared" si="31"/>
        <v>0</v>
      </c>
      <c r="M409" s="66"/>
      <c r="N409" s="66"/>
      <c r="O409" s="66"/>
      <c r="X409" s="20">
        <f t="shared" si="32"/>
        <v>0</v>
      </c>
      <c r="Y409" s="20">
        <f t="shared" si="33"/>
        <v>0</v>
      </c>
      <c r="Z409" s="20" t="e">
        <f t="shared" si="34"/>
        <v>#DIV/0!</v>
      </c>
    </row>
    <row r="410" spans="11:26" ht="14.25" customHeight="1" x14ac:dyDescent="0.3">
      <c r="K410" s="64">
        <f t="shared" si="30"/>
        <v>0</v>
      </c>
      <c r="L410" s="64">
        <f t="shared" si="31"/>
        <v>0</v>
      </c>
      <c r="M410" s="66"/>
      <c r="N410" s="66"/>
      <c r="O410" s="66"/>
      <c r="X410" s="20">
        <f t="shared" si="32"/>
        <v>0</v>
      </c>
      <c r="Y410" s="20">
        <f t="shared" si="33"/>
        <v>0</v>
      </c>
      <c r="Z410" s="20" t="e">
        <f t="shared" si="34"/>
        <v>#DIV/0!</v>
      </c>
    </row>
    <row r="411" spans="11:26" ht="14.25" customHeight="1" x14ac:dyDescent="0.3">
      <c r="K411" s="64">
        <f t="shared" si="30"/>
        <v>0</v>
      </c>
      <c r="L411" s="64">
        <f t="shared" si="31"/>
        <v>0</v>
      </c>
      <c r="M411" s="66">
        <f>C413*Scoring!$B$32+D413/Scoring!$C$32+E413*Scoring!$D$32+F413*Scoring!$E$32+G413/Scoring!$F$32+H413*Scoring!$G$32+I413*Scoring!$H$32+K413*Scoring!$I$32+RB!L413*Scoring!$J$32+U411</f>
        <v>0</v>
      </c>
      <c r="N411" s="66">
        <f>C411*Scoring!$B$32+D411/Scoring!$C$32+E411*Scoring!$D$32+F411*Scoring!$E$32+G411/Scoring!$F$32+H411*Scoring!$G$32+I411*Scoring!$H$32+K411*Scoring!$I$32+RB!L411*Scoring!$J$32+U411</f>
        <v>0</v>
      </c>
      <c r="O411" s="66">
        <f>C412*Scoring!$B$32+D412/Scoring!$C$32+E412*Scoring!$D$32+F412*Scoring!$E$32+G412/Scoring!$F$32+H412*Scoring!$G$32+I412*Scoring!$H$32+K412*Scoring!$I$32+L412*Scoring!$J$32+U411</f>
        <v>0</v>
      </c>
      <c r="P411" s="20">
        <f>IF(COUNTIF(Rookies!$A:$A,A411)&gt;0,1,0)</f>
        <v>0</v>
      </c>
      <c r="S411" s="20">
        <f>V411/17</f>
        <v>0</v>
      </c>
      <c r="T411" s="20">
        <f>IF(P411=1,MAX(0,0.258*(14.9-S411)),0)</f>
        <v>0</v>
      </c>
      <c r="U411" s="20">
        <f>T411*17</f>
        <v>0</v>
      </c>
      <c r="V411" s="20">
        <f>C411*Scoring!$B$32+D411/Scoring!$C$32+E411*Scoring!$D$32+F411*Scoring!$E$32+G411/Scoring!$F$32+H411*Scoring!$G$32+I411*Scoring!$H$32+K411*Scoring!$I$32+RB!L411*Scoring!$J$32</f>
        <v>0</v>
      </c>
      <c r="X411" s="20">
        <f t="shared" si="32"/>
        <v>0</v>
      </c>
      <c r="Y411" s="20">
        <f t="shared" si="33"/>
        <v>0</v>
      </c>
      <c r="Z411" s="20" t="e">
        <f t="shared" si="34"/>
        <v>#DIV/0!</v>
      </c>
    </row>
    <row r="412" spans="11:26" ht="14.25" customHeight="1" x14ac:dyDescent="0.3">
      <c r="K412" s="64">
        <f t="shared" si="30"/>
        <v>0</v>
      </c>
      <c r="L412" s="64">
        <f t="shared" si="31"/>
        <v>0</v>
      </c>
      <c r="M412" s="66"/>
      <c r="N412" s="66"/>
      <c r="O412" s="66"/>
      <c r="X412" s="20">
        <f t="shared" si="32"/>
        <v>0</v>
      </c>
      <c r="Y412" s="20">
        <f t="shared" si="33"/>
        <v>0</v>
      </c>
      <c r="Z412" s="20" t="e">
        <f t="shared" si="34"/>
        <v>#DIV/0!</v>
      </c>
    </row>
    <row r="413" spans="11:26" ht="14.25" customHeight="1" x14ac:dyDescent="0.3">
      <c r="K413" s="64">
        <f t="shared" si="30"/>
        <v>0</v>
      </c>
      <c r="L413" s="64">
        <f t="shared" si="31"/>
        <v>0</v>
      </c>
      <c r="M413" s="66"/>
      <c r="N413" s="66"/>
      <c r="O413" s="66"/>
      <c r="X413" s="20">
        <f t="shared" si="32"/>
        <v>0</v>
      </c>
      <c r="Y413" s="20">
        <f t="shared" si="33"/>
        <v>0</v>
      </c>
      <c r="Z413" s="20" t="e">
        <f t="shared" si="34"/>
        <v>#DIV/0!</v>
      </c>
    </row>
    <row r="414" spans="11:26" ht="14.25" customHeight="1" x14ac:dyDescent="0.3">
      <c r="K414" s="64">
        <f t="shared" si="30"/>
        <v>0</v>
      </c>
      <c r="L414" s="64">
        <f t="shared" si="31"/>
        <v>0</v>
      </c>
      <c r="M414" s="66">
        <f>C416*Scoring!$B$32+D416/Scoring!$C$32+E416*Scoring!$D$32+F416*Scoring!$E$32+G416/Scoring!$F$32+H416*Scoring!$G$32+I416*Scoring!$H$32+K416*Scoring!$I$32+RB!L416*Scoring!$J$32+U414</f>
        <v>0</v>
      </c>
      <c r="N414" s="66">
        <f>C414*Scoring!$B$32+D414/Scoring!$C$32+E414*Scoring!$D$32+F414*Scoring!$E$32+G414/Scoring!$F$32+H414*Scoring!$G$32+I414*Scoring!$H$32+K414*Scoring!$I$32+RB!L414*Scoring!$J$32+U414</f>
        <v>0</v>
      </c>
      <c r="O414" s="66">
        <f>C415*Scoring!$B$32+D415/Scoring!$C$32+E415*Scoring!$D$32+F415*Scoring!$E$32+G415/Scoring!$F$32+H415*Scoring!$G$32+I415*Scoring!$H$32+K415*Scoring!$I$32+L415*Scoring!$J$32+U414</f>
        <v>0</v>
      </c>
      <c r="P414" s="20">
        <f>IF(COUNTIF(Rookies!$A:$A,A414)&gt;0,1,0)</f>
        <v>0</v>
      </c>
      <c r="S414" s="20">
        <f>V414/17</f>
        <v>0</v>
      </c>
      <c r="T414" s="20">
        <f>IF(P414=1,MAX(0,0.258*(14.9-S414)),0)</f>
        <v>0</v>
      </c>
      <c r="U414" s="20">
        <f>T414*17</f>
        <v>0</v>
      </c>
      <c r="V414" s="20">
        <f>C414*Scoring!$B$32+D414/Scoring!$C$32+E414*Scoring!$D$32+F414*Scoring!$E$32+G414/Scoring!$F$32+H414*Scoring!$G$32+I414*Scoring!$H$32+K414*Scoring!$I$32+RB!L414*Scoring!$J$32</f>
        <v>0</v>
      </c>
      <c r="X414" s="20">
        <f t="shared" si="32"/>
        <v>0</v>
      </c>
      <c r="Y414" s="20">
        <f t="shared" si="33"/>
        <v>0</v>
      </c>
      <c r="Z414" s="20" t="e">
        <f t="shared" si="34"/>
        <v>#DIV/0!</v>
      </c>
    </row>
    <row r="415" spans="11:26" ht="14.25" customHeight="1" x14ac:dyDescent="0.3">
      <c r="K415" s="64">
        <f t="shared" si="30"/>
        <v>0</v>
      </c>
      <c r="L415" s="64">
        <f t="shared" si="31"/>
        <v>0</v>
      </c>
      <c r="M415" s="66"/>
      <c r="N415" s="66"/>
      <c r="O415" s="66"/>
      <c r="X415" s="20">
        <f t="shared" si="32"/>
        <v>0</v>
      </c>
      <c r="Y415" s="20">
        <f t="shared" si="33"/>
        <v>0</v>
      </c>
      <c r="Z415" s="20" t="e">
        <f t="shared" si="34"/>
        <v>#DIV/0!</v>
      </c>
    </row>
    <row r="416" spans="11:26" ht="14.25" customHeight="1" x14ac:dyDescent="0.3">
      <c r="K416" s="64">
        <f t="shared" si="30"/>
        <v>0</v>
      </c>
      <c r="L416" s="64">
        <f t="shared" si="31"/>
        <v>0</v>
      </c>
      <c r="M416" s="66"/>
      <c r="N416" s="66"/>
      <c r="O416" s="66"/>
      <c r="X416" s="20">
        <f t="shared" si="32"/>
        <v>0</v>
      </c>
      <c r="Y416" s="20">
        <f t="shared" si="33"/>
        <v>0</v>
      </c>
      <c r="Z416" s="20" t="e">
        <f t="shared" si="34"/>
        <v>#DIV/0!</v>
      </c>
    </row>
    <row r="417" spans="11:26" ht="14.25" customHeight="1" x14ac:dyDescent="0.3">
      <c r="K417" s="64">
        <f t="shared" si="30"/>
        <v>0</v>
      </c>
      <c r="L417" s="64">
        <f t="shared" si="31"/>
        <v>0</v>
      </c>
      <c r="M417" s="66">
        <f>C419*Scoring!$B$32+D419/Scoring!$C$32+E419*Scoring!$D$32+F419*Scoring!$E$32+G419/Scoring!$F$32+H419*Scoring!$G$32+I419*Scoring!$H$32+K419*Scoring!$I$32+RB!L419*Scoring!$J$32+U417</f>
        <v>0</v>
      </c>
      <c r="N417" s="66">
        <f>C417*Scoring!$B$32+D417/Scoring!$C$32+E417*Scoring!$D$32+F417*Scoring!$E$32+G417/Scoring!$F$32+H417*Scoring!$G$32+I417*Scoring!$H$32+K417*Scoring!$I$32+RB!L417*Scoring!$J$32+U417</f>
        <v>0</v>
      </c>
      <c r="O417" s="66">
        <f>C418*Scoring!$B$32+D418/Scoring!$C$32+E418*Scoring!$D$32+F418*Scoring!$E$32+G418/Scoring!$F$32+H418*Scoring!$G$32+I418*Scoring!$H$32+K418*Scoring!$I$32+L418*Scoring!$J$32+U417</f>
        <v>0</v>
      </c>
      <c r="P417" s="20">
        <f>IF(COUNTIF(Rookies!$A:$A,A417)&gt;0,1,0)</f>
        <v>0</v>
      </c>
      <c r="S417" s="20">
        <f>V417/17</f>
        <v>0</v>
      </c>
      <c r="T417" s="20">
        <f>IF(P417=1,MAX(0,0.258*(14.9-S417)),0)</f>
        <v>0</v>
      </c>
      <c r="U417" s="20">
        <f>T417*17</f>
        <v>0</v>
      </c>
      <c r="V417" s="20">
        <f>C417*Scoring!$B$32+D417/Scoring!$C$32+E417*Scoring!$D$32+F417*Scoring!$E$32+G417/Scoring!$F$32+H417*Scoring!$G$32+I417*Scoring!$H$32+K417*Scoring!$I$32+RB!L417*Scoring!$J$32</f>
        <v>0</v>
      </c>
      <c r="X417" s="20">
        <f t="shared" si="32"/>
        <v>0</v>
      </c>
      <c r="Y417" s="20">
        <f t="shared" si="33"/>
        <v>0</v>
      </c>
      <c r="Z417" s="20" t="e">
        <f t="shared" si="34"/>
        <v>#DIV/0!</v>
      </c>
    </row>
    <row r="418" spans="11:26" ht="14.25" customHeight="1" x14ac:dyDescent="0.3">
      <c r="K418" s="64">
        <f t="shared" si="30"/>
        <v>0</v>
      </c>
      <c r="L418" s="64">
        <f t="shared" si="31"/>
        <v>0</v>
      </c>
      <c r="M418" s="66"/>
      <c r="N418" s="66"/>
      <c r="O418" s="66"/>
      <c r="X418" s="20">
        <f t="shared" si="32"/>
        <v>0</v>
      </c>
      <c r="Y418" s="20">
        <f t="shared" si="33"/>
        <v>0</v>
      </c>
      <c r="Z418" s="20" t="e">
        <f t="shared" si="34"/>
        <v>#DIV/0!</v>
      </c>
    </row>
    <row r="419" spans="11:26" ht="14.25" customHeight="1" x14ac:dyDescent="0.3">
      <c r="K419" s="64">
        <f t="shared" si="30"/>
        <v>0</v>
      </c>
      <c r="L419" s="64">
        <f t="shared" si="31"/>
        <v>0</v>
      </c>
      <c r="M419" s="66"/>
      <c r="N419" s="66"/>
      <c r="O419" s="66"/>
      <c r="X419" s="20">
        <f t="shared" si="32"/>
        <v>0</v>
      </c>
      <c r="Y419" s="20">
        <f t="shared" si="33"/>
        <v>0</v>
      </c>
      <c r="Z419" s="20" t="e">
        <f t="shared" si="34"/>
        <v>#DIV/0!</v>
      </c>
    </row>
    <row r="420" spans="11:26" ht="14.25" customHeight="1" x14ac:dyDescent="0.3">
      <c r="K420" s="64">
        <f t="shared" si="30"/>
        <v>0</v>
      </c>
      <c r="L420" s="64">
        <f t="shared" si="31"/>
        <v>0</v>
      </c>
      <c r="M420" s="66">
        <f>C422*Scoring!$B$32+D422/Scoring!$C$32+E422*Scoring!$D$32+F422*Scoring!$E$32+G422/Scoring!$F$32+H422*Scoring!$G$32+I422*Scoring!$H$32+K422*Scoring!$I$32+RB!L422*Scoring!$J$32+U420</f>
        <v>0</v>
      </c>
      <c r="N420" s="66">
        <f>C420*Scoring!$B$32+D420/Scoring!$C$32+E420*Scoring!$D$32+F420*Scoring!$E$32+G420/Scoring!$F$32+H420*Scoring!$G$32+I420*Scoring!$H$32+K420*Scoring!$I$32+RB!L420*Scoring!$J$32+U420</f>
        <v>0</v>
      </c>
      <c r="O420" s="66">
        <f>C421*Scoring!$B$32+D421/Scoring!$C$32+E421*Scoring!$D$32+F421*Scoring!$E$32+G421/Scoring!$F$32+H421*Scoring!$G$32+I421*Scoring!$H$32+K421*Scoring!$I$32+L421*Scoring!$J$32+U420</f>
        <v>0</v>
      </c>
      <c r="P420" s="20">
        <f>IF(COUNTIF(Rookies!$A:$A,A420)&gt;0,1,0)</f>
        <v>0</v>
      </c>
      <c r="S420" s="20">
        <f>V420/17</f>
        <v>0</v>
      </c>
      <c r="T420" s="20">
        <f>IF(P420=1,MAX(0,0.258*(14.9-S420)),0)</f>
        <v>0</v>
      </c>
      <c r="U420" s="20">
        <f>T420*17</f>
        <v>0</v>
      </c>
      <c r="V420" s="20">
        <f>C420*Scoring!$B$32+D420/Scoring!$C$32+E420*Scoring!$D$32+F420*Scoring!$E$32+G420/Scoring!$F$32+H420*Scoring!$G$32+I420*Scoring!$H$32+K420*Scoring!$I$32+RB!L420*Scoring!$J$32</f>
        <v>0</v>
      </c>
      <c r="X420" s="20">
        <f t="shared" si="32"/>
        <v>0</v>
      </c>
      <c r="Y420" s="20">
        <f t="shared" si="33"/>
        <v>0</v>
      </c>
      <c r="Z420" s="20" t="e">
        <f t="shared" si="34"/>
        <v>#DIV/0!</v>
      </c>
    </row>
    <row r="421" spans="11:26" ht="14.25" customHeight="1" x14ac:dyDescent="0.3">
      <c r="K421" s="64">
        <f t="shared" si="30"/>
        <v>0</v>
      </c>
      <c r="L421" s="64">
        <f t="shared" si="31"/>
        <v>0</v>
      </c>
      <c r="M421" s="66"/>
      <c r="N421" s="66"/>
      <c r="O421" s="66"/>
      <c r="X421" s="20">
        <f t="shared" si="32"/>
        <v>0</v>
      </c>
      <c r="Y421" s="20">
        <f t="shared" si="33"/>
        <v>0</v>
      </c>
      <c r="Z421" s="20" t="e">
        <f t="shared" si="34"/>
        <v>#DIV/0!</v>
      </c>
    </row>
    <row r="422" spans="11:26" ht="14.25" customHeight="1" x14ac:dyDescent="0.3">
      <c r="K422" s="64">
        <f t="shared" si="30"/>
        <v>0</v>
      </c>
      <c r="L422" s="64">
        <f t="shared" si="31"/>
        <v>0</v>
      </c>
      <c r="M422" s="66"/>
      <c r="N422" s="66"/>
      <c r="O422" s="66"/>
      <c r="X422" s="20">
        <f t="shared" si="32"/>
        <v>0</v>
      </c>
      <c r="Y422" s="20">
        <f t="shared" si="33"/>
        <v>0</v>
      </c>
      <c r="Z422" s="20" t="e">
        <f t="shared" si="34"/>
        <v>#DIV/0!</v>
      </c>
    </row>
    <row r="423" spans="11:26" ht="14.25" customHeight="1" x14ac:dyDescent="0.3">
      <c r="K423" s="64">
        <f t="shared" si="30"/>
        <v>0</v>
      </c>
      <c r="L423" s="64">
        <f t="shared" si="31"/>
        <v>0</v>
      </c>
      <c r="M423" s="66">
        <f>C425*Scoring!$B$32+D425/Scoring!$C$32+E425*Scoring!$D$32+F425*Scoring!$E$32+G425/Scoring!$F$32+H425*Scoring!$G$32+I425*Scoring!$H$32+K425*Scoring!$I$32+RB!L425*Scoring!$J$32+U423</f>
        <v>0</v>
      </c>
      <c r="N423" s="66">
        <f>C423*Scoring!$B$32+D423/Scoring!$C$32+E423*Scoring!$D$32+F423*Scoring!$E$32+G423/Scoring!$F$32+H423*Scoring!$G$32+I423*Scoring!$H$32+K423*Scoring!$I$32+RB!L423*Scoring!$J$32+U423</f>
        <v>0</v>
      </c>
      <c r="O423" s="66">
        <f>C424*Scoring!$B$32+D424/Scoring!$C$32+E424*Scoring!$D$32+F424*Scoring!$E$32+G424/Scoring!$F$32+H424*Scoring!$G$32+I424*Scoring!$H$32+K424*Scoring!$I$32+L424*Scoring!$J$32+U423</f>
        <v>0</v>
      </c>
      <c r="P423" s="20">
        <f>IF(COUNTIF(Rookies!$A:$A,A423)&gt;0,1,0)</f>
        <v>0</v>
      </c>
      <c r="S423" s="20">
        <f>V423/17</f>
        <v>0</v>
      </c>
      <c r="T423" s="20">
        <f>IF(P423=1,MAX(0,0.258*(14.9-S423)),0)</f>
        <v>0</v>
      </c>
      <c r="U423" s="20">
        <f>T423*17</f>
        <v>0</v>
      </c>
      <c r="V423" s="20">
        <f>C423*Scoring!$B$32+D423/Scoring!$C$32+E423*Scoring!$D$32+F423*Scoring!$E$32+G423/Scoring!$F$32+H423*Scoring!$G$32+I423*Scoring!$H$32+K423*Scoring!$I$32+RB!L423*Scoring!$J$32</f>
        <v>0</v>
      </c>
      <c r="X423" s="20">
        <f t="shared" si="32"/>
        <v>0</v>
      </c>
      <c r="Y423" s="20">
        <f t="shared" si="33"/>
        <v>0</v>
      </c>
      <c r="Z423" s="20" t="e">
        <f t="shared" si="34"/>
        <v>#DIV/0!</v>
      </c>
    </row>
    <row r="424" spans="11:26" ht="14.25" customHeight="1" x14ac:dyDescent="0.3">
      <c r="K424" s="64">
        <f t="shared" si="30"/>
        <v>0</v>
      </c>
      <c r="L424" s="64">
        <f t="shared" si="31"/>
        <v>0</v>
      </c>
      <c r="M424" s="66"/>
      <c r="N424" s="66"/>
      <c r="O424" s="66"/>
      <c r="X424" s="20">
        <f t="shared" si="32"/>
        <v>0</v>
      </c>
      <c r="Y424" s="20">
        <f t="shared" si="33"/>
        <v>0</v>
      </c>
      <c r="Z424" s="20" t="e">
        <f t="shared" si="34"/>
        <v>#DIV/0!</v>
      </c>
    </row>
    <row r="425" spans="11:26" ht="14.25" customHeight="1" x14ac:dyDescent="0.3">
      <c r="K425" s="64">
        <f t="shared" si="30"/>
        <v>0</v>
      </c>
      <c r="L425" s="64">
        <f t="shared" si="31"/>
        <v>0</v>
      </c>
      <c r="M425" s="66"/>
      <c r="N425" s="66"/>
      <c r="O425" s="66"/>
      <c r="X425" s="20">
        <f t="shared" si="32"/>
        <v>0</v>
      </c>
      <c r="Y425" s="20">
        <f t="shared" si="33"/>
        <v>0</v>
      </c>
      <c r="Z425" s="20" t="e">
        <f t="shared" si="34"/>
        <v>#DIV/0!</v>
      </c>
    </row>
    <row r="426" spans="11:26" ht="14.25" customHeight="1" x14ac:dyDescent="0.3">
      <c r="K426" s="64">
        <f t="shared" si="30"/>
        <v>0</v>
      </c>
      <c r="L426" s="64">
        <f t="shared" si="31"/>
        <v>0</v>
      </c>
      <c r="M426" s="66">
        <f>C428*Scoring!$B$32+D428/Scoring!$C$32+E428*Scoring!$D$32+F428*Scoring!$E$32+G428/Scoring!$F$32+H428*Scoring!$G$32+I428*Scoring!$H$32+K428*Scoring!$I$32+RB!L428*Scoring!$J$32+U426</f>
        <v>0</v>
      </c>
      <c r="N426" s="66">
        <f>C426*Scoring!$B$32+D426/Scoring!$C$32+E426*Scoring!$D$32+F426*Scoring!$E$32+G426/Scoring!$F$32+H426*Scoring!$G$32+I426*Scoring!$H$32+K426*Scoring!$I$32+RB!L426*Scoring!$J$32+U426</f>
        <v>0</v>
      </c>
      <c r="O426" s="66">
        <f>C427*Scoring!$B$32+D427/Scoring!$C$32+E427*Scoring!$D$32+F427*Scoring!$E$32+G427/Scoring!$F$32+H427*Scoring!$G$32+I427*Scoring!$H$32+K427*Scoring!$I$32+L427*Scoring!$J$32+U426</f>
        <v>0</v>
      </c>
      <c r="P426" s="20">
        <f>IF(COUNTIF(Rookies!$A:$A,A426)&gt;0,1,0)</f>
        <v>0</v>
      </c>
      <c r="S426" s="20">
        <f>V426/17</f>
        <v>0</v>
      </c>
      <c r="T426" s="20">
        <f>IF(P426=1,MAX(0,0.258*(14.9-S426)),0)</f>
        <v>0</v>
      </c>
      <c r="U426" s="20">
        <f>T426*17</f>
        <v>0</v>
      </c>
      <c r="V426" s="20">
        <f>C426*Scoring!$B$32+D426/Scoring!$C$32+E426*Scoring!$D$32+F426*Scoring!$E$32+G426/Scoring!$F$32+H426*Scoring!$G$32+I426*Scoring!$H$32+K426*Scoring!$I$32+RB!L426*Scoring!$J$32</f>
        <v>0</v>
      </c>
      <c r="X426" s="20">
        <f t="shared" si="32"/>
        <v>0</v>
      </c>
      <c r="Y426" s="20">
        <f t="shared" si="33"/>
        <v>0</v>
      </c>
      <c r="Z426" s="20" t="e">
        <f t="shared" si="34"/>
        <v>#DIV/0!</v>
      </c>
    </row>
    <row r="427" spans="11:26" ht="14.25" customHeight="1" x14ac:dyDescent="0.3">
      <c r="K427" s="64">
        <f t="shared" si="30"/>
        <v>0</v>
      </c>
      <c r="L427" s="64">
        <f t="shared" si="31"/>
        <v>0</v>
      </c>
      <c r="M427" s="66"/>
      <c r="N427" s="66"/>
      <c r="O427" s="66"/>
      <c r="X427" s="20">
        <f t="shared" si="32"/>
        <v>0</v>
      </c>
      <c r="Y427" s="20">
        <f t="shared" si="33"/>
        <v>0</v>
      </c>
      <c r="Z427" s="20" t="e">
        <f t="shared" si="34"/>
        <v>#DIV/0!</v>
      </c>
    </row>
    <row r="428" spans="11:26" ht="14.25" customHeight="1" x14ac:dyDescent="0.3">
      <c r="K428" s="64">
        <f t="shared" si="30"/>
        <v>0</v>
      </c>
      <c r="L428" s="64">
        <f t="shared" si="31"/>
        <v>0</v>
      </c>
      <c r="M428" s="66"/>
      <c r="N428" s="66"/>
      <c r="O428" s="66"/>
      <c r="X428" s="20">
        <f t="shared" si="32"/>
        <v>0</v>
      </c>
      <c r="Y428" s="20">
        <f t="shared" si="33"/>
        <v>0</v>
      </c>
      <c r="Z428" s="20" t="e">
        <f t="shared" si="34"/>
        <v>#DIV/0!</v>
      </c>
    </row>
    <row r="429" spans="11:26" ht="14.25" customHeight="1" x14ac:dyDescent="0.3">
      <c r="K429" s="64">
        <f t="shared" si="30"/>
        <v>0</v>
      </c>
      <c r="L429" s="64">
        <f t="shared" si="31"/>
        <v>0</v>
      </c>
      <c r="M429" s="66">
        <f>C431*Scoring!$B$32+D431/Scoring!$C$32+E431*Scoring!$D$32+F431*Scoring!$E$32+G431/Scoring!$F$32+H431*Scoring!$G$32+I431*Scoring!$H$32+K431*Scoring!$I$32+RB!L431*Scoring!$J$32+U429</f>
        <v>0</v>
      </c>
      <c r="N429" s="66">
        <f>C429*Scoring!$B$32+D429/Scoring!$C$32+E429*Scoring!$D$32+F429*Scoring!$E$32+G429/Scoring!$F$32+H429*Scoring!$G$32+I429*Scoring!$H$32+K429*Scoring!$I$32+RB!L429*Scoring!$J$32+U429</f>
        <v>0</v>
      </c>
      <c r="O429" s="66">
        <f>C430*Scoring!$B$32+D430/Scoring!$C$32+E430*Scoring!$D$32+F430*Scoring!$E$32+G430/Scoring!$F$32+H430*Scoring!$G$32+I430*Scoring!$H$32+K430*Scoring!$I$32+L430*Scoring!$J$32+U429</f>
        <v>0</v>
      </c>
      <c r="P429" s="20">
        <f>IF(COUNTIF(Rookies!$A:$A,A429)&gt;0,1,0)</f>
        <v>0</v>
      </c>
      <c r="S429" s="20">
        <f>V429/17</f>
        <v>0</v>
      </c>
      <c r="T429" s="20">
        <f>IF(P429=1,MAX(0,0.258*(14.9-S429)),0)</f>
        <v>0</v>
      </c>
      <c r="U429" s="20">
        <f>T429*17</f>
        <v>0</v>
      </c>
      <c r="V429" s="20">
        <f>C429*Scoring!$B$32+D429/Scoring!$C$32+E429*Scoring!$D$32+F429*Scoring!$E$32+G429/Scoring!$F$32+H429*Scoring!$G$32+I429*Scoring!$H$32+K429*Scoring!$I$32+RB!L429*Scoring!$J$32</f>
        <v>0</v>
      </c>
      <c r="X429" s="20">
        <f t="shared" si="32"/>
        <v>0</v>
      </c>
      <c r="Y429" s="20">
        <f t="shared" si="33"/>
        <v>0</v>
      </c>
      <c r="Z429" s="20" t="e">
        <f t="shared" si="34"/>
        <v>#DIV/0!</v>
      </c>
    </row>
    <row r="430" spans="11:26" ht="14.25" customHeight="1" x14ac:dyDescent="0.3">
      <c r="K430" s="64">
        <f t="shared" si="30"/>
        <v>0</v>
      </c>
      <c r="L430" s="64">
        <f t="shared" si="31"/>
        <v>0</v>
      </c>
      <c r="M430" s="66"/>
      <c r="N430" s="66"/>
      <c r="O430" s="66"/>
      <c r="X430" s="20">
        <f t="shared" si="32"/>
        <v>0</v>
      </c>
      <c r="Y430" s="20">
        <f t="shared" si="33"/>
        <v>0</v>
      </c>
      <c r="Z430" s="20" t="e">
        <f t="shared" si="34"/>
        <v>#DIV/0!</v>
      </c>
    </row>
    <row r="431" spans="11:26" ht="14.25" customHeight="1" x14ac:dyDescent="0.3">
      <c r="K431" s="64">
        <f t="shared" si="30"/>
        <v>0</v>
      </c>
      <c r="L431" s="64">
        <f t="shared" si="31"/>
        <v>0</v>
      </c>
      <c r="M431" s="66"/>
      <c r="N431" s="66"/>
      <c r="O431" s="66"/>
      <c r="X431" s="20">
        <f t="shared" si="32"/>
        <v>0</v>
      </c>
      <c r="Y431" s="20">
        <f t="shared" si="33"/>
        <v>0</v>
      </c>
      <c r="Z431" s="20" t="e">
        <f t="shared" si="34"/>
        <v>#DIV/0!</v>
      </c>
    </row>
    <row r="432" spans="11:26" ht="14.25" customHeight="1" x14ac:dyDescent="0.3">
      <c r="K432" s="64">
        <f t="shared" si="30"/>
        <v>0</v>
      </c>
      <c r="L432" s="64">
        <f t="shared" si="31"/>
        <v>0</v>
      </c>
      <c r="M432" s="66">
        <f>C434*Scoring!$B$32+D434/Scoring!$C$32+E434*Scoring!$D$32+F434*Scoring!$E$32+G434/Scoring!$F$32+H434*Scoring!$G$32+I434*Scoring!$H$32+K434*Scoring!$I$32+RB!L434*Scoring!$J$32+U432</f>
        <v>0</v>
      </c>
      <c r="N432" s="66">
        <f>C432*Scoring!$B$32+D432/Scoring!$C$32+E432*Scoring!$D$32+F432*Scoring!$E$32+G432/Scoring!$F$32+H432*Scoring!$G$32+I432*Scoring!$H$32+K432*Scoring!$I$32+RB!L432*Scoring!$J$32+U432</f>
        <v>0</v>
      </c>
      <c r="O432" s="66">
        <f>C433*Scoring!$B$32+D433/Scoring!$C$32+E433*Scoring!$D$32+F433*Scoring!$E$32+G433/Scoring!$F$32+H433*Scoring!$G$32+I433*Scoring!$H$32+K433*Scoring!$I$32+L433*Scoring!$J$32+U432</f>
        <v>0</v>
      </c>
      <c r="P432" s="20">
        <f>IF(COUNTIF(Rookies!$A:$A,A432)&gt;0,1,0)</f>
        <v>0</v>
      </c>
      <c r="S432" s="20">
        <f>V432/17</f>
        <v>0</v>
      </c>
      <c r="T432" s="20">
        <f>IF(P432=1,MAX(0,0.258*(14.9-S432)),0)</f>
        <v>0</v>
      </c>
      <c r="U432" s="20">
        <f>T432*17</f>
        <v>0</v>
      </c>
      <c r="V432" s="20">
        <f>C432*Scoring!$B$32+D432/Scoring!$C$32+E432*Scoring!$D$32+F432*Scoring!$E$32+G432/Scoring!$F$32+H432*Scoring!$G$32+I432*Scoring!$H$32+K432*Scoring!$I$32+RB!L432*Scoring!$J$32</f>
        <v>0</v>
      </c>
      <c r="X432" s="20">
        <f t="shared" si="32"/>
        <v>0</v>
      </c>
      <c r="Y432" s="20">
        <f t="shared" si="33"/>
        <v>0</v>
      </c>
      <c r="Z432" s="20" t="e">
        <f t="shared" si="34"/>
        <v>#DIV/0!</v>
      </c>
    </row>
    <row r="433" spans="11:26" ht="14.25" customHeight="1" x14ac:dyDescent="0.3">
      <c r="K433" s="64">
        <f t="shared" si="30"/>
        <v>0</v>
      </c>
      <c r="L433" s="64">
        <f t="shared" si="31"/>
        <v>0</v>
      </c>
      <c r="M433" s="66"/>
      <c r="N433" s="66"/>
      <c r="O433" s="66"/>
      <c r="X433" s="20">
        <f t="shared" si="32"/>
        <v>0</v>
      </c>
      <c r="Y433" s="20">
        <f t="shared" si="33"/>
        <v>0</v>
      </c>
      <c r="Z433" s="20" t="e">
        <f t="shared" si="34"/>
        <v>#DIV/0!</v>
      </c>
    </row>
    <row r="434" spans="11:26" ht="14.25" customHeight="1" x14ac:dyDescent="0.3">
      <c r="K434" s="64">
        <f t="shared" si="30"/>
        <v>0</v>
      </c>
      <c r="L434" s="64">
        <f t="shared" si="31"/>
        <v>0</v>
      </c>
      <c r="M434" s="66"/>
      <c r="N434" s="66"/>
      <c r="O434" s="66"/>
      <c r="X434" s="20">
        <f t="shared" si="32"/>
        <v>0</v>
      </c>
      <c r="Y434" s="20">
        <f t="shared" si="33"/>
        <v>0</v>
      </c>
      <c r="Z434" s="20" t="e">
        <f t="shared" si="34"/>
        <v>#DIV/0!</v>
      </c>
    </row>
    <row r="435" spans="11:26" ht="14.25" customHeight="1" x14ac:dyDescent="0.3">
      <c r="K435" s="64">
        <f t="shared" si="30"/>
        <v>0</v>
      </c>
      <c r="L435" s="64">
        <f t="shared" si="31"/>
        <v>0</v>
      </c>
      <c r="M435" s="66">
        <f>C437*Scoring!$B$32+D437/Scoring!$C$32+E437*Scoring!$D$32+F437*Scoring!$E$32+G437/Scoring!$F$32+H437*Scoring!$G$32+I437*Scoring!$H$32+K437*Scoring!$I$32+RB!L437*Scoring!$J$32+U435</f>
        <v>0</v>
      </c>
      <c r="N435" s="66">
        <f>C435*Scoring!$B$32+D435/Scoring!$C$32+E435*Scoring!$D$32+F435*Scoring!$E$32+G435/Scoring!$F$32+H435*Scoring!$G$32+I435*Scoring!$H$32+K435*Scoring!$I$32+RB!L435*Scoring!$J$32+U435</f>
        <v>0</v>
      </c>
      <c r="O435" s="66">
        <f>C436*Scoring!$B$32+D436/Scoring!$C$32+E436*Scoring!$D$32+F436*Scoring!$E$32+G436/Scoring!$F$32+H436*Scoring!$G$32+I436*Scoring!$H$32+K436*Scoring!$I$32+L436*Scoring!$J$32+U435</f>
        <v>0</v>
      </c>
      <c r="P435" s="20">
        <f>IF(COUNTIF(Rookies!$A:$A,A435)&gt;0,1,0)</f>
        <v>0</v>
      </c>
      <c r="S435" s="20">
        <f>V435/17</f>
        <v>0</v>
      </c>
      <c r="T435" s="20">
        <f>IF(P435=1,MAX(0,0.258*(14.9-S435)),0)</f>
        <v>0</v>
      </c>
      <c r="U435" s="20">
        <f>T435*17</f>
        <v>0</v>
      </c>
      <c r="V435" s="20">
        <f>C435*Scoring!$B$32+D435/Scoring!$C$32+E435*Scoring!$D$32+F435*Scoring!$E$32+G435/Scoring!$F$32+H435*Scoring!$G$32+I435*Scoring!$H$32+K435*Scoring!$I$32+RB!L435*Scoring!$J$32</f>
        <v>0</v>
      </c>
      <c r="X435" s="20">
        <f t="shared" si="32"/>
        <v>0</v>
      </c>
      <c r="Y435" s="20">
        <f t="shared" si="33"/>
        <v>0</v>
      </c>
      <c r="Z435" s="20" t="e">
        <f t="shared" si="34"/>
        <v>#DIV/0!</v>
      </c>
    </row>
    <row r="436" spans="11:26" ht="14.25" customHeight="1" x14ac:dyDescent="0.3">
      <c r="K436" s="64">
        <f t="shared" si="30"/>
        <v>0</v>
      </c>
      <c r="L436" s="64">
        <f t="shared" si="31"/>
        <v>0</v>
      </c>
      <c r="M436" s="66"/>
      <c r="N436" s="66"/>
      <c r="O436" s="66"/>
      <c r="X436" s="20">
        <f t="shared" si="32"/>
        <v>0</v>
      </c>
      <c r="Y436" s="20">
        <f t="shared" si="33"/>
        <v>0</v>
      </c>
      <c r="Z436" s="20" t="e">
        <f t="shared" si="34"/>
        <v>#DIV/0!</v>
      </c>
    </row>
    <row r="437" spans="11:26" ht="14.25" customHeight="1" x14ac:dyDescent="0.3">
      <c r="K437" s="64">
        <f t="shared" si="30"/>
        <v>0</v>
      </c>
      <c r="L437" s="64">
        <f t="shared" si="31"/>
        <v>0</v>
      </c>
      <c r="M437" s="66"/>
      <c r="N437" s="66"/>
      <c r="O437" s="66"/>
      <c r="X437" s="20">
        <f t="shared" si="32"/>
        <v>0</v>
      </c>
      <c r="Y437" s="20">
        <f t="shared" si="33"/>
        <v>0</v>
      </c>
      <c r="Z437" s="20" t="e">
        <f t="shared" si="34"/>
        <v>#DIV/0!</v>
      </c>
    </row>
    <row r="438" spans="11:26" ht="14.25" customHeight="1" x14ac:dyDescent="0.3">
      <c r="K438" s="64">
        <f t="shared" si="30"/>
        <v>0</v>
      </c>
      <c r="L438" s="64">
        <f t="shared" si="31"/>
        <v>0</v>
      </c>
      <c r="M438" s="66">
        <f>C440*Scoring!$B$32+D440/Scoring!$C$32+E440*Scoring!$D$32+F440*Scoring!$E$32+G440/Scoring!$F$32+H440*Scoring!$G$32+I440*Scoring!$H$32+K440*Scoring!$I$32+RB!L440*Scoring!$J$32+U438</f>
        <v>0</v>
      </c>
      <c r="N438" s="66">
        <f>C438*Scoring!$B$32+D438/Scoring!$C$32+E438*Scoring!$D$32+F438*Scoring!$E$32+G438/Scoring!$F$32+H438*Scoring!$G$32+I438*Scoring!$H$32+K438*Scoring!$I$32+RB!L438*Scoring!$J$32+U438</f>
        <v>0</v>
      </c>
      <c r="O438" s="66">
        <f>C439*Scoring!$B$32+D439/Scoring!$C$32+E439*Scoring!$D$32+F439*Scoring!$E$32+G439/Scoring!$F$32+H439*Scoring!$G$32+I439*Scoring!$H$32+K439*Scoring!$I$32+L439*Scoring!$J$32+U438</f>
        <v>0</v>
      </c>
      <c r="P438" s="20">
        <f>IF(COUNTIF(Rookies!$A:$A,A438)&gt;0,1,0)</f>
        <v>0</v>
      </c>
      <c r="S438" s="20">
        <f>V438/17</f>
        <v>0</v>
      </c>
      <c r="T438" s="20">
        <f>IF(P438=1,MAX(0,0.258*(14.9-S438)),0)</f>
        <v>0</v>
      </c>
      <c r="U438" s="20">
        <f>T438*17</f>
        <v>0</v>
      </c>
      <c r="V438" s="20">
        <f>C438*Scoring!$B$32+D438/Scoring!$C$32+E438*Scoring!$D$32+F438*Scoring!$E$32+G438/Scoring!$F$32+H438*Scoring!$G$32+I438*Scoring!$H$32+K438*Scoring!$I$32+RB!L438*Scoring!$J$32</f>
        <v>0</v>
      </c>
      <c r="X438" s="20">
        <f t="shared" si="32"/>
        <v>0</v>
      </c>
      <c r="Y438" s="20">
        <f t="shared" si="33"/>
        <v>0</v>
      </c>
      <c r="Z438" s="20" t="e">
        <f t="shared" si="34"/>
        <v>#DIV/0!</v>
      </c>
    </row>
    <row r="439" spans="11:26" ht="14.25" customHeight="1" x14ac:dyDescent="0.3">
      <c r="K439" s="64">
        <f t="shared" si="30"/>
        <v>0</v>
      </c>
      <c r="L439" s="64">
        <f t="shared" si="31"/>
        <v>0</v>
      </c>
      <c r="M439" s="66"/>
      <c r="N439" s="66"/>
      <c r="O439" s="66"/>
      <c r="X439" s="20">
        <f t="shared" si="32"/>
        <v>0</v>
      </c>
      <c r="Y439" s="20">
        <f t="shared" si="33"/>
        <v>0</v>
      </c>
      <c r="Z439" s="20" t="e">
        <f t="shared" si="34"/>
        <v>#DIV/0!</v>
      </c>
    </row>
    <row r="440" spans="11:26" ht="14.25" customHeight="1" x14ac:dyDescent="0.3">
      <c r="K440" s="64">
        <f t="shared" si="30"/>
        <v>0</v>
      </c>
      <c r="L440" s="64">
        <f t="shared" si="31"/>
        <v>0</v>
      </c>
      <c r="M440" s="66"/>
      <c r="N440" s="66"/>
      <c r="O440" s="66"/>
      <c r="X440" s="20">
        <f t="shared" si="32"/>
        <v>0</v>
      </c>
      <c r="Y440" s="20">
        <f t="shared" si="33"/>
        <v>0</v>
      </c>
      <c r="Z440" s="20" t="e">
        <f t="shared" si="34"/>
        <v>#DIV/0!</v>
      </c>
    </row>
    <row r="441" spans="11:26" ht="14.25" customHeight="1" x14ac:dyDescent="0.3">
      <c r="K441" s="64">
        <f t="shared" si="30"/>
        <v>0</v>
      </c>
      <c r="L441" s="64">
        <f t="shared" si="31"/>
        <v>0</v>
      </c>
      <c r="M441" s="66">
        <f>C443*Scoring!$B$32+D443/Scoring!$C$32+E443*Scoring!$D$32+F443*Scoring!$E$32+G443/Scoring!$F$32+H443*Scoring!$G$32+I443*Scoring!$H$32+K443*Scoring!$I$32+RB!L443*Scoring!$J$32+U441</f>
        <v>0</v>
      </c>
      <c r="N441" s="66">
        <f>C441*Scoring!$B$32+D441/Scoring!$C$32+E441*Scoring!$D$32+F441*Scoring!$E$32+G441/Scoring!$F$32+H441*Scoring!$G$32+I441*Scoring!$H$32+K441*Scoring!$I$32+RB!L441*Scoring!$J$32+U441</f>
        <v>0</v>
      </c>
      <c r="O441" s="66">
        <f>C442*Scoring!$B$32+D442/Scoring!$C$32+E442*Scoring!$D$32+F442*Scoring!$E$32+G442/Scoring!$F$32+H442*Scoring!$G$32+I442*Scoring!$H$32+K442*Scoring!$I$32+L442*Scoring!$J$32+U441</f>
        <v>0</v>
      </c>
      <c r="P441" s="20">
        <f>IF(COUNTIF(Rookies!$A:$A,A441)&gt;0,1,0)</f>
        <v>0</v>
      </c>
      <c r="S441" s="20">
        <f>V441/17</f>
        <v>0</v>
      </c>
      <c r="T441" s="20">
        <f>IF(P441=1,MAX(0,0.258*(14.9-S441)),0)</f>
        <v>0</v>
      </c>
      <c r="U441" s="20">
        <f>T441*17</f>
        <v>0</v>
      </c>
      <c r="V441" s="20">
        <f>C441*Scoring!$B$32+D441/Scoring!$C$32+E441*Scoring!$D$32+F441*Scoring!$E$32+G441/Scoring!$F$32+H441*Scoring!$G$32+I441*Scoring!$H$32+K441*Scoring!$I$32+RB!L441*Scoring!$J$32</f>
        <v>0</v>
      </c>
      <c r="X441" s="20">
        <f t="shared" si="32"/>
        <v>0</v>
      </c>
      <c r="Y441" s="20">
        <f t="shared" si="33"/>
        <v>0</v>
      </c>
      <c r="Z441" s="20" t="e">
        <f t="shared" si="34"/>
        <v>#DIV/0!</v>
      </c>
    </row>
    <row r="442" spans="11:26" ht="14.25" customHeight="1" x14ac:dyDescent="0.3">
      <c r="K442" s="64">
        <f t="shared" si="30"/>
        <v>0</v>
      </c>
      <c r="L442" s="64">
        <f t="shared" si="31"/>
        <v>0</v>
      </c>
      <c r="M442" s="66"/>
      <c r="N442" s="66"/>
      <c r="O442" s="66"/>
      <c r="X442" s="20">
        <f t="shared" si="32"/>
        <v>0</v>
      </c>
      <c r="Y442" s="20">
        <f t="shared" si="33"/>
        <v>0</v>
      </c>
      <c r="Z442" s="20" t="e">
        <f t="shared" si="34"/>
        <v>#DIV/0!</v>
      </c>
    </row>
    <row r="443" spans="11:26" ht="14.25" customHeight="1" x14ac:dyDescent="0.3">
      <c r="K443" s="64">
        <f t="shared" si="30"/>
        <v>0</v>
      </c>
      <c r="L443" s="64">
        <f t="shared" si="31"/>
        <v>0</v>
      </c>
      <c r="M443" s="66"/>
      <c r="N443" s="66"/>
      <c r="O443" s="66"/>
      <c r="X443" s="20">
        <f t="shared" si="32"/>
        <v>0</v>
      </c>
      <c r="Y443" s="20">
        <f t="shared" si="33"/>
        <v>0</v>
      </c>
      <c r="Z443" s="20" t="e">
        <f t="shared" si="34"/>
        <v>#DIV/0!</v>
      </c>
    </row>
    <row r="444" spans="11:26" ht="14.25" customHeight="1" x14ac:dyDescent="0.3">
      <c r="K444" s="64">
        <f t="shared" si="30"/>
        <v>0</v>
      </c>
      <c r="L444" s="64">
        <f t="shared" si="31"/>
        <v>0</v>
      </c>
      <c r="M444" s="66">
        <f>C446*Scoring!$B$32+D446/Scoring!$C$32+E446*Scoring!$D$32+F446*Scoring!$E$32+G446/Scoring!$F$32+H446*Scoring!$G$32+I446*Scoring!$H$32+K446*Scoring!$I$32+RB!L446*Scoring!$J$32+U444</f>
        <v>0</v>
      </c>
      <c r="N444" s="66">
        <f>C444*Scoring!$B$32+D444/Scoring!$C$32+E444*Scoring!$D$32+F444*Scoring!$E$32+G444/Scoring!$F$32+H444*Scoring!$G$32+I444*Scoring!$H$32+K444*Scoring!$I$32+RB!L444*Scoring!$J$32+U444</f>
        <v>0</v>
      </c>
      <c r="O444" s="66">
        <f>C445*Scoring!$B$32+D445/Scoring!$C$32+E445*Scoring!$D$32+F445*Scoring!$E$32+G445/Scoring!$F$32+H445*Scoring!$G$32+I445*Scoring!$H$32+K445*Scoring!$I$32+L445*Scoring!$J$32+U444</f>
        <v>0</v>
      </c>
      <c r="P444" s="20">
        <f>IF(COUNTIF(Rookies!$A:$A,A444)&gt;0,1,0)</f>
        <v>0</v>
      </c>
      <c r="S444" s="20">
        <f>V444/17</f>
        <v>0</v>
      </c>
      <c r="T444" s="20">
        <f>IF(P444=1,MAX(0,0.258*(14.9-S444)),0)</f>
        <v>0</v>
      </c>
      <c r="U444" s="20">
        <f>T444*17</f>
        <v>0</v>
      </c>
      <c r="V444" s="20">
        <f>C444*Scoring!$B$32+D444/Scoring!$C$32+E444*Scoring!$D$32+F444*Scoring!$E$32+G444/Scoring!$F$32+H444*Scoring!$G$32+I444*Scoring!$H$32+K444*Scoring!$I$32+RB!L444*Scoring!$J$32</f>
        <v>0</v>
      </c>
      <c r="X444" s="20">
        <f t="shared" si="32"/>
        <v>0</v>
      </c>
      <c r="Y444" s="20">
        <f t="shared" si="33"/>
        <v>0</v>
      </c>
      <c r="Z444" s="20" t="e">
        <f t="shared" si="34"/>
        <v>#DIV/0!</v>
      </c>
    </row>
    <row r="445" spans="11:26" ht="14.25" customHeight="1" x14ac:dyDescent="0.3">
      <c r="K445" s="64">
        <f t="shared" si="30"/>
        <v>0</v>
      </c>
      <c r="L445" s="64">
        <f t="shared" si="31"/>
        <v>0</v>
      </c>
      <c r="M445" s="66"/>
      <c r="N445" s="66"/>
      <c r="O445" s="66"/>
      <c r="X445" s="20">
        <f t="shared" si="32"/>
        <v>0</v>
      </c>
      <c r="Y445" s="20">
        <f t="shared" si="33"/>
        <v>0</v>
      </c>
      <c r="Z445" s="20" t="e">
        <f t="shared" si="34"/>
        <v>#DIV/0!</v>
      </c>
    </row>
    <row r="446" spans="11:26" ht="14.25" customHeight="1" x14ac:dyDescent="0.3">
      <c r="K446" s="64">
        <f t="shared" si="30"/>
        <v>0</v>
      </c>
      <c r="L446" s="64">
        <f t="shared" si="31"/>
        <v>0</v>
      </c>
      <c r="M446" s="66"/>
      <c r="N446" s="66"/>
      <c r="O446" s="66"/>
      <c r="X446" s="20">
        <f t="shared" si="32"/>
        <v>0</v>
      </c>
      <c r="Y446" s="20">
        <f t="shared" si="33"/>
        <v>0</v>
      </c>
      <c r="Z446" s="20" t="e">
        <f t="shared" si="34"/>
        <v>#DIV/0!</v>
      </c>
    </row>
    <row r="447" spans="11:26" ht="14.25" customHeight="1" x14ac:dyDescent="0.3">
      <c r="K447" s="64">
        <f t="shared" si="30"/>
        <v>0</v>
      </c>
      <c r="L447" s="64">
        <f t="shared" si="31"/>
        <v>0</v>
      </c>
      <c r="M447" s="66">
        <f>C449*Scoring!$B$32+D449/Scoring!$C$32+E449*Scoring!$D$32+F449*Scoring!$E$32+G449/Scoring!$F$32+H449*Scoring!$G$32+I449*Scoring!$H$32+K449*Scoring!$I$32+RB!L449*Scoring!$J$32+U447</f>
        <v>0</v>
      </c>
      <c r="N447" s="66">
        <f>C447*Scoring!$B$32+D447/Scoring!$C$32+E447*Scoring!$D$32+F447*Scoring!$E$32+G447/Scoring!$F$32+H447*Scoring!$G$32+I447*Scoring!$H$32+K447*Scoring!$I$32+RB!L447*Scoring!$J$32+U447</f>
        <v>0</v>
      </c>
      <c r="O447" s="66">
        <f>C448*Scoring!$B$32+D448/Scoring!$C$32+E448*Scoring!$D$32+F448*Scoring!$E$32+G448/Scoring!$F$32+H448*Scoring!$G$32+I448*Scoring!$H$32+K448*Scoring!$I$32+L448*Scoring!$J$32+U447</f>
        <v>0</v>
      </c>
      <c r="P447" s="20">
        <f>IF(COUNTIF(Rookies!$A:$A,A447)&gt;0,1,0)</f>
        <v>0</v>
      </c>
      <c r="S447" s="20">
        <f>V447/17</f>
        <v>0</v>
      </c>
      <c r="T447" s="20">
        <f>IF(P447=1,MAX(0,0.258*(14.9-S447)),0)</f>
        <v>0</v>
      </c>
      <c r="U447" s="20">
        <f>T447*17</f>
        <v>0</v>
      </c>
      <c r="V447" s="20">
        <f>C447*Scoring!$B$32+D447/Scoring!$C$32+E447*Scoring!$D$32+F447*Scoring!$E$32+G447/Scoring!$F$32+H447*Scoring!$G$32+I447*Scoring!$H$32+K447*Scoring!$I$32+RB!L447*Scoring!$J$32</f>
        <v>0</v>
      </c>
      <c r="X447" s="20">
        <f t="shared" si="32"/>
        <v>0</v>
      </c>
      <c r="Y447" s="20">
        <f t="shared" si="33"/>
        <v>0</v>
      </c>
      <c r="Z447" s="20" t="e">
        <f t="shared" si="34"/>
        <v>#DIV/0!</v>
      </c>
    </row>
    <row r="448" spans="11:26" ht="14.25" customHeight="1" x14ac:dyDescent="0.3">
      <c r="K448" s="64">
        <f t="shared" si="30"/>
        <v>0</v>
      </c>
      <c r="L448" s="64">
        <f t="shared" si="31"/>
        <v>0</v>
      </c>
      <c r="M448" s="66"/>
      <c r="N448" s="66"/>
      <c r="O448" s="66"/>
      <c r="X448" s="20">
        <f t="shared" si="32"/>
        <v>0</v>
      </c>
      <c r="Y448" s="20">
        <f t="shared" si="33"/>
        <v>0</v>
      </c>
      <c r="Z448" s="20" t="e">
        <f t="shared" si="34"/>
        <v>#DIV/0!</v>
      </c>
    </row>
    <row r="449" spans="11:26" ht="14.25" customHeight="1" x14ac:dyDescent="0.3">
      <c r="K449" s="64">
        <f t="shared" si="30"/>
        <v>0</v>
      </c>
      <c r="L449" s="64">
        <f t="shared" si="31"/>
        <v>0</v>
      </c>
      <c r="M449" s="66"/>
      <c r="N449" s="66"/>
      <c r="O449" s="66"/>
      <c r="X449" s="20">
        <f t="shared" si="32"/>
        <v>0</v>
      </c>
      <c r="Y449" s="20">
        <f t="shared" si="33"/>
        <v>0</v>
      </c>
      <c r="Z449" s="20" t="e">
        <f t="shared" si="34"/>
        <v>#DIV/0!</v>
      </c>
    </row>
    <row r="450" spans="11:26" ht="14.25" customHeight="1" x14ac:dyDescent="0.3">
      <c r="K450" s="64">
        <f t="shared" si="30"/>
        <v>0</v>
      </c>
      <c r="L450" s="64">
        <f t="shared" si="31"/>
        <v>0</v>
      </c>
      <c r="M450" s="66">
        <f>C452*Scoring!$B$32+D452/Scoring!$C$32+E452*Scoring!$D$32+F452*Scoring!$E$32+G452/Scoring!$F$32+H452*Scoring!$G$32+I452*Scoring!$H$32+K452*Scoring!$I$32+RB!L452*Scoring!$J$32+U450</f>
        <v>0</v>
      </c>
      <c r="N450" s="66">
        <f>C450*Scoring!$B$32+D450/Scoring!$C$32+E450*Scoring!$D$32+F450*Scoring!$E$32+G450/Scoring!$F$32+H450*Scoring!$G$32+I450*Scoring!$H$32+K450*Scoring!$I$32+RB!L450*Scoring!$J$32+U450</f>
        <v>0</v>
      </c>
      <c r="O450" s="66">
        <f>C451*Scoring!$B$32+D451/Scoring!$C$32+E451*Scoring!$D$32+F451*Scoring!$E$32+G451/Scoring!$F$32+H451*Scoring!$G$32+I451*Scoring!$H$32+K451*Scoring!$I$32+L451*Scoring!$J$32+U450</f>
        <v>0</v>
      </c>
      <c r="P450" s="20">
        <f>IF(COUNTIF(Rookies!$A:$A,A450)&gt;0,1,0)</f>
        <v>0</v>
      </c>
      <c r="S450" s="20">
        <f>V450/17</f>
        <v>0</v>
      </c>
      <c r="T450" s="20">
        <f>IF(P450=1,MAX(0,0.258*(14.9-S450)),0)</f>
        <v>0</v>
      </c>
      <c r="U450" s="20">
        <f>T450*17</f>
        <v>0</v>
      </c>
      <c r="V450" s="20">
        <f>C450*Scoring!$B$32+D450/Scoring!$C$32+E450*Scoring!$D$32+F450*Scoring!$E$32+G450/Scoring!$F$32+H450*Scoring!$G$32+I450*Scoring!$H$32+K450*Scoring!$I$32+RB!L450*Scoring!$J$32</f>
        <v>0</v>
      </c>
      <c r="X450" s="20">
        <f t="shared" si="32"/>
        <v>0</v>
      </c>
      <c r="Y450" s="20">
        <f t="shared" si="33"/>
        <v>0</v>
      </c>
      <c r="Z450" s="20" t="e">
        <f t="shared" si="34"/>
        <v>#DIV/0!</v>
      </c>
    </row>
    <row r="451" spans="11:26" ht="14.25" customHeight="1" x14ac:dyDescent="0.3">
      <c r="K451" s="64">
        <f t="shared" ref="K451:K514" si="35">IFERROR((D451/C451)/4.5*0.25*C451,0)</f>
        <v>0</v>
      </c>
      <c r="L451" s="64">
        <f t="shared" ref="L451:L514" si="36">IFERROR((G451/F451)/7.95*0.376*F451,0)</f>
        <v>0</v>
      </c>
      <c r="M451" s="66"/>
      <c r="N451" s="66"/>
      <c r="O451" s="66"/>
      <c r="X451" s="20">
        <f t="shared" si="32"/>
        <v>0</v>
      </c>
      <c r="Y451" s="20">
        <f t="shared" si="33"/>
        <v>0</v>
      </c>
      <c r="Z451" s="20" t="e">
        <f t="shared" si="34"/>
        <v>#DIV/0!</v>
      </c>
    </row>
    <row r="452" spans="11:26" ht="14.25" customHeight="1" x14ac:dyDescent="0.3">
      <c r="K452" s="64">
        <f t="shared" si="35"/>
        <v>0</v>
      </c>
      <c r="L452" s="64">
        <f t="shared" si="36"/>
        <v>0</v>
      </c>
      <c r="M452" s="66"/>
      <c r="N452" s="66"/>
      <c r="O452" s="66"/>
      <c r="X452" s="20">
        <f t="shared" ref="X452:X461" si="37">D452+G452</f>
        <v>0</v>
      </c>
      <c r="Y452" s="20">
        <f t="shared" ref="Y452:Y461" si="38">H452+E452</f>
        <v>0</v>
      </c>
      <c r="Z452" s="20" t="e">
        <f t="shared" ref="Z452:Z461" si="39">X452/Y452</f>
        <v>#DIV/0!</v>
      </c>
    </row>
    <row r="453" spans="11:26" ht="14.25" customHeight="1" x14ac:dyDescent="0.3">
      <c r="K453" s="64">
        <f t="shared" si="35"/>
        <v>0</v>
      </c>
      <c r="L453" s="64">
        <f t="shared" si="36"/>
        <v>0</v>
      </c>
      <c r="M453" s="66">
        <f>C455*Scoring!$B$32+D455/Scoring!$C$32+E455*Scoring!$D$32+F455*Scoring!$E$32+G455/Scoring!$F$32+H455*Scoring!$G$32+I455*Scoring!$H$32+K455*Scoring!$I$32+RB!L455*Scoring!$J$32+U453</f>
        <v>0</v>
      </c>
      <c r="N453" s="66">
        <f>C453*Scoring!$B$32+D453/Scoring!$C$32+E453*Scoring!$D$32+F453*Scoring!$E$32+G453/Scoring!$F$32+H453*Scoring!$G$32+I453*Scoring!$H$32+K453*Scoring!$I$32+RB!L453*Scoring!$J$32+U453</f>
        <v>0</v>
      </c>
      <c r="O453" s="66">
        <f>C454*Scoring!$B$32+D454/Scoring!$C$32+E454*Scoring!$D$32+F454*Scoring!$E$32+G454/Scoring!$F$32+H454*Scoring!$G$32+I454*Scoring!$H$32+K454*Scoring!$I$32+L454*Scoring!$J$32+U453</f>
        <v>0</v>
      </c>
      <c r="P453" s="20">
        <f>IF(COUNTIF(Rookies!$A:$A,A453)&gt;0,1,0)</f>
        <v>0</v>
      </c>
      <c r="S453" s="20">
        <f>V453/17</f>
        <v>0</v>
      </c>
      <c r="T453" s="20">
        <f>IF(P453=1,MAX(0,0.258*(14.9-S453)),0)</f>
        <v>0</v>
      </c>
      <c r="U453" s="20">
        <f>T453*17</f>
        <v>0</v>
      </c>
      <c r="V453" s="20">
        <f>C453*Scoring!$B$32+D453/Scoring!$C$32+E453*Scoring!$D$32+F453*Scoring!$E$32+G453/Scoring!$F$32+H453*Scoring!$G$32+I453*Scoring!$H$32+K453*Scoring!$I$32+RB!L453*Scoring!$J$32</f>
        <v>0</v>
      </c>
      <c r="X453" s="20">
        <f t="shared" si="37"/>
        <v>0</v>
      </c>
      <c r="Y453" s="20">
        <f t="shared" si="38"/>
        <v>0</v>
      </c>
      <c r="Z453" s="20" t="e">
        <f t="shared" si="39"/>
        <v>#DIV/0!</v>
      </c>
    </row>
    <row r="454" spans="11:26" ht="14.25" customHeight="1" x14ac:dyDescent="0.3">
      <c r="K454" s="64">
        <f t="shared" si="35"/>
        <v>0</v>
      </c>
      <c r="L454" s="64">
        <f t="shared" si="36"/>
        <v>0</v>
      </c>
      <c r="M454" s="66"/>
      <c r="N454" s="66"/>
      <c r="O454" s="66"/>
      <c r="X454" s="20">
        <f t="shared" si="37"/>
        <v>0</v>
      </c>
      <c r="Y454" s="20">
        <f t="shared" si="38"/>
        <v>0</v>
      </c>
      <c r="Z454" s="20" t="e">
        <f t="shared" si="39"/>
        <v>#DIV/0!</v>
      </c>
    </row>
    <row r="455" spans="11:26" ht="14.25" customHeight="1" x14ac:dyDescent="0.3">
      <c r="K455" s="64">
        <f t="shared" si="35"/>
        <v>0</v>
      </c>
      <c r="L455" s="64">
        <f t="shared" si="36"/>
        <v>0</v>
      </c>
      <c r="M455" s="66"/>
      <c r="N455" s="66"/>
      <c r="O455" s="66"/>
      <c r="X455" s="20">
        <f t="shared" si="37"/>
        <v>0</v>
      </c>
      <c r="Y455" s="20">
        <f t="shared" si="38"/>
        <v>0</v>
      </c>
      <c r="Z455" s="20" t="e">
        <f t="shared" si="39"/>
        <v>#DIV/0!</v>
      </c>
    </row>
    <row r="456" spans="11:26" ht="14.25" customHeight="1" x14ac:dyDescent="0.3">
      <c r="K456" s="64">
        <f t="shared" si="35"/>
        <v>0</v>
      </c>
      <c r="L456" s="64">
        <f t="shared" si="36"/>
        <v>0</v>
      </c>
      <c r="M456" s="66">
        <f>C458*Scoring!$B$32+D458/Scoring!$C$32+E458*Scoring!$D$32+F458*Scoring!$E$32+G458/Scoring!$F$32+H458*Scoring!$G$32+I458*Scoring!$H$32+K458*Scoring!$I$32+RB!L458*Scoring!$J$32+U456</f>
        <v>0</v>
      </c>
      <c r="N456" s="66">
        <f>C456*Scoring!$B$32+D456/Scoring!$C$32+E456*Scoring!$D$32+F456*Scoring!$E$32+G456/Scoring!$F$32+H456*Scoring!$G$32+I456*Scoring!$H$32+K456*Scoring!$I$32+RB!L456*Scoring!$J$32+U456</f>
        <v>0</v>
      </c>
      <c r="O456" s="66">
        <f>C457*Scoring!$B$32+D457/Scoring!$C$32+E457*Scoring!$D$32+F457*Scoring!$E$32+G457/Scoring!$F$32+H457*Scoring!$G$32+I457*Scoring!$H$32+K457*Scoring!$I$32+L457*Scoring!$J$32+U456</f>
        <v>0</v>
      </c>
      <c r="P456" s="20">
        <f>IF(COUNTIF(Rookies!$A:$A,A456)&gt;0,1,0)</f>
        <v>0</v>
      </c>
      <c r="S456" s="20">
        <f>V456/17</f>
        <v>0</v>
      </c>
      <c r="T456" s="20">
        <f>IF(P456=1,MAX(0,0.258*(14.9-S456)),0)</f>
        <v>0</v>
      </c>
      <c r="U456" s="20">
        <f>T456*17</f>
        <v>0</v>
      </c>
      <c r="V456" s="20">
        <f>C456*Scoring!$B$32+D456/Scoring!$C$32+E456*Scoring!$D$32+F456*Scoring!$E$32+G456/Scoring!$F$32+H456*Scoring!$G$32+I456*Scoring!$H$32+K456*Scoring!$I$32+RB!L456*Scoring!$J$32</f>
        <v>0</v>
      </c>
      <c r="X456" s="20">
        <f t="shared" si="37"/>
        <v>0</v>
      </c>
      <c r="Y456" s="20">
        <f t="shared" si="38"/>
        <v>0</v>
      </c>
      <c r="Z456" s="20" t="e">
        <f t="shared" si="39"/>
        <v>#DIV/0!</v>
      </c>
    </row>
    <row r="457" spans="11:26" ht="14.25" customHeight="1" x14ac:dyDescent="0.3">
      <c r="K457" s="64">
        <f t="shared" si="35"/>
        <v>0</v>
      </c>
      <c r="L457" s="64">
        <f t="shared" si="36"/>
        <v>0</v>
      </c>
      <c r="M457" s="66"/>
      <c r="N457" s="66"/>
      <c r="O457" s="66"/>
      <c r="X457" s="20">
        <f t="shared" si="37"/>
        <v>0</v>
      </c>
      <c r="Y457" s="20">
        <f t="shared" si="38"/>
        <v>0</v>
      </c>
      <c r="Z457" s="20" t="e">
        <f t="shared" si="39"/>
        <v>#DIV/0!</v>
      </c>
    </row>
    <row r="458" spans="11:26" ht="14.25" customHeight="1" x14ac:dyDescent="0.3">
      <c r="K458" s="64">
        <f t="shared" si="35"/>
        <v>0</v>
      </c>
      <c r="L458" s="64">
        <f t="shared" si="36"/>
        <v>0</v>
      </c>
      <c r="M458" s="66"/>
      <c r="N458" s="66"/>
      <c r="O458" s="66"/>
      <c r="X458" s="20">
        <f t="shared" si="37"/>
        <v>0</v>
      </c>
      <c r="Y458" s="20">
        <f t="shared" si="38"/>
        <v>0</v>
      </c>
      <c r="Z458" s="20" t="e">
        <f t="shared" si="39"/>
        <v>#DIV/0!</v>
      </c>
    </row>
    <row r="459" spans="11:26" ht="14.25" customHeight="1" x14ac:dyDescent="0.3">
      <c r="K459" s="64">
        <f t="shared" si="35"/>
        <v>0</v>
      </c>
      <c r="L459" s="64">
        <f t="shared" si="36"/>
        <v>0</v>
      </c>
      <c r="M459" s="66">
        <f>C461*Scoring!$B$32+D461/Scoring!$C$32+E461*Scoring!$D$32+F461*Scoring!$E$32+G461/Scoring!$F$32+H461*Scoring!$G$32+I461*Scoring!$H$32+K461*Scoring!$I$32+RB!L461*Scoring!$J$32+U459</f>
        <v>0</v>
      </c>
      <c r="N459" s="66">
        <f>C459*Scoring!$B$32+D459/Scoring!$C$32+E459*Scoring!$D$32+F459*Scoring!$E$32+G459/Scoring!$F$32+H459*Scoring!$G$32+I459*Scoring!$H$32+K459*Scoring!$I$32+RB!L459*Scoring!$J$32+U459</f>
        <v>0</v>
      </c>
      <c r="O459" s="66">
        <f>C460*Scoring!$B$32+D460/Scoring!$C$32+E460*Scoring!$D$32+F460*Scoring!$E$32+G460/Scoring!$F$32+H460*Scoring!$G$32+I460*Scoring!$H$32+K460*Scoring!$I$32+L460*Scoring!$J$32+U459</f>
        <v>0</v>
      </c>
      <c r="P459" s="20">
        <f>IF(COUNTIF(Rookies!$A:$A,A459)&gt;0,1,0)</f>
        <v>0</v>
      </c>
      <c r="S459" s="20">
        <f>V459/17</f>
        <v>0</v>
      </c>
      <c r="T459" s="20">
        <f>IF(P459=1,MAX(0,0.258*(14.9-S459)),0)</f>
        <v>0</v>
      </c>
      <c r="U459" s="20">
        <f>T459*17</f>
        <v>0</v>
      </c>
      <c r="V459" s="20">
        <f>C459*Scoring!$B$32+D459/Scoring!$C$32+E459*Scoring!$D$32+F459*Scoring!$E$32+G459/Scoring!$F$32+H459*Scoring!$G$32+I459*Scoring!$H$32+K459*Scoring!$I$32+RB!L459*Scoring!$J$32</f>
        <v>0</v>
      </c>
      <c r="X459" s="20">
        <f t="shared" si="37"/>
        <v>0</v>
      </c>
      <c r="Y459" s="20">
        <f t="shared" si="38"/>
        <v>0</v>
      </c>
      <c r="Z459" s="20" t="e">
        <f t="shared" si="39"/>
        <v>#DIV/0!</v>
      </c>
    </row>
    <row r="460" spans="11:26" ht="14.25" customHeight="1" x14ac:dyDescent="0.3">
      <c r="K460" s="64">
        <f t="shared" si="35"/>
        <v>0</v>
      </c>
      <c r="L460" s="64">
        <f t="shared" si="36"/>
        <v>0</v>
      </c>
      <c r="M460" s="66"/>
      <c r="N460" s="66"/>
      <c r="O460" s="66"/>
      <c r="X460" s="20">
        <f t="shared" si="37"/>
        <v>0</v>
      </c>
      <c r="Y460" s="20">
        <f t="shared" si="38"/>
        <v>0</v>
      </c>
      <c r="Z460" s="20" t="e">
        <f t="shared" si="39"/>
        <v>#DIV/0!</v>
      </c>
    </row>
    <row r="461" spans="11:26" ht="14.25" customHeight="1" x14ac:dyDescent="0.3">
      <c r="K461" s="64">
        <f t="shared" si="35"/>
        <v>0</v>
      </c>
      <c r="L461" s="64">
        <f t="shared" si="36"/>
        <v>0</v>
      </c>
      <c r="M461" s="66"/>
      <c r="N461" s="66"/>
      <c r="O461" s="66"/>
      <c r="X461" s="20">
        <f t="shared" si="37"/>
        <v>0</v>
      </c>
      <c r="Y461" s="20">
        <f t="shared" si="38"/>
        <v>0</v>
      </c>
      <c r="Z461" s="20" t="e">
        <f t="shared" si="39"/>
        <v>#DIV/0!</v>
      </c>
    </row>
    <row r="462" spans="11:26" ht="14.25" customHeight="1" x14ac:dyDescent="0.3">
      <c r="K462" s="64">
        <f t="shared" si="35"/>
        <v>0</v>
      </c>
      <c r="L462" s="64">
        <f t="shared" si="36"/>
        <v>0</v>
      </c>
      <c r="M462" s="66">
        <f>C464*Scoring!$B$32+D464/Scoring!$C$32+E464*Scoring!$D$32+F464*Scoring!$E$32+G464/Scoring!$F$32+H464*Scoring!$G$32+I464*Scoring!$H$32+K464*Scoring!$I$32+RB!L464*Scoring!$J$32+U462</f>
        <v>0</v>
      </c>
      <c r="N462" s="66">
        <f>C462*Scoring!$B$32+D462/Scoring!$C$32+E462*Scoring!$D$32+F462*Scoring!$E$32+G462/Scoring!$F$32+H462*Scoring!$G$32+I462*Scoring!$H$32+K462*Scoring!$I$32+RB!L462*Scoring!$J$32+U462</f>
        <v>0</v>
      </c>
      <c r="O462" s="66">
        <f>C463*Scoring!$B$32+D463/Scoring!$C$32+E463*Scoring!$D$32+F463*Scoring!$E$32+G463/Scoring!$F$32+H463*Scoring!$G$32+I463*Scoring!$H$32+K463*Scoring!$I$32+L463*Scoring!$J$32+U462</f>
        <v>0</v>
      </c>
      <c r="P462" s="20">
        <f>IF(COUNTIF(Rookies!$A:$A,A462)&gt;0,1,0)</f>
        <v>0</v>
      </c>
      <c r="S462" s="20">
        <f>V462/17</f>
        <v>0</v>
      </c>
      <c r="T462" s="20">
        <f>IF(P462=1,MAX(0,0.258*(14.9-S462)),0)</f>
        <v>0</v>
      </c>
      <c r="U462" s="20">
        <f>T462*17</f>
        <v>0</v>
      </c>
      <c r="V462" s="20">
        <f>C462*Scoring!$B$32+D462/Scoring!$C$32+E462*Scoring!$D$32+F462*Scoring!$E$32+G462/Scoring!$F$32+H462*Scoring!$G$32+I462*Scoring!$H$32+K462*Scoring!$I$32+RB!L462*Scoring!$J$32</f>
        <v>0</v>
      </c>
    </row>
    <row r="463" spans="11:26" ht="14.25" customHeight="1" x14ac:dyDescent="0.3">
      <c r="K463" s="64">
        <f t="shared" si="35"/>
        <v>0</v>
      </c>
      <c r="L463" s="64">
        <f t="shared" si="36"/>
        <v>0</v>
      </c>
      <c r="M463" s="66"/>
      <c r="N463" s="66"/>
      <c r="O463" s="66"/>
    </row>
    <row r="464" spans="11:26" ht="14.25" customHeight="1" x14ac:dyDescent="0.3">
      <c r="K464" s="64">
        <f t="shared" si="35"/>
        <v>0</v>
      </c>
      <c r="L464" s="64">
        <f t="shared" si="36"/>
        <v>0</v>
      </c>
      <c r="M464" s="66"/>
      <c r="N464" s="66"/>
      <c r="O464" s="66"/>
    </row>
    <row r="465" spans="11:22" ht="14.25" customHeight="1" x14ac:dyDescent="0.3">
      <c r="K465" s="64">
        <f t="shared" si="35"/>
        <v>0</v>
      </c>
      <c r="L465" s="64">
        <f t="shared" si="36"/>
        <v>0</v>
      </c>
      <c r="M465" s="66">
        <f>C467*Scoring!$B$32+D467/Scoring!$C$32+E467*Scoring!$D$32+F467*Scoring!$E$32+G467/Scoring!$F$32+H467*Scoring!$G$32+I467*Scoring!$H$32+K467*Scoring!$I$32+RB!L467*Scoring!$J$32+U465</f>
        <v>0</v>
      </c>
      <c r="N465" s="66">
        <f>C465*Scoring!$B$32+D465/Scoring!$C$32+E465*Scoring!$D$32+F465*Scoring!$E$32+G465/Scoring!$F$32+H465*Scoring!$G$32+I465*Scoring!$H$32+K465*Scoring!$I$32+RB!L465*Scoring!$J$32+U465</f>
        <v>0</v>
      </c>
      <c r="O465" s="66">
        <f>C466*Scoring!$B$32+D466/Scoring!$C$32+E466*Scoring!$D$32+F466*Scoring!$E$32+G466/Scoring!$F$32+H466*Scoring!$G$32+I466*Scoring!$H$32+K466*Scoring!$I$32+L466*Scoring!$J$32+U465</f>
        <v>0</v>
      </c>
      <c r="P465" s="20">
        <f>IF(COUNTIF(Rookies!$A:$A,A465)&gt;0,1,0)</f>
        <v>0</v>
      </c>
      <c r="S465" s="20">
        <f>V465/17</f>
        <v>0</v>
      </c>
      <c r="T465" s="20">
        <f>IF(P465=1,MAX(0,0.258*(14.9-S465)),0)</f>
        <v>0</v>
      </c>
      <c r="U465" s="20">
        <f>T465*17</f>
        <v>0</v>
      </c>
      <c r="V465" s="20">
        <f>C465*Scoring!$B$32+D465/Scoring!$C$32+E465*Scoring!$D$32+F465*Scoring!$E$32+G465/Scoring!$F$32+H465*Scoring!$G$32+I465*Scoring!$H$32+K465*Scoring!$I$32+RB!L465*Scoring!$J$32</f>
        <v>0</v>
      </c>
    </row>
    <row r="466" spans="11:22" ht="14.25" customHeight="1" x14ac:dyDescent="0.3">
      <c r="K466" s="64">
        <f t="shared" si="35"/>
        <v>0</v>
      </c>
      <c r="L466" s="64">
        <f t="shared" si="36"/>
        <v>0</v>
      </c>
      <c r="M466" s="66"/>
      <c r="N466" s="66"/>
      <c r="O466" s="66"/>
    </row>
    <row r="467" spans="11:22" ht="14.25" customHeight="1" x14ac:dyDescent="0.3">
      <c r="K467" s="64">
        <f t="shared" si="35"/>
        <v>0</v>
      </c>
      <c r="L467" s="64">
        <f t="shared" si="36"/>
        <v>0</v>
      </c>
      <c r="M467" s="66"/>
      <c r="N467" s="66"/>
      <c r="O467" s="66"/>
    </row>
    <row r="468" spans="11:22" ht="14.25" customHeight="1" x14ac:dyDescent="0.3">
      <c r="K468" s="64">
        <f t="shared" si="35"/>
        <v>0</v>
      </c>
      <c r="L468" s="64">
        <f t="shared" si="36"/>
        <v>0</v>
      </c>
      <c r="M468" s="66">
        <f>C470*Scoring!$B$32+D470/Scoring!$C$32+E470*Scoring!$D$32+F470*Scoring!$E$32+G470/Scoring!$F$32+H470*Scoring!$G$32+I470*Scoring!$H$32+K470*Scoring!$I$32+RB!L470*Scoring!$J$32+U468</f>
        <v>0</v>
      </c>
      <c r="N468" s="66">
        <f>C468*Scoring!$B$32+D468/Scoring!$C$32+E468*Scoring!$D$32+F468*Scoring!$E$32+G468/Scoring!$F$32+H468*Scoring!$G$32+I468*Scoring!$H$32+K468*Scoring!$I$32+RB!L468*Scoring!$J$32+U468</f>
        <v>0</v>
      </c>
      <c r="O468" s="66">
        <f>C469*Scoring!$B$32+D469/Scoring!$C$32+E469*Scoring!$D$32+F469*Scoring!$E$32+G469/Scoring!$F$32+H469*Scoring!$G$32+I469*Scoring!$H$32+K469*Scoring!$I$32+L469*Scoring!$J$32+U468</f>
        <v>0</v>
      </c>
      <c r="P468" s="20">
        <f>IF(COUNTIF(Rookies!$A:$A,A468)&gt;0,1,0)</f>
        <v>0</v>
      </c>
      <c r="S468" s="20">
        <f>V468/17</f>
        <v>0</v>
      </c>
      <c r="T468" s="20">
        <f>IF(P468=1,MAX(0,0.258*(14.9-S468)),0)</f>
        <v>0</v>
      </c>
      <c r="U468" s="20">
        <f>T468*17</f>
        <v>0</v>
      </c>
      <c r="V468" s="20">
        <f>C468*Scoring!$B$32+D468/Scoring!$C$32+E468*Scoring!$D$32+F468*Scoring!$E$32+G468/Scoring!$F$32+H468*Scoring!$G$32+I468*Scoring!$H$32+K468*Scoring!$I$32+RB!L468*Scoring!$J$32</f>
        <v>0</v>
      </c>
    </row>
    <row r="469" spans="11:22" ht="14.25" customHeight="1" x14ac:dyDescent="0.3">
      <c r="K469" s="64">
        <f t="shared" si="35"/>
        <v>0</v>
      </c>
      <c r="L469" s="64">
        <f t="shared" si="36"/>
        <v>0</v>
      </c>
      <c r="M469" s="66"/>
      <c r="N469" s="66"/>
      <c r="O469" s="66"/>
    </row>
    <row r="470" spans="11:22" ht="14.25" customHeight="1" x14ac:dyDescent="0.3">
      <c r="K470" s="64">
        <f t="shared" si="35"/>
        <v>0</v>
      </c>
      <c r="L470" s="64">
        <f t="shared" si="36"/>
        <v>0</v>
      </c>
      <c r="M470" s="66"/>
      <c r="N470" s="66"/>
      <c r="O470" s="66"/>
    </row>
    <row r="471" spans="11:22" ht="14.25" customHeight="1" x14ac:dyDescent="0.3">
      <c r="K471" s="64">
        <f t="shared" si="35"/>
        <v>0</v>
      </c>
      <c r="L471" s="64">
        <f t="shared" si="36"/>
        <v>0</v>
      </c>
      <c r="M471" s="66">
        <f>C473*Scoring!$B$32+D473/Scoring!$C$32+E473*Scoring!$D$32+F473*Scoring!$E$32+G473/Scoring!$F$32+H473*Scoring!$G$32+I473*Scoring!$H$32+K473*Scoring!$I$32+RB!L473*Scoring!$J$32+U471</f>
        <v>0</v>
      </c>
      <c r="N471" s="66">
        <f>C471*Scoring!$B$32+D471/Scoring!$C$32+E471*Scoring!$D$32+F471*Scoring!$E$32+G471/Scoring!$F$32+H471*Scoring!$G$32+I471*Scoring!$H$32+K471*Scoring!$I$32+RB!L471*Scoring!$J$32+U471</f>
        <v>0</v>
      </c>
      <c r="O471" s="66">
        <f>C472*Scoring!$B$32+D472/Scoring!$C$32+E472*Scoring!$D$32+F472*Scoring!$E$32+G472/Scoring!$F$32+H472*Scoring!$G$32+I472*Scoring!$H$32+K472*Scoring!$I$32+L472*Scoring!$J$32+U471</f>
        <v>0</v>
      </c>
      <c r="P471" s="20">
        <f>IF(COUNTIF(Rookies!$A:$A,A471)&gt;0,1,0)</f>
        <v>0</v>
      </c>
      <c r="S471" s="20">
        <f>V471/17</f>
        <v>0</v>
      </c>
      <c r="T471" s="20">
        <f>IF(P471=1,MAX(0,0.258*(14.9-S471)),0)</f>
        <v>0</v>
      </c>
      <c r="U471" s="20">
        <f>T471*17</f>
        <v>0</v>
      </c>
      <c r="V471" s="20">
        <f>C471*Scoring!$B$32+D471/Scoring!$C$32+E471*Scoring!$D$32+F471*Scoring!$E$32+G471/Scoring!$F$32+H471*Scoring!$G$32+I471*Scoring!$H$32+K471*Scoring!$I$32+RB!L471*Scoring!$J$32</f>
        <v>0</v>
      </c>
    </row>
    <row r="472" spans="11:22" ht="14.25" customHeight="1" x14ac:dyDescent="0.3">
      <c r="K472" s="64">
        <f t="shared" si="35"/>
        <v>0</v>
      </c>
      <c r="L472" s="64">
        <f t="shared" si="36"/>
        <v>0</v>
      </c>
      <c r="M472" s="66"/>
      <c r="N472" s="66"/>
      <c r="O472" s="66"/>
    </row>
    <row r="473" spans="11:22" ht="14.25" customHeight="1" x14ac:dyDescent="0.3">
      <c r="K473" s="64">
        <f t="shared" si="35"/>
        <v>0</v>
      </c>
      <c r="L473" s="64">
        <f t="shared" si="36"/>
        <v>0</v>
      </c>
      <c r="M473" s="66"/>
      <c r="N473" s="66"/>
      <c r="O473" s="66"/>
    </row>
    <row r="474" spans="11:22" ht="14.25" customHeight="1" x14ac:dyDescent="0.3">
      <c r="K474" s="64">
        <f t="shared" si="35"/>
        <v>0</v>
      </c>
      <c r="L474" s="64">
        <f t="shared" si="36"/>
        <v>0</v>
      </c>
      <c r="M474" s="66">
        <f>C476*Scoring!$B$32+D476/Scoring!$C$32+E476*Scoring!$D$32+F476*Scoring!$E$32+G476/Scoring!$F$32+H476*Scoring!$G$32+I476*Scoring!$H$32+K476*Scoring!$I$32+RB!L476*Scoring!$J$32+U474</f>
        <v>0</v>
      </c>
      <c r="N474" s="66">
        <f>C474*Scoring!$B$32+D474/Scoring!$C$32+E474*Scoring!$D$32+F474*Scoring!$E$32+G474/Scoring!$F$32+H474*Scoring!$G$32+I474*Scoring!$H$32+K474*Scoring!$I$32+RB!L474*Scoring!$J$32+U474</f>
        <v>0</v>
      </c>
      <c r="O474" s="66">
        <f>C475*Scoring!$B$32+D475/Scoring!$C$32+E475*Scoring!$D$32+F475*Scoring!$E$32+G475/Scoring!$F$32+H475*Scoring!$G$32+I475*Scoring!$H$32+K475*Scoring!$I$32+L475*Scoring!$J$32+U474</f>
        <v>0</v>
      </c>
    </row>
    <row r="475" spans="11:22" ht="14.25" customHeight="1" x14ac:dyDescent="0.3">
      <c r="K475" s="64">
        <f t="shared" si="35"/>
        <v>0</v>
      </c>
      <c r="L475" s="64">
        <f t="shared" si="36"/>
        <v>0</v>
      </c>
      <c r="M475" s="66"/>
      <c r="N475" s="66"/>
      <c r="O475" s="66"/>
    </row>
    <row r="476" spans="11:22" ht="14.25" customHeight="1" x14ac:dyDescent="0.3">
      <c r="K476" s="64">
        <f t="shared" si="35"/>
        <v>0</v>
      </c>
      <c r="L476" s="64">
        <f t="shared" si="36"/>
        <v>0</v>
      </c>
      <c r="M476" s="66"/>
      <c r="N476" s="66"/>
      <c r="O476" s="66"/>
    </row>
    <row r="477" spans="11:22" ht="14.25" customHeight="1" x14ac:dyDescent="0.3">
      <c r="K477" s="64">
        <f t="shared" si="35"/>
        <v>0</v>
      </c>
      <c r="L477" s="64">
        <f t="shared" si="36"/>
        <v>0</v>
      </c>
      <c r="M477" s="66">
        <f>C479*Scoring!$B$32+D479/Scoring!$C$32+E479*Scoring!$D$32+F479*Scoring!$E$32+G479/Scoring!$F$32+H479*Scoring!$G$32+I479*Scoring!$H$32+K479*Scoring!$I$32+RB!L479*Scoring!$J$32+U477</f>
        <v>0</v>
      </c>
      <c r="N477" s="66">
        <f>C477*Scoring!$B$32+D477/Scoring!$C$32+E477*Scoring!$D$32+F477*Scoring!$E$32+G477/Scoring!$F$32+H477*Scoring!$G$32+I477*Scoring!$H$32+K477*Scoring!$I$32+RB!L477*Scoring!$J$32+U477</f>
        <v>0</v>
      </c>
      <c r="O477" s="66">
        <f>C478*Scoring!$B$32+D478/Scoring!$C$32+E478*Scoring!$D$32+F478*Scoring!$E$32+G478/Scoring!$F$32+H478*Scoring!$G$32+I478*Scoring!$H$32+K478*Scoring!$I$32+L478*Scoring!$J$32+U477</f>
        <v>0</v>
      </c>
    </row>
    <row r="478" spans="11:22" ht="14.25" customHeight="1" x14ac:dyDescent="0.3">
      <c r="K478" s="64">
        <f t="shared" si="35"/>
        <v>0</v>
      </c>
      <c r="L478" s="64">
        <f t="shared" si="36"/>
        <v>0</v>
      </c>
      <c r="M478" s="66"/>
      <c r="N478" s="66"/>
      <c r="O478" s="66"/>
    </row>
    <row r="479" spans="11:22" ht="14.25" customHeight="1" x14ac:dyDescent="0.3">
      <c r="K479" s="64">
        <f t="shared" si="35"/>
        <v>0</v>
      </c>
      <c r="L479" s="64">
        <f t="shared" si="36"/>
        <v>0</v>
      </c>
      <c r="M479" s="66"/>
      <c r="N479" s="66"/>
      <c r="O479" s="66"/>
    </row>
    <row r="480" spans="11:22" ht="14.25" customHeight="1" x14ac:dyDescent="0.3">
      <c r="K480" s="64">
        <f t="shared" si="35"/>
        <v>0</v>
      </c>
      <c r="L480" s="64">
        <f t="shared" si="36"/>
        <v>0</v>
      </c>
      <c r="M480" s="66">
        <f>C482*Scoring!$B$32+D482/Scoring!$C$32+E482*Scoring!$D$32+F482*Scoring!$E$32+G482/Scoring!$F$32+H482*Scoring!$G$32+I482*Scoring!$H$32+K482*Scoring!$I$32+RB!L482*Scoring!$J$32+U480</f>
        <v>0</v>
      </c>
      <c r="N480" s="66">
        <f>C480*Scoring!$B$32+D480/Scoring!$C$32+E480*Scoring!$D$32+F480*Scoring!$E$32+G480/Scoring!$F$32+H480*Scoring!$G$32+I480*Scoring!$H$32+K480*Scoring!$I$32+RB!L480*Scoring!$J$32+U480</f>
        <v>0</v>
      </c>
      <c r="O480" s="66">
        <f>C481*Scoring!$B$32+D481/Scoring!$C$32+E481*Scoring!$D$32+F481*Scoring!$E$32+G481/Scoring!$F$32+H481*Scoring!$G$32+I481*Scoring!$H$32+K481*Scoring!$I$32+L481*Scoring!$J$32+U480</f>
        <v>0</v>
      </c>
    </row>
    <row r="481" spans="11:15" ht="14.25" customHeight="1" x14ac:dyDescent="0.3">
      <c r="K481" s="64">
        <f t="shared" si="35"/>
        <v>0</v>
      </c>
      <c r="L481" s="64">
        <f t="shared" si="36"/>
        <v>0</v>
      </c>
      <c r="M481" s="66"/>
      <c r="N481" s="66"/>
      <c r="O481" s="66"/>
    </row>
    <row r="482" spans="11:15" ht="14.25" customHeight="1" x14ac:dyDescent="0.3">
      <c r="K482" s="64">
        <f t="shared" si="35"/>
        <v>0</v>
      </c>
      <c r="L482" s="64">
        <f t="shared" si="36"/>
        <v>0</v>
      </c>
      <c r="M482" s="66"/>
      <c r="N482" s="66"/>
      <c r="O482" s="66"/>
    </row>
    <row r="483" spans="11:15" ht="14.25" customHeight="1" x14ac:dyDescent="0.3">
      <c r="K483" s="64">
        <f t="shared" si="35"/>
        <v>0</v>
      </c>
      <c r="L483" s="64">
        <f t="shared" si="36"/>
        <v>0</v>
      </c>
      <c r="M483" s="66">
        <f>C485*Scoring!$B$32+D485/Scoring!$C$32+E485*Scoring!$D$32+F485*Scoring!$E$32+G485/Scoring!$F$32+H485*Scoring!$G$32+I485*Scoring!$H$32+K485*Scoring!$I$32+RB!L485*Scoring!$J$32+U483</f>
        <v>0</v>
      </c>
      <c r="N483" s="66">
        <f>C483*Scoring!$B$32+D483/Scoring!$C$32+E483*Scoring!$D$32+F483*Scoring!$E$32+G483/Scoring!$F$32+H483*Scoring!$G$32+I483*Scoring!$H$32+K483*Scoring!$I$32+RB!L483*Scoring!$J$32+U483</f>
        <v>0</v>
      </c>
      <c r="O483" s="66">
        <f>C484*Scoring!$B$32+D484/Scoring!$C$32+E484*Scoring!$D$32+F484*Scoring!$E$32+G484/Scoring!$F$32+H484*Scoring!$G$32+I484*Scoring!$H$32+K484*Scoring!$I$32+L484*Scoring!$J$32+U483</f>
        <v>0</v>
      </c>
    </row>
    <row r="484" spans="11:15" ht="14.25" customHeight="1" x14ac:dyDescent="0.3">
      <c r="K484" s="64">
        <f t="shared" si="35"/>
        <v>0</v>
      </c>
      <c r="L484" s="64">
        <f t="shared" si="36"/>
        <v>0</v>
      </c>
      <c r="M484" s="66"/>
      <c r="N484" s="66"/>
      <c r="O484" s="66"/>
    </row>
    <row r="485" spans="11:15" ht="14.25" customHeight="1" x14ac:dyDescent="0.3">
      <c r="K485" s="64">
        <f t="shared" si="35"/>
        <v>0</v>
      </c>
      <c r="L485" s="64">
        <f t="shared" si="36"/>
        <v>0</v>
      </c>
      <c r="M485" s="66"/>
      <c r="N485" s="66"/>
      <c r="O485" s="66"/>
    </row>
    <row r="486" spans="11:15" ht="14.25" customHeight="1" x14ac:dyDescent="0.3">
      <c r="K486" s="64">
        <f t="shared" si="35"/>
        <v>0</v>
      </c>
      <c r="L486" s="64">
        <f t="shared" si="36"/>
        <v>0</v>
      </c>
      <c r="M486" s="66">
        <f>C488*Scoring!$B$32+D488/Scoring!$C$32+E488*Scoring!$D$32+F488*Scoring!$E$32+G488/Scoring!$F$32+H488*Scoring!$G$32+I488*Scoring!$H$32+K488*Scoring!$I$32+RB!L488*Scoring!$J$32+U486</f>
        <v>0</v>
      </c>
      <c r="N486" s="66">
        <f>C486*Scoring!$B$32+D486/Scoring!$C$32+E486*Scoring!$D$32+F486*Scoring!$E$32+G486/Scoring!$F$32+H486*Scoring!$G$32+I486*Scoring!$H$32+K486*Scoring!$I$32+RB!L486*Scoring!$J$32+U486</f>
        <v>0</v>
      </c>
      <c r="O486" s="66">
        <f>C487*Scoring!$B$32+D487/Scoring!$C$32+E487*Scoring!$D$32+F487*Scoring!$E$32+G487/Scoring!$F$32+H487*Scoring!$G$32+I487*Scoring!$H$32+K487*Scoring!$I$32+L487*Scoring!$J$32+U486</f>
        <v>0</v>
      </c>
    </row>
    <row r="487" spans="11:15" ht="14.25" customHeight="1" x14ac:dyDescent="0.3">
      <c r="K487" s="64">
        <f t="shared" si="35"/>
        <v>0</v>
      </c>
      <c r="L487" s="64">
        <f t="shared" si="36"/>
        <v>0</v>
      </c>
      <c r="M487" s="66"/>
      <c r="N487" s="66"/>
      <c r="O487" s="66"/>
    </row>
    <row r="488" spans="11:15" ht="14.25" customHeight="1" x14ac:dyDescent="0.3">
      <c r="K488" s="64">
        <f t="shared" si="35"/>
        <v>0</v>
      </c>
      <c r="L488" s="64">
        <f t="shared" si="36"/>
        <v>0</v>
      </c>
      <c r="M488" s="66"/>
      <c r="N488" s="66"/>
      <c r="O488" s="66"/>
    </row>
    <row r="489" spans="11:15" ht="14.25" customHeight="1" x14ac:dyDescent="0.3">
      <c r="K489" s="64">
        <f t="shared" si="35"/>
        <v>0</v>
      </c>
      <c r="L489" s="64">
        <f t="shared" si="36"/>
        <v>0</v>
      </c>
      <c r="M489" s="66">
        <f>C491*Scoring!$B$32+D491/Scoring!$C$32+E491*Scoring!$D$32+F491*Scoring!$E$32+G491/Scoring!$F$32+H491*Scoring!$G$32+I491*Scoring!$H$32+K491*Scoring!$I$32+RB!L491*Scoring!$J$32+U489</f>
        <v>0</v>
      </c>
      <c r="N489" s="66">
        <f>C489*Scoring!$B$32+D489/Scoring!$C$32+E489*Scoring!$D$32+F489*Scoring!$E$32+G489/Scoring!$F$32+H489*Scoring!$G$32+I489*Scoring!$H$32+K489*Scoring!$I$32+RB!L489*Scoring!$J$32+U489</f>
        <v>0</v>
      </c>
      <c r="O489" s="66">
        <f>C490*Scoring!$B$32+D490/Scoring!$C$32+E490*Scoring!$D$32+F490*Scoring!$E$32+G490/Scoring!$F$32+H490*Scoring!$G$32+I490*Scoring!$H$32+K490*Scoring!$I$32+L490*Scoring!$J$32+U489</f>
        <v>0</v>
      </c>
    </row>
    <row r="490" spans="11:15" ht="14.25" customHeight="1" x14ac:dyDescent="0.3">
      <c r="K490" s="64">
        <f t="shared" si="35"/>
        <v>0</v>
      </c>
      <c r="L490" s="64">
        <f t="shared" si="36"/>
        <v>0</v>
      </c>
      <c r="M490" s="66"/>
      <c r="N490" s="66"/>
      <c r="O490" s="66"/>
    </row>
    <row r="491" spans="11:15" ht="14.25" customHeight="1" x14ac:dyDescent="0.3">
      <c r="K491" s="64">
        <f t="shared" si="35"/>
        <v>0</v>
      </c>
      <c r="L491" s="64">
        <f t="shared" si="36"/>
        <v>0</v>
      </c>
      <c r="M491" s="66"/>
      <c r="N491" s="66"/>
      <c r="O491" s="66"/>
    </row>
    <row r="492" spans="11:15" ht="14.25" customHeight="1" x14ac:dyDescent="0.3">
      <c r="K492" s="64">
        <f t="shared" si="35"/>
        <v>0</v>
      </c>
      <c r="L492" s="64">
        <f t="shared" si="36"/>
        <v>0</v>
      </c>
      <c r="M492" s="66">
        <f>C494*Scoring!$B$32+D494/Scoring!$C$32+E494*Scoring!$D$32+F494*Scoring!$E$32+G494/Scoring!$F$32+H494*Scoring!$G$32+I494*Scoring!$H$32+K494*Scoring!$I$32+RB!L494*Scoring!$J$32+U492</f>
        <v>0</v>
      </c>
      <c r="N492" s="66">
        <f>C492*Scoring!$B$32+D492/Scoring!$C$32+E492*Scoring!$D$32+F492*Scoring!$E$32+G492/Scoring!$F$32+H492*Scoring!$G$32+I492*Scoring!$H$32+K492*Scoring!$I$32+RB!L492*Scoring!$J$32+U492</f>
        <v>0</v>
      </c>
      <c r="O492" s="66">
        <f>C493*Scoring!$B$32+D493/Scoring!$C$32+E493*Scoring!$D$32+F493*Scoring!$E$32+G493/Scoring!$F$32+H493*Scoring!$G$32+I493*Scoring!$H$32+K493*Scoring!$I$32+L493*Scoring!$J$32+U492</f>
        <v>0</v>
      </c>
    </row>
    <row r="493" spans="11:15" ht="14.25" customHeight="1" x14ac:dyDescent="0.3">
      <c r="K493" s="64">
        <f t="shared" si="35"/>
        <v>0</v>
      </c>
      <c r="L493" s="64">
        <f t="shared" si="36"/>
        <v>0</v>
      </c>
      <c r="M493" s="66"/>
      <c r="N493" s="66"/>
      <c r="O493" s="66"/>
    </row>
    <row r="494" spans="11:15" ht="14.25" customHeight="1" x14ac:dyDescent="0.3">
      <c r="K494" s="64">
        <f t="shared" si="35"/>
        <v>0</v>
      </c>
      <c r="L494" s="64">
        <f t="shared" si="36"/>
        <v>0</v>
      </c>
      <c r="M494" s="66"/>
      <c r="N494" s="66"/>
      <c r="O494" s="66"/>
    </row>
    <row r="495" spans="11:15" ht="14.25" customHeight="1" x14ac:dyDescent="0.3">
      <c r="K495" s="64">
        <f t="shared" si="35"/>
        <v>0</v>
      </c>
      <c r="L495" s="64">
        <f t="shared" si="36"/>
        <v>0</v>
      </c>
      <c r="M495" s="66">
        <f>C497*Scoring!$B$32+D497/Scoring!$C$32+E497*Scoring!$D$32+F497*Scoring!$E$32+G497/Scoring!$F$32+H497*Scoring!$G$32+I497*Scoring!$H$32+K497*Scoring!$I$32+RB!L497*Scoring!$J$32+U495</f>
        <v>0</v>
      </c>
      <c r="N495" s="66">
        <f>C495*Scoring!$B$32+D495/Scoring!$C$32+E495*Scoring!$D$32+F495*Scoring!$E$32+G495/Scoring!$F$32+H495*Scoring!$G$32+I495*Scoring!$H$32+K495*Scoring!$I$32+RB!L495*Scoring!$J$32+U495</f>
        <v>0</v>
      </c>
      <c r="O495" s="66">
        <f>C496*Scoring!$B$32+D496/Scoring!$C$32+E496*Scoring!$D$32+F496*Scoring!$E$32+G496/Scoring!$F$32+H496*Scoring!$G$32+I496*Scoring!$H$32+K496*Scoring!$I$32+L496*Scoring!$J$32+U495</f>
        <v>0</v>
      </c>
    </row>
    <row r="496" spans="11:15" ht="14.25" customHeight="1" x14ac:dyDescent="0.3">
      <c r="K496" s="64">
        <f t="shared" si="35"/>
        <v>0</v>
      </c>
      <c r="L496" s="64">
        <f t="shared" si="36"/>
        <v>0</v>
      </c>
      <c r="M496" s="66"/>
      <c r="N496" s="66"/>
      <c r="O496" s="66"/>
    </row>
    <row r="497" spans="11:15" ht="14.25" customHeight="1" x14ac:dyDescent="0.3">
      <c r="K497" s="64">
        <f t="shared" si="35"/>
        <v>0</v>
      </c>
      <c r="L497" s="64">
        <f t="shared" si="36"/>
        <v>0</v>
      </c>
      <c r="M497" s="66"/>
      <c r="N497" s="66"/>
      <c r="O497" s="66"/>
    </row>
    <row r="498" spans="11:15" ht="14.25" customHeight="1" x14ac:dyDescent="0.3">
      <c r="K498" s="64">
        <f t="shared" si="35"/>
        <v>0</v>
      </c>
      <c r="L498" s="64">
        <f t="shared" si="36"/>
        <v>0</v>
      </c>
      <c r="M498" s="66">
        <f>C500*Scoring!$B$32+D500/Scoring!$C$32+E500*Scoring!$D$32+F500*Scoring!$E$32+G500/Scoring!$F$32+H500*Scoring!$G$32+I500*Scoring!$H$32+K500*Scoring!$I$32+RB!L500*Scoring!$J$32+U498</f>
        <v>0</v>
      </c>
      <c r="N498" s="66">
        <f>C498*Scoring!$B$32+D498/Scoring!$C$32+E498*Scoring!$D$32+F498*Scoring!$E$32+G498/Scoring!$F$32+H498*Scoring!$G$32+I498*Scoring!$H$32+K498*Scoring!$I$32+RB!L498*Scoring!$J$32+U498</f>
        <v>0</v>
      </c>
      <c r="O498" s="66">
        <f>C499*Scoring!$B$32+D499/Scoring!$C$32+E499*Scoring!$D$32+F499*Scoring!$E$32+G499/Scoring!$F$32+H499*Scoring!$G$32+I499*Scoring!$H$32+K499*Scoring!$I$32+L499*Scoring!$J$32+U498</f>
        <v>0</v>
      </c>
    </row>
    <row r="499" spans="11:15" ht="14.25" customHeight="1" x14ac:dyDescent="0.3">
      <c r="K499" s="64">
        <f t="shared" si="35"/>
        <v>0</v>
      </c>
      <c r="L499" s="64">
        <f t="shared" si="36"/>
        <v>0</v>
      </c>
      <c r="M499" s="66"/>
      <c r="N499" s="66"/>
      <c r="O499" s="66"/>
    </row>
    <row r="500" spans="11:15" ht="14.25" customHeight="1" x14ac:dyDescent="0.3">
      <c r="K500" s="64">
        <f t="shared" si="35"/>
        <v>0</v>
      </c>
      <c r="L500" s="64">
        <f t="shared" si="36"/>
        <v>0</v>
      </c>
      <c r="M500" s="66"/>
      <c r="N500" s="66"/>
      <c r="O500" s="66"/>
    </row>
    <row r="501" spans="11:15" ht="14.25" customHeight="1" x14ac:dyDescent="0.3">
      <c r="K501" s="64">
        <f t="shared" si="35"/>
        <v>0</v>
      </c>
      <c r="L501" s="64">
        <f t="shared" si="36"/>
        <v>0</v>
      </c>
      <c r="M501" s="66">
        <f>C503*Scoring!$B$32+D503/Scoring!$C$32+E503*Scoring!$D$32+F503*Scoring!$E$32+G503/Scoring!$F$32+H503*Scoring!$G$32+I503*Scoring!$H$32+K503*Scoring!$I$32+RB!L503*Scoring!$J$32+U501</f>
        <v>0</v>
      </c>
      <c r="N501" s="66">
        <f>C501*Scoring!$B$32+D501/Scoring!$C$32+E501*Scoring!$D$32+F501*Scoring!$E$32+G501/Scoring!$F$32+H501*Scoring!$G$32+I501*Scoring!$H$32+K501*Scoring!$I$32+RB!L501*Scoring!$J$32+U501</f>
        <v>0</v>
      </c>
      <c r="O501" s="66">
        <f>C502*Scoring!$B$32+D502/Scoring!$C$32+E502*Scoring!$D$32+F502*Scoring!$E$32+G502/Scoring!$F$32+H502*Scoring!$G$32+I502*Scoring!$H$32+K502*Scoring!$I$32+L502*Scoring!$J$32+U501</f>
        <v>0</v>
      </c>
    </row>
    <row r="502" spans="11:15" ht="14.25" customHeight="1" x14ac:dyDescent="0.3">
      <c r="K502" s="64">
        <f t="shared" si="35"/>
        <v>0</v>
      </c>
      <c r="L502" s="64">
        <f t="shared" si="36"/>
        <v>0</v>
      </c>
      <c r="M502" s="66"/>
      <c r="N502" s="66"/>
      <c r="O502" s="66"/>
    </row>
    <row r="503" spans="11:15" ht="14.25" customHeight="1" x14ac:dyDescent="0.3">
      <c r="K503" s="64">
        <f t="shared" si="35"/>
        <v>0</v>
      </c>
      <c r="L503" s="64">
        <f t="shared" si="36"/>
        <v>0</v>
      </c>
      <c r="M503" s="66"/>
      <c r="N503" s="66"/>
      <c r="O503" s="66"/>
    </row>
    <row r="504" spans="11:15" ht="14.25" customHeight="1" x14ac:dyDescent="0.3">
      <c r="K504" s="64">
        <f t="shared" si="35"/>
        <v>0</v>
      </c>
      <c r="L504" s="64">
        <f t="shared" si="36"/>
        <v>0</v>
      </c>
      <c r="M504" s="66">
        <f>C506*Scoring!$B$32+D506/Scoring!$C$32+E506*Scoring!$D$32+F506*Scoring!$E$32+G506/Scoring!$F$32+H506*Scoring!$G$32+I506*Scoring!$H$32+K506*Scoring!$I$32+RB!L506*Scoring!$J$32+U504</f>
        <v>0</v>
      </c>
      <c r="N504" s="66">
        <f>C504*Scoring!$B$32+D504/Scoring!$C$32+E504*Scoring!$D$32+F504*Scoring!$E$32+G504/Scoring!$F$32+H504*Scoring!$G$32+I504*Scoring!$H$32+K504*Scoring!$I$32+RB!L504*Scoring!$J$32+U504</f>
        <v>0</v>
      </c>
      <c r="O504" s="66">
        <f>C505*Scoring!$B$32+D505/Scoring!$C$32+E505*Scoring!$D$32+F505*Scoring!$E$32+G505/Scoring!$F$32+H505*Scoring!$G$32+I505*Scoring!$H$32+K505*Scoring!$I$32+L505*Scoring!$J$32+U504</f>
        <v>0</v>
      </c>
    </row>
    <row r="505" spans="11:15" ht="14.25" customHeight="1" x14ac:dyDescent="0.3">
      <c r="K505" s="64">
        <f t="shared" si="35"/>
        <v>0</v>
      </c>
      <c r="L505" s="64">
        <f t="shared" si="36"/>
        <v>0</v>
      </c>
      <c r="M505" s="66"/>
      <c r="N505" s="66"/>
      <c r="O505" s="66"/>
    </row>
    <row r="506" spans="11:15" ht="14.25" customHeight="1" x14ac:dyDescent="0.3">
      <c r="K506" s="64">
        <f t="shared" si="35"/>
        <v>0</v>
      </c>
      <c r="L506" s="64">
        <f t="shared" si="36"/>
        <v>0</v>
      </c>
      <c r="M506" s="66"/>
      <c r="N506" s="66"/>
      <c r="O506" s="66"/>
    </row>
    <row r="507" spans="11:15" ht="14.25" customHeight="1" x14ac:dyDescent="0.3">
      <c r="K507" s="64">
        <f t="shared" si="35"/>
        <v>0</v>
      </c>
      <c r="L507" s="64">
        <f t="shared" si="36"/>
        <v>0</v>
      </c>
      <c r="M507" s="66">
        <f>C509*Scoring!$B$32+D509/Scoring!$C$32+E509*Scoring!$D$32+F509*Scoring!$E$32+G509/Scoring!$F$32+H509*Scoring!$G$32+I509*Scoring!$H$32+K509*Scoring!$I$32+RB!L509*Scoring!$J$32+U507</f>
        <v>0</v>
      </c>
      <c r="N507" s="66">
        <f>C507*Scoring!$B$32+D507/Scoring!$C$32+E507*Scoring!$D$32+F507*Scoring!$E$32+G507/Scoring!$F$32+H507*Scoring!$G$32+I507*Scoring!$H$32+K507*Scoring!$I$32+RB!L507*Scoring!$J$32+U507</f>
        <v>0</v>
      </c>
      <c r="O507" s="66">
        <f>C508*Scoring!$B$32+D508/Scoring!$C$32+E508*Scoring!$D$32+F508*Scoring!$E$32+G508/Scoring!$F$32+H508*Scoring!$G$32+I508*Scoring!$H$32+K508*Scoring!$I$32+L508*Scoring!$J$32+U507</f>
        <v>0</v>
      </c>
    </row>
    <row r="508" spans="11:15" ht="14.25" customHeight="1" x14ac:dyDescent="0.3">
      <c r="K508" s="64">
        <f t="shared" si="35"/>
        <v>0</v>
      </c>
      <c r="L508" s="64">
        <f t="shared" si="36"/>
        <v>0</v>
      </c>
      <c r="M508" s="66"/>
      <c r="N508" s="66"/>
      <c r="O508" s="66"/>
    </row>
    <row r="509" spans="11:15" ht="14.25" customHeight="1" x14ac:dyDescent="0.3">
      <c r="K509" s="64">
        <f t="shared" si="35"/>
        <v>0</v>
      </c>
      <c r="L509" s="64">
        <f t="shared" si="36"/>
        <v>0</v>
      </c>
      <c r="M509" s="66"/>
      <c r="N509" s="66"/>
      <c r="O509" s="66"/>
    </row>
    <row r="510" spans="11:15" ht="14.25" customHeight="1" x14ac:dyDescent="0.3">
      <c r="K510" s="64">
        <f t="shared" si="35"/>
        <v>0</v>
      </c>
      <c r="L510" s="64">
        <f t="shared" si="36"/>
        <v>0</v>
      </c>
      <c r="M510" s="66">
        <f>C512*Scoring!$B$32+D512/Scoring!$C$32+E512*Scoring!$D$32+F512*Scoring!$E$32+G512/Scoring!$F$32+H512*Scoring!$G$32+I512*Scoring!$H$32+K512*Scoring!$I$32+RB!L512*Scoring!$J$32+U510</f>
        <v>0</v>
      </c>
      <c r="N510" s="66">
        <f>C510*Scoring!$B$32+D510/Scoring!$C$32+E510*Scoring!$D$32+F510*Scoring!$E$32+G510/Scoring!$F$32+H510*Scoring!$G$32+I510*Scoring!$H$32+K510*Scoring!$I$32+RB!L510*Scoring!$J$32+U510</f>
        <v>0</v>
      </c>
      <c r="O510" s="66">
        <f>C511*Scoring!$B$32+D511/Scoring!$C$32+E511*Scoring!$D$32+F511*Scoring!$E$32+G511/Scoring!$F$32+H511*Scoring!$G$32+I511*Scoring!$H$32+K511*Scoring!$I$32+L511*Scoring!$J$32+U510</f>
        <v>0</v>
      </c>
    </row>
    <row r="511" spans="11:15" ht="14.25" customHeight="1" x14ac:dyDescent="0.3">
      <c r="K511" s="64">
        <f t="shared" si="35"/>
        <v>0</v>
      </c>
      <c r="L511" s="64">
        <f t="shared" si="36"/>
        <v>0</v>
      </c>
      <c r="M511" s="66"/>
      <c r="N511" s="66"/>
      <c r="O511" s="66"/>
    </row>
    <row r="512" spans="11:15" ht="14.25" customHeight="1" x14ac:dyDescent="0.3">
      <c r="K512" s="64">
        <f t="shared" si="35"/>
        <v>0</v>
      </c>
      <c r="L512" s="64">
        <f t="shared" si="36"/>
        <v>0</v>
      </c>
      <c r="M512" s="66"/>
      <c r="N512" s="66"/>
      <c r="O512" s="66"/>
    </row>
    <row r="513" spans="11:15" ht="14.25" customHeight="1" x14ac:dyDescent="0.3">
      <c r="K513" s="64">
        <f t="shared" si="35"/>
        <v>0</v>
      </c>
      <c r="L513" s="64">
        <f t="shared" si="36"/>
        <v>0</v>
      </c>
      <c r="M513" s="66">
        <f>C515*Scoring!$B$32+D515/Scoring!$C$32+E515*Scoring!$D$32+F515*Scoring!$E$32+G515/Scoring!$F$32+H515*Scoring!$G$32+I515*Scoring!$H$32+K515*Scoring!$I$32+RB!L515*Scoring!$J$32+U513</f>
        <v>0</v>
      </c>
      <c r="N513" s="66">
        <f>C513*Scoring!$B$32+D513/Scoring!$C$32+E513*Scoring!$D$32+F513*Scoring!$E$32+G513/Scoring!$F$32+H513*Scoring!$G$32+I513*Scoring!$H$32+K513*Scoring!$I$32+RB!L513*Scoring!$J$32+U513</f>
        <v>0</v>
      </c>
      <c r="O513" s="66">
        <f>C514*Scoring!$B$32+D514/Scoring!$C$32+E514*Scoring!$D$32+F514*Scoring!$E$32+G514/Scoring!$F$32+H514*Scoring!$G$32+I514*Scoring!$H$32+K514*Scoring!$I$32+L514*Scoring!$J$32+U513</f>
        <v>0</v>
      </c>
    </row>
    <row r="514" spans="11:15" ht="14.25" customHeight="1" x14ac:dyDescent="0.3">
      <c r="K514" s="64">
        <f t="shared" si="35"/>
        <v>0</v>
      </c>
      <c r="L514" s="64">
        <f t="shared" si="36"/>
        <v>0</v>
      </c>
      <c r="M514" s="66"/>
      <c r="N514" s="66"/>
      <c r="O514" s="66"/>
    </row>
    <row r="515" spans="11:15" ht="14.25" customHeight="1" x14ac:dyDescent="0.3">
      <c r="K515" s="64">
        <f t="shared" ref="K515:K545" si="40">IFERROR((D515/C515)/4.5*0.25*C515,0)</f>
        <v>0</v>
      </c>
      <c r="L515" s="64">
        <f t="shared" ref="L515:L545" si="41">IFERROR((G515/F515)/7.95*0.376*F515,0)</f>
        <v>0</v>
      </c>
      <c r="M515" s="66"/>
      <c r="N515" s="66"/>
      <c r="O515" s="66"/>
    </row>
    <row r="516" spans="11:15" ht="14.25" customHeight="1" x14ac:dyDescent="0.3">
      <c r="K516" s="64">
        <f t="shared" si="40"/>
        <v>0</v>
      </c>
      <c r="L516" s="64">
        <f t="shared" si="41"/>
        <v>0</v>
      </c>
      <c r="M516" s="66">
        <f>C518*Scoring!$B$32+D518/Scoring!$C$32+E518*Scoring!$D$32+F518*Scoring!$E$32+G518/Scoring!$F$32+H518*Scoring!$G$32+I518*Scoring!$H$32+K518*Scoring!$I$32+RB!L518*Scoring!$J$32+U516</f>
        <v>0</v>
      </c>
      <c r="N516" s="66">
        <f>C516*Scoring!$B$32+D516/Scoring!$C$32+E516*Scoring!$D$32+F516*Scoring!$E$32+G516/Scoring!$F$32+H516*Scoring!$G$32+I516*Scoring!$H$32+K516*Scoring!$I$32+RB!L516*Scoring!$J$32+U516</f>
        <v>0</v>
      </c>
      <c r="O516" s="66">
        <f>C517*Scoring!$B$32+D517/Scoring!$C$32+E517*Scoring!$D$32+F517*Scoring!$E$32+G517/Scoring!$F$32+H517*Scoring!$G$32+I517*Scoring!$H$32+K517*Scoring!$I$32+L517*Scoring!$J$32+U516</f>
        <v>0</v>
      </c>
    </row>
    <row r="517" spans="11:15" ht="14.25" customHeight="1" x14ac:dyDescent="0.3">
      <c r="K517" s="64">
        <f t="shared" si="40"/>
        <v>0</v>
      </c>
      <c r="L517" s="64">
        <f t="shared" si="41"/>
        <v>0</v>
      </c>
      <c r="M517" s="66"/>
      <c r="N517" s="66"/>
      <c r="O517" s="66"/>
    </row>
    <row r="518" spans="11:15" ht="14.25" customHeight="1" x14ac:dyDescent="0.3">
      <c r="K518" s="64">
        <f t="shared" si="40"/>
        <v>0</v>
      </c>
      <c r="L518" s="64">
        <f t="shared" si="41"/>
        <v>0</v>
      </c>
      <c r="M518" s="66"/>
      <c r="N518" s="66"/>
      <c r="O518" s="66"/>
    </row>
    <row r="519" spans="11:15" ht="14.25" customHeight="1" x14ac:dyDescent="0.3">
      <c r="K519" s="64">
        <f t="shared" si="40"/>
        <v>0</v>
      </c>
      <c r="L519" s="64">
        <f t="shared" si="41"/>
        <v>0</v>
      </c>
      <c r="M519" s="66">
        <f>C521*Scoring!$B$32+D521/Scoring!$C$32+E521*Scoring!$D$32+F521*Scoring!$E$32+G521/Scoring!$F$32+H521*Scoring!$G$32+I521*Scoring!$H$32+K521*Scoring!$I$32+RB!L521*Scoring!$J$32+U519</f>
        <v>0</v>
      </c>
      <c r="N519" s="66">
        <f>C519*Scoring!$B$32+D519/Scoring!$C$32+E519*Scoring!$D$32+F519*Scoring!$E$32+G519/Scoring!$F$32+H519*Scoring!$G$32+I519*Scoring!$H$32+K519*Scoring!$I$32+RB!L519*Scoring!$J$32+U519</f>
        <v>0</v>
      </c>
      <c r="O519" s="66">
        <f>C520*Scoring!$B$32+D520/Scoring!$C$32+E520*Scoring!$D$32+F520*Scoring!$E$32+G520/Scoring!$F$32+H520*Scoring!$G$32+I520*Scoring!$H$32+K520*Scoring!$I$32+L520*Scoring!$J$32+U519</f>
        <v>0</v>
      </c>
    </row>
    <row r="520" spans="11:15" ht="14.25" customHeight="1" x14ac:dyDescent="0.3">
      <c r="K520" s="64">
        <f t="shared" si="40"/>
        <v>0</v>
      </c>
      <c r="L520" s="64">
        <f t="shared" si="41"/>
        <v>0</v>
      </c>
      <c r="M520" s="66"/>
      <c r="N520" s="66"/>
      <c r="O520" s="66"/>
    </row>
    <row r="521" spans="11:15" ht="14.25" customHeight="1" x14ac:dyDescent="0.3">
      <c r="K521" s="64">
        <f t="shared" si="40"/>
        <v>0</v>
      </c>
      <c r="L521" s="64">
        <f t="shared" si="41"/>
        <v>0</v>
      </c>
      <c r="M521" s="66"/>
      <c r="N521" s="66"/>
      <c r="O521" s="66"/>
    </row>
    <row r="522" spans="11:15" ht="14.25" customHeight="1" x14ac:dyDescent="0.3">
      <c r="K522" s="64">
        <f t="shared" si="40"/>
        <v>0</v>
      </c>
      <c r="L522" s="64">
        <f t="shared" si="41"/>
        <v>0</v>
      </c>
      <c r="M522" s="66">
        <f>C524*Scoring!$B$32+D524/Scoring!$C$32+E524*Scoring!$D$32+F524*Scoring!$E$32+G524/Scoring!$F$32+H524*Scoring!$G$32+I524*Scoring!$H$32+K524*Scoring!$I$32+RB!L524*Scoring!$J$32+U522</f>
        <v>0</v>
      </c>
      <c r="N522" s="66">
        <f>C522*Scoring!$B$32+D522/Scoring!$C$32+E522*Scoring!$D$32+F522*Scoring!$E$32+G522/Scoring!$F$32+H522*Scoring!$G$32+I522*Scoring!$H$32+K522*Scoring!$I$32+RB!L522*Scoring!$J$32+U522</f>
        <v>0</v>
      </c>
      <c r="O522" s="66">
        <f>C523*Scoring!$B$32+D523/Scoring!$C$32+E523*Scoring!$D$32+F523*Scoring!$E$32+G523/Scoring!$F$32+H523*Scoring!$G$32+I523*Scoring!$H$32+K523*Scoring!$I$32+L523*Scoring!$J$32+U522</f>
        <v>0</v>
      </c>
    </row>
    <row r="523" spans="11:15" ht="14.25" customHeight="1" x14ac:dyDescent="0.3">
      <c r="K523" s="64">
        <f t="shared" si="40"/>
        <v>0</v>
      </c>
      <c r="L523" s="64">
        <f t="shared" si="41"/>
        <v>0</v>
      </c>
      <c r="M523" s="66"/>
      <c r="N523" s="66"/>
      <c r="O523" s="66"/>
    </row>
    <row r="524" spans="11:15" ht="14.25" customHeight="1" x14ac:dyDescent="0.3">
      <c r="K524" s="64">
        <f t="shared" si="40"/>
        <v>0</v>
      </c>
      <c r="L524" s="64">
        <f t="shared" si="41"/>
        <v>0</v>
      </c>
      <c r="M524" s="66"/>
      <c r="N524" s="66"/>
      <c r="O524" s="66"/>
    </row>
    <row r="525" spans="11:15" ht="14.25" customHeight="1" x14ac:dyDescent="0.3">
      <c r="K525" s="64">
        <f t="shared" si="40"/>
        <v>0</v>
      </c>
      <c r="L525" s="64">
        <f t="shared" si="41"/>
        <v>0</v>
      </c>
      <c r="M525" s="66">
        <f>C527*Scoring!$B$32+D527/Scoring!$C$32+E527*Scoring!$D$32+F527*Scoring!$E$32+G527/Scoring!$F$32+H527*Scoring!$G$32+I527*Scoring!$H$32+K527*Scoring!$I$32+RB!L527*Scoring!$J$32+U525</f>
        <v>0</v>
      </c>
      <c r="N525" s="66">
        <f>C525*Scoring!$B$32+D525/Scoring!$C$32+E525*Scoring!$D$32+F525*Scoring!$E$32+G525/Scoring!$F$32+H525*Scoring!$G$32+I525*Scoring!$H$32+K525*Scoring!$I$32+RB!L525*Scoring!$J$32+U525</f>
        <v>0</v>
      </c>
      <c r="O525" s="66">
        <f>C526*Scoring!$B$32+D526/Scoring!$C$32+E526*Scoring!$D$32+F526*Scoring!$E$32+G526/Scoring!$F$32+H526*Scoring!$G$32+I526*Scoring!$H$32+K526*Scoring!$I$32+L526*Scoring!$J$32+U525</f>
        <v>0</v>
      </c>
    </row>
    <row r="526" spans="11:15" ht="14.25" customHeight="1" x14ac:dyDescent="0.3">
      <c r="K526" s="64">
        <f t="shared" si="40"/>
        <v>0</v>
      </c>
      <c r="L526" s="64">
        <f t="shared" si="41"/>
        <v>0</v>
      </c>
      <c r="M526" s="66"/>
      <c r="N526" s="66"/>
      <c r="O526" s="66"/>
    </row>
    <row r="527" spans="11:15" ht="14.25" customHeight="1" x14ac:dyDescent="0.3">
      <c r="K527" s="64">
        <f t="shared" si="40"/>
        <v>0</v>
      </c>
      <c r="L527" s="64">
        <f t="shared" si="41"/>
        <v>0</v>
      </c>
      <c r="M527" s="66"/>
      <c r="N527" s="66"/>
      <c r="O527" s="66"/>
    </row>
    <row r="528" spans="11:15" ht="14.25" customHeight="1" x14ac:dyDescent="0.3">
      <c r="K528" s="64">
        <f t="shared" si="40"/>
        <v>0</v>
      </c>
      <c r="L528" s="64">
        <f t="shared" si="41"/>
        <v>0</v>
      </c>
      <c r="M528" s="66">
        <f>C530*Scoring!$B$32+D530/Scoring!$C$32+E530*Scoring!$D$32+F530*Scoring!$E$32+G530/Scoring!$F$32+H530*Scoring!$G$32+I530*Scoring!$H$32+K530*Scoring!$I$32+RB!L530*Scoring!$J$32</f>
        <v>0</v>
      </c>
      <c r="N528" s="66">
        <f>C528*Scoring!$B$32+D528/Scoring!$C$32+E528*Scoring!$D$32+F528*Scoring!$E$32+G528/Scoring!$F$32+H528*Scoring!$G$32+I528*Scoring!$H$32+K528*Scoring!$I$32+RB!L528*Scoring!$J$32</f>
        <v>0</v>
      </c>
      <c r="O528" s="66">
        <f>C529*Scoring!$B$32+D529/Scoring!$C$32+E529*Scoring!$D$32+F529*Scoring!$E$32+G529/Scoring!$F$32+H529*Scoring!$G$32+I529*Scoring!$H$32+K529*Scoring!$I$32+L529*Scoring!$J$32</f>
        <v>0</v>
      </c>
    </row>
    <row r="529" spans="11:15" ht="14.25" customHeight="1" x14ac:dyDescent="0.3">
      <c r="K529" s="64">
        <f t="shared" si="40"/>
        <v>0</v>
      </c>
      <c r="L529" s="64">
        <f t="shared" si="41"/>
        <v>0</v>
      </c>
      <c r="M529" s="66"/>
      <c r="N529" s="66"/>
      <c r="O529" s="66"/>
    </row>
    <row r="530" spans="11:15" ht="14.25" customHeight="1" x14ac:dyDescent="0.3">
      <c r="K530" s="64">
        <f t="shared" si="40"/>
        <v>0</v>
      </c>
      <c r="L530" s="64">
        <f t="shared" si="41"/>
        <v>0</v>
      </c>
      <c r="M530" s="66"/>
      <c r="N530" s="66"/>
      <c r="O530" s="66"/>
    </row>
    <row r="531" spans="11:15" ht="14.25" customHeight="1" x14ac:dyDescent="0.3">
      <c r="K531" s="64">
        <f t="shared" si="40"/>
        <v>0</v>
      </c>
      <c r="L531" s="64">
        <f t="shared" si="41"/>
        <v>0</v>
      </c>
      <c r="M531" s="66">
        <f>C533*Scoring!$B$32+D533/Scoring!$C$32+E533*Scoring!$D$32+F533*Scoring!$E$32+G533/Scoring!$F$32+H533*Scoring!$G$32+I533*Scoring!$H$32+K533*Scoring!$I$32+RB!L533*Scoring!$J$32</f>
        <v>0</v>
      </c>
      <c r="N531" s="66">
        <f>C531*Scoring!$B$32+D531/Scoring!$C$32+E531*Scoring!$D$32+F531*Scoring!$E$32+G531/Scoring!$F$32+H531*Scoring!$G$32+I531*Scoring!$H$32+K531*Scoring!$I$32+RB!L531*Scoring!$J$32</f>
        <v>0</v>
      </c>
      <c r="O531" s="66">
        <f>C532*Scoring!$B$32+D532/Scoring!$C$32+E532*Scoring!$D$32+F532*Scoring!$E$32+G532/Scoring!$F$32+H532*Scoring!$G$32+I532*Scoring!$H$32+K532*Scoring!$I$32+L532*Scoring!$J$32</f>
        <v>0</v>
      </c>
    </row>
    <row r="532" spans="11:15" ht="14.25" customHeight="1" x14ac:dyDescent="0.3">
      <c r="K532" s="64">
        <f t="shared" si="40"/>
        <v>0</v>
      </c>
      <c r="L532" s="64">
        <f t="shared" si="41"/>
        <v>0</v>
      </c>
      <c r="M532" s="66"/>
      <c r="N532" s="66"/>
      <c r="O532" s="66"/>
    </row>
    <row r="533" spans="11:15" ht="14.25" customHeight="1" x14ac:dyDescent="0.3">
      <c r="K533" s="64">
        <f t="shared" si="40"/>
        <v>0</v>
      </c>
      <c r="L533" s="64">
        <f t="shared" si="41"/>
        <v>0</v>
      </c>
      <c r="M533" s="66"/>
      <c r="N533" s="66"/>
      <c r="O533" s="66"/>
    </row>
    <row r="534" spans="11:15" ht="14.25" customHeight="1" x14ac:dyDescent="0.3">
      <c r="K534" s="64">
        <f t="shared" si="40"/>
        <v>0</v>
      </c>
      <c r="L534" s="64">
        <f t="shared" si="41"/>
        <v>0</v>
      </c>
      <c r="M534" s="66">
        <f>C536*Scoring!$B$32+D536/Scoring!$C$32+E536*Scoring!$D$32+F536*Scoring!$E$32+G536/Scoring!$F$32+H536*Scoring!$G$32+I536*Scoring!$H$32+K536*Scoring!$I$32+RB!L536*Scoring!$J$32</f>
        <v>0</v>
      </c>
      <c r="N534" s="66">
        <f>C534*Scoring!$B$32+D534/Scoring!$C$32+E534*Scoring!$D$32+F534*Scoring!$E$32+G534/Scoring!$F$32+H534*Scoring!$G$32+I534*Scoring!$H$32+K534*Scoring!$I$32+RB!L534*Scoring!$J$32</f>
        <v>0</v>
      </c>
      <c r="O534" s="66">
        <f>C535*Scoring!$B$32+D535/Scoring!$C$32+E535*Scoring!$D$32+F535*Scoring!$E$32+G535/Scoring!$F$32+H535*Scoring!$G$32+I535*Scoring!$H$32+K535*Scoring!$I$32+L535*Scoring!$J$32</f>
        <v>0</v>
      </c>
    </row>
    <row r="535" spans="11:15" ht="14.25" customHeight="1" x14ac:dyDescent="0.3">
      <c r="K535" s="64">
        <f t="shared" si="40"/>
        <v>0</v>
      </c>
      <c r="L535" s="64">
        <f t="shared" si="41"/>
        <v>0</v>
      </c>
      <c r="M535" s="66"/>
      <c r="N535" s="66"/>
      <c r="O535" s="66"/>
    </row>
    <row r="536" spans="11:15" ht="14.25" customHeight="1" x14ac:dyDescent="0.3">
      <c r="K536" s="64">
        <f t="shared" si="40"/>
        <v>0</v>
      </c>
      <c r="L536" s="64">
        <f t="shared" si="41"/>
        <v>0</v>
      </c>
      <c r="M536" s="66"/>
      <c r="N536" s="66"/>
      <c r="O536" s="66"/>
    </row>
    <row r="537" spans="11:15" ht="14.25" customHeight="1" x14ac:dyDescent="0.3">
      <c r="K537" s="64">
        <f t="shared" si="40"/>
        <v>0</v>
      </c>
      <c r="L537" s="64">
        <f t="shared" si="41"/>
        <v>0</v>
      </c>
      <c r="M537" s="66">
        <f>C539*Scoring!$B$32+D539/Scoring!$C$32+E539*Scoring!$D$32+F539*Scoring!$E$32+G539/Scoring!$F$32+H539*Scoring!$G$32+I539*Scoring!$H$32+K539*Scoring!$I$32+RB!L539*Scoring!$J$32</f>
        <v>0</v>
      </c>
      <c r="N537" s="66">
        <f>C537*Scoring!$B$32+D537/Scoring!$C$32+E537*Scoring!$D$32+F537*Scoring!$E$32+G537/Scoring!$F$32+H537*Scoring!$G$32+I537*Scoring!$H$32+K537*Scoring!$I$32+RB!L537*Scoring!$J$32</f>
        <v>0</v>
      </c>
      <c r="O537" s="66">
        <f>C538*Scoring!$B$32+D538/Scoring!$C$32+E538*Scoring!$D$32+F538*Scoring!$E$32+G538/Scoring!$F$32+H538*Scoring!$G$32+I538*Scoring!$H$32+K538*Scoring!$I$32+L538*Scoring!$J$32</f>
        <v>0</v>
      </c>
    </row>
    <row r="538" spans="11:15" ht="14.25" customHeight="1" x14ac:dyDescent="0.3">
      <c r="K538" s="64">
        <f t="shared" si="40"/>
        <v>0</v>
      </c>
      <c r="L538" s="64">
        <f t="shared" si="41"/>
        <v>0</v>
      </c>
      <c r="M538" s="66"/>
      <c r="N538" s="66"/>
      <c r="O538" s="66"/>
    </row>
    <row r="539" spans="11:15" ht="14.25" customHeight="1" x14ac:dyDescent="0.3">
      <c r="K539" s="64">
        <f t="shared" si="40"/>
        <v>0</v>
      </c>
      <c r="L539" s="64">
        <f t="shared" si="41"/>
        <v>0</v>
      </c>
      <c r="M539" s="66"/>
      <c r="N539" s="66"/>
      <c r="O539" s="66"/>
    </row>
    <row r="540" spans="11:15" ht="14.25" customHeight="1" x14ac:dyDescent="0.3">
      <c r="K540" s="64">
        <f t="shared" si="40"/>
        <v>0</v>
      </c>
      <c r="L540" s="64">
        <f t="shared" si="41"/>
        <v>0</v>
      </c>
      <c r="M540" s="66">
        <f>C542*Scoring!$B$32+D542/Scoring!$C$32+E542*Scoring!$D$32+F542*Scoring!$E$32+G542/Scoring!$F$32+H542*Scoring!$G$32+I542*Scoring!$H$32+K542*Scoring!$I$32+RB!L542*Scoring!$J$32</f>
        <v>0</v>
      </c>
      <c r="N540" s="66">
        <f>C540*Scoring!$B$32+D540/Scoring!$C$32+E540*Scoring!$D$32+F540*Scoring!$E$32+G540/Scoring!$F$32+H540*Scoring!$G$32+I540*Scoring!$H$32+K540*Scoring!$I$32+RB!L540*Scoring!$J$32</f>
        <v>0</v>
      </c>
      <c r="O540" s="66">
        <f>C541*Scoring!$B$32+D541/Scoring!$C$32+E541*Scoring!$D$32+F541*Scoring!$E$32+G541/Scoring!$F$32+H541*Scoring!$G$32+I541*Scoring!$H$32+K541*Scoring!$I$32+L541*Scoring!$J$32</f>
        <v>0</v>
      </c>
    </row>
    <row r="541" spans="11:15" ht="14.25" customHeight="1" x14ac:dyDescent="0.3">
      <c r="K541" s="64">
        <f t="shared" si="40"/>
        <v>0</v>
      </c>
      <c r="L541" s="64">
        <f t="shared" si="41"/>
        <v>0</v>
      </c>
      <c r="M541" s="66"/>
      <c r="N541" s="66"/>
      <c r="O541" s="66"/>
    </row>
    <row r="542" spans="11:15" ht="14.25" customHeight="1" x14ac:dyDescent="0.3">
      <c r="K542" s="64">
        <f t="shared" si="40"/>
        <v>0</v>
      </c>
      <c r="L542" s="64">
        <f t="shared" si="41"/>
        <v>0</v>
      </c>
      <c r="M542" s="66"/>
      <c r="N542" s="66"/>
      <c r="O542" s="66"/>
    </row>
    <row r="543" spans="11:15" ht="14.25" customHeight="1" x14ac:dyDescent="0.3">
      <c r="K543" s="64">
        <f t="shared" si="40"/>
        <v>0</v>
      </c>
      <c r="L543" s="64">
        <f t="shared" si="41"/>
        <v>0</v>
      </c>
      <c r="M543" s="66">
        <f>C545*Scoring!$B$32+D545/Scoring!$C$32+E545*Scoring!$D$32+F545*Scoring!$E$32+G545/Scoring!$F$32+H545*Scoring!$G$32+I545*Scoring!$H$32+K545*Scoring!$I$32+RB!L545*Scoring!$J$32</f>
        <v>0</v>
      </c>
      <c r="N543" s="66">
        <f>C543*Scoring!$B$32+D543/Scoring!$C$32+E543*Scoring!$D$32+F543*Scoring!$E$32+G543/Scoring!$F$32+H543*Scoring!$G$32+I543*Scoring!$H$32+K543*Scoring!$I$32+RB!L543*Scoring!$J$32</f>
        <v>0</v>
      </c>
      <c r="O543" s="66">
        <f>C544*Scoring!$B$32+D544/Scoring!$C$32+E544*Scoring!$D$32+F544*Scoring!$E$32+G544/Scoring!$F$32+H544*Scoring!$G$32+I544*Scoring!$H$32+K544*Scoring!$I$32+L544*Scoring!$J$32</f>
        <v>0</v>
      </c>
    </row>
    <row r="544" spans="11:15" ht="14.25" customHeight="1" x14ac:dyDescent="0.3">
      <c r="K544" s="64">
        <f t="shared" si="40"/>
        <v>0</v>
      </c>
      <c r="L544" s="64">
        <f t="shared" si="41"/>
        <v>0</v>
      </c>
      <c r="M544" s="66"/>
      <c r="N544" s="66"/>
      <c r="O544" s="66"/>
    </row>
    <row r="545" spans="11:15" ht="14.25" customHeight="1" x14ac:dyDescent="0.3">
      <c r="K545" s="64">
        <f t="shared" si="40"/>
        <v>0</v>
      </c>
      <c r="L545" s="64">
        <f t="shared" si="41"/>
        <v>0</v>
      </c>
      <c r="M545" s="66"/>
      <c r="N545" s="66"/>
      <c r="O545" s="6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98"/>
  <sheetViews>
    <sheetView zoomScaleNormal="100" workbookViewId="0">
      <selection activeCell="G21" sqref="G21"/>
    </sheetView>
  </sheetViews>
  <sheetFormatPr defaultColWidth="8.88671875" defaultRowHeight="14.4" x14ac:dyDescent="0.3"/>
  <cols>
    <col min="11" max="11" width="5.33203125" style="63" customWidth="1"/>
    <col min="12" max="12" width="6.33203125" style="63" customWidth="1"/>
    <col min="13" max="15" width="5.5546875" style="20" customWidth="1"/>
    <col min="16" max="16384" width="8.88671875" style="20"/>
  </cols>
  <sheetData>
    <row r="1" spans="1:22" ht="14.25" customHeight="1" x14ac:dyDescent="0.3">
      <c r="A1" t="s">
        <v>461</v>
      </c>
      <c r="B1" t="s">
        <v>350</v>
      </c>
      <c r="C1" t="s">
        <v>583</v>
      </c>
      <c r="D1" t="s">
        <v>464</v>
      </c>
      <c r="E1" t="s">
        <v>465</v>
      </c>
      <c r="F1" t="s">
        <v>462</v>
      </c>
      <c r="G1" t="s">
        <v>464</v>
      </c>
      <c r="H1" t="s">
        <v>465</v>
      </c>
      <c r="I1" t="s">
        <v>49</v>
      </c>
      <c r="J1" t="s">
        <v>466</v>
      </c>
      <c r="K1" s="63" t="s">
        <v>468</v>
      </c>
      <c r="L1" s="63" t="s">
        <v>55</v>
      </c>
      <c r="M1" s="55" t="s">
        <v>353</v>
      </c>
      <c r="N1" s="55" t="s">
        <v>354</v>
      </c>
      <c r="O1" s="55" t="s">
        <v>355</v>
      </c>
    </row>
    <row r="2" spans="1:22" ht="14.25" customHeight="1" x14ac:dyDescent="0.3">
      <c r="A2" t="s">
        <v>469</v>
      </c>
      <c r="M2" s="55"/>
      <c r="N2" s="55"/>
      <c r="O2" s="55"/>
    </row>
    <row r="3" spans="1:22" ht="14.25" customHeight="1" x14ac:dyDescent="0.3">
      <c r="A3" t="s">
        <v>713</v>
      </c>
      <c r="B3" t="s">
        <v>501</v>
      </c>
      <c r="C3">
        <v>117</v>
      </c>
      <c r="D3">
        <v>1539</v>
      </c>
      <c r="E3">
        <v>9</v>
      </c>
      <c r="F3">
        <v>12.9</v>
      </c>
      <c r="G3">
        <v>85</v>
      </c>
      <c r="H3">
        <v>1.3</v>
      </c>
      <c r="I3">
        <v>1</v>
      </c>
      <c r="J3">
        <v>281</v>
      </c>
      <c r="K3" s="64">
        <f t="shared" ref="K3:K66" si="0">IFERROR(G3/F3/6.89*0.427*F3,0)</f>
        <v>5.2677793904209</v>
      </c>
      <c r="L3" s="64">
        <f t="shared" ref="L3:L66" si="1">IFERROR(D3/C3/12.87*0.633*C3,0)</f>
        <v>75.69440559440558</v>
      </c>
      <c r="M3" s="66">
        <f>C5*Scoring!$B$34+D5/Scoring!$C$34+E5*Scoring!$D$34+WR!F5*Scoring!$E$34+WR!G5/Scoring!$F$34+WR!H5*Scoring!$G$34+WR!I5*Scoring!$H$34+K5*Scoring!$I$34+WR!L5*Scoring!$J$34+U3</f>
        <v>278.89999999999998</v>
      </c>
      <c r="N3" s="66">
        <f>C3*Scoring!$B$34+D3/Scoring!$C$34+E3*Scoring!$D$34+WR!F3*Scoring!$E$34+WR!G3/Scoring!$F$34+WR!H3*Scoring!$G$34+WR!I3*Scoring!$H$34+K3*Scoring!$I$34+WR!L3*Scoring!$J$34+U3</f>
        <v>280.7</v>
      </c>
      <c r="O3" s="66">
        <f>C4*Scoring!$B$34+D4/Scoring!$C$34+E4*Scoring!$D$34+WR!F4*Scoring!$E$34+WR!G4/Scoring!$F$34+WR!H4*Scoring!$G$34+WR!I4*Scoring!$H$34+K4*Scoring!$I$34+WR!L4*Scoring!$J$34+U3</f>
        <v>285.09999999999997</v>
      </c>
      <c r="P3" s="20">
        <f>IF(COUNTIF(Rookies!$A:$A,A3)&gt;0,1,0)</f>
        <v>0</v>
      </c>
      <c r="S3" s="20">
        <f>V3/17</f>
        <v>16.511764705882353</v>
      </c>
      <c r="T3" s="20">
        <f>IF(P3=1,MAX(0,0.28*(12-S3)),0)</f>
        <v>0</v>
      </c>
      <c r="U3" s="20">
        <f>T3*17</f>
        <v>0</v>
      </c>
      <c r="V3" s="20">
        <f>C3*Scoring!$B$34+D3/Scoring!$C$34+E3*Scoring!$D$34+WR!F3*Scoring!$E$34+WR!G3/Scoring!$F$34+WR!H3*Scoring!$G$34+WR!I3*Scoring!$H$34+K3*Scoring!$I$34+WR!L3*Scoring!$J$34</f>
        <v>280.7</v>
      </c>
    </row>
    <row r="4" spans="1:22" ht="14.25" customHeight="1" x14ac:dyDescent="0.3">
      <c r="B4" t="s">
        <v>472</v>
      </c>
      <c r="C4">
        <v>117</v>
      </c>
      <c r="D4">
        <v>1539</v>
      </c>
      <c r="E4">
        <v>9</v>
      </c>
      <c r="F4">
        <v>15</v>
      </c>
      <c r="G4">
        <v>85</v>
      </c>
      <c r="H4">
        <v>2</v>
      </c>
      <c r="I4">
        <v>0.9</v>
      </c>
      <c r="J4">
        <v>285</v>
      </c>
      <c r="K4" s="64">
        <f t="shared" si="0"/>
        <v>5.2677793904209009</v>
      </c>
      <c r="L4" s="64">
        <f t="shared" si="1"/>
        <v>75.69440559440558</v>
      </c>
      <c r="M4" s="67"/>
      <c r="N4" s="67"/>
      <c r="O4" s="67"/>
    </row>
    <row r="5" spans="1:22" ht="14.25" customHeight="1" x14ac:dyDescent="0.3">
      <c r="B5" t="s">
        <v>473</v>
      </c>
      <c r="C5">
        <v>117</v>
      </c>
      <c r="D5">
        <v>1539</v>
      </c>
      <c r="E5">
        <v>9</v>
      </c>
      <c r="F5">
        <v>10</v>
      </c>
      <c r="G5">
        <v>85</v>
      </c>
      <c r="H5">
        <v>1</v>
      </c>
      <c r="I5">
        <v>1</v>
      </c>
      <c r="J5">
        <v>278.89999999999998</v>
      </c>
      <c r="K5" s="64">
        <f t="shared" si="0"/>
        <v>5.2677793904209</v>
      </c>
      <c r="L5" s="64">
        <f t="shared" si="1"/>
        <v>75.69440559440558</v>
      </c>
      <c r="M5" s="67"/>
      <c r="N5" s="67"/>
      <c r="O5" s="67"/>
    </row>
    <row r="6" spans="1:22" ht="14.25" customHeight="1" x14ac:dyDescent="0.3">
      <c r="A6" t="s">
        <v>714</v>
      </c>
      <c r="B6" t="s">
        <v>483</v>
      </c>
      <c r="C6">
        <v>121.3</v>
      </c>
      <c r="D6">
        <v>1511.4</v>
      </c>
      <c r="E6">
        <v>10.6</v>
      </c>
      <c r="F6">
        <v>3</v>
      </c>
      <c r="G6">
        <v>17</v>
      </c>
      <c r="H6">
        <v>0</v>
      </c>
      <c r="I6">
        <v>1</v>
      </c>
      <c r="J6">
        <v>275.2</v>
      </c>
      <c r="K6" s="64">
        <f t="shared" si="0"/>
        <v>1.0535558780841801</v>
      </c>
      <c r="L6" s="64">
        <f t="shared" si="1"/>
        <v>74.3369230769231</v>
      </c>
      <c r="M6" s="66">
        <f>C8*Scoring!$B$34+D8/Scoring!$C$34+E8*Scoring!$D$34+WR!F8*Scoring!$E$34+WR!G8/Scoring!$F$34+WR!H8*Scoring!$G$34+WR!I8*Scoring!$H$34+K8*Scoring!$I$34+WR!L8*Scoring!$J$34+U6</f>
        <v>264.5</v>
      </c>
      <c r="N6" s="66">
        <f>C6*Scoring!$B$34+D6/Scoring!$C$34+E6*Scoring!$D$34+WR!F6*Scoring!$E$34+WR!G6/Scoring!$F$34+WR!H6*Scoring!$G$34+WR!I6*Scoring!$H$34+K6*Scoring!$I$34+WR!L6*Scoring!$J$34+U6</f>
        <v>275.08999999999997</v>
      </c>
      <c r="O6" s="66">
        <f>C7*Scoring!$B$34+D7/Scoring!$C$34+E7*Scoring!$D$34+WR!F7*Scoring!$E$34+WR!G7/Scoring!$F$34+WR!H7*Scoring!$G$34+WR!I7*Scoring!$H$34+K7*Scoring!$I$34+WR!L7*Scoring!$J$34+U6</f>
        <v>285.99</v>
      </c>
      <c r="P6" s="20">
        <f>IF(COUNTIF(Rookies!$A:$A,A6)&gt;0,1,0)</f>
        <v>0</v>
      </c>
      <c r="S6" s="20">
        <f>V6/17</f>
        <v>16.181764705882351</v>
      </c>
      <c r="T6" s="20">
        <f>IF(P6=1,MAX(0,0.28*(12-S6)),0)</f>
        <v>0</v>
      </c>
      <c r="U6" s="20">
        <f>T6*17</f>
        <v>0</v>
      </c>
      <c r="V6" s="20">
        <f>C6*Scoring!$B$34+D6/Scoring!$C$34+E6*Scoring!$D$34+WR!F6*Scoring!$E$34+WR!G6/Scoring!$F$34+WR!H6*Scoring!$G$34+WR!I6*Scoring!$H$34+K6*Scoring!$I$34+WR!L6*Scoring!$J$34</f>
        <v>275.08999999999997</v>
      </c>
    </row>
    <row r="7" spans="1:22" ht="14.25" customHeight="1" x14ac:dyDescent="0.3">
      <c r="B7" t="s">
        <v>472</v>
      </c>
      <c r="C7">
        <v>128</v>
      </c>
      <c r="D7">
        <v>1553</v>
      </c>
      <c r="E7">
        <v>11</v>
      </c>
      <c r="F7">
        <v>4</v>
      </c>
      <c r="G7">
        <v>20.9</v>
      </c>
      <c r="H7">
        <v>0.1</v>
      </c>
      <c r="I7">
        <v>1</v>
      </c>
      <c r="J7">
        <v>333.1</v>
      </c>
      <c r="K7" s="64">
        <f t="shared" si="0"/>
        <v>1.2952539912917271</v>
      </c>
      <c r="L7" s="64">
        <f t="shared" si="1"/>
        <v>76.382983682983678</v>
      </c>
      <c r="M7" s="67"/>
      <c r="N7" s="67"/>
      <c r="O7" s="67"/>
    </row>
    <row r="8" spans="1:22" ht="14.25" customHeight="1" x14ac:dyDescent="0.3">
      <c r="B8" t="s">
        <v>473</v>
      </c>
      <c r="C8">
        <v>116</v>
      </c>
      <c r="D8">
        <v>1474</v>
      </c>
      <c r="E8">
        <v>10</v>
      </c>
      <c r="F8">
        <v>2</v>
      </c>
      <c r="G8">
        <v>11</v>
      </c>
      <c r="H8">
        <v>0</v>
      </c>
      <c r="I8">
        <v>1</v>
      </c>
      <c r="J8">
        <v>267.60000000000002</v>
      </c>
      <c r="K8" s="64">
        <f t="shared" si="0"/>
        <v>0.68171262699564583</v>
      </c>
      <c r="L8" s="64">
        <f t="shared" si="1"/>
        <v>72.497435897435906</v>
      </c>
      <c r="M8" s="67"/>
      <c r="N8" s="67"/>
      <c r="O8" s="67"/>
    </row>
    <row r="9" spans="1:22" ht="14.25" customHeight="1" x14ac:dyDescent="0.3">
      <c r="A9" t="s">
        <v>715</v>
      </c>
      <c r="B9" t="s">
        <v>517</v>
      </c>
      <c r="C9">
        <v>110.9</v>
      </c>
      <c r="D9">
        <v>1565.9</v>
      </c>
      <c r="E9">
        <v>9.5</v>
      </c>
      <c r="F9">
        <v>5.5</v>
      </c>
      <c r="G9">
        <v>30.4</v>
      </c>
      <c r="H9">
        <v>0.1</v>
      </c>
      <c r="I9">
        <v>1.1000000000000001</v>
      </c>
      <c r="J9">
        <v>270.3</v>
      </c>
      <c r="K9" s="64">
        <f t="shared" si="0"/>
        <v>1.8840058055152396</v>
      </c>
      <c r="L9" s="64">
        <f t="shared" si="1"/>
        <v>77.017459207459211</v>
      </c>
      <c r="M9" s="66">
        <f>C11*Scoring!$B$34+D11/Scoring!$C$34+E11*Scoring!$D$34+WR!F11*Scoring!$E$34+WR!G11/Scoring!$F$34+WR!H11*Scoring!$G$34+WR!I11*Scoring!$H$34+K11*Scoring!$I$34+WR!L11*Scoring!$J$34+U9</f>
        <v>252.72</v>
      </c>
      <c r="N9" s="66">
        <f>C9*Scoring!$B$34+D9/Scoring!$C$34+E9*Scoring!$D$34+WR!F9*Scoring!$E$34+WR!G9/Scoring!$F$34+WR!H9*Scoring!$G$34+WR!I9*Scoring!$H$34+K9*Scoring!$I$34+WR!L9*Scoring!$J$34+U9</f>
        <v>270.48000000000008</v>
      </c>
      <c r="O9" s="66">
        <f>C10*Scoring!$B$34+D10/Scoring!$C$34+E10*Scoring!$D$34+WR!F10*Scoring!$E$34+WR!G10/Scoring!$F$34+WR!H10*Scoring!$G$34+WR!I10*Scoring!$H$34+K10*Scoring!$I$34+WR!L10*Scoring!$J$34+U9</f>
        <v>293.95</v>
      </c>
      <c r="P9" s="20">
        <f>IF(COUNTIF(Rookies!$A:$A,A9)&gt;0,1,0)</f>
        <v>0</v>
      </c>
      <c r="S9" s="20">
        <f>V9/17</f>
        <v>15.910588235294123</v>
      </c>
      <c r="T9" s="20">
        <f>IF(P9=1,MAX(0,0.28*(12-S9)),0)</f>
        <v>0</v>
      </c>
      <c r="U9" s="20">
        <f>T9*17</f>
        <v>0</v>
      </c>
      <c r="V9" s="20">
        <f>C9*Scoring!$B$34+D9/Scoring!$C$34+E9*Scoring!$D$34+WR!F9*Scoring!$E$34+WR!G9/Scoring!$F$34+WR!H9*Scoring!$G$34+WR!I9*Scoring!$H$34+K9*Scoring!$I$34+WR!L9*Scoring!$J$34</f>
        <v>270.48000000000008</v>
      </c>
    </row>
    <row r="10" spans="1:22" ht="14.25" customHeight="1" x14ac:dyDescent="0.3">
      <c r="B10" t="s">
        <v>472</v>
      </c>
      <c r="C10">
        <v>116.7</v>
      </c>
      <c r="D10">
        <v>1608</v>
      </c>
      <c r="E10">
        <v>12</v>
      </c>
      <c r="F10">
        <v>7</v>
      </c>
      <c r="G10">
        <v>36</v>
      </c>
      <c r="H10">
        <v>0.2</v>
      </c>
      <c r="I10">
        <v>1</v>
      </c>
      <c r="J10">
        <v>311</v>
      </c>
      <c r="K10" s="64">
        <f t="shared" si="0"/>
        <v>2.2310595065312051</v>
      </c>
      <c r="L10" s="64">
        <f t="shared" si="1"/>
        <v>79.088111888111897</v>
      </c>
      <c r="M10" s="67"/>
      <c r="N10" s="67"/>
      <c r="O10" s="67"/>
    </row>
    <row r="11" spans="1:22" ht="14.25" customHeight="1" x14ac:dyDescent="0.3">
      <c r="B11" t="s">
        <v>473</v>
      </c>
      <c r="C11">
        <v>105</v>
      </c>
      <c r="D11">
        <v>1521</v>
      </c>
      <c r="E11">
        <v>8</v>
      </c>
      <c r="F11">
        <v>4.5999999999999996</v>
      </c>
      <c r="G11">
        <v>25.2</v>
      </c>
      <c r="H11">
        <v>0</v>
      </c>
      <c r="I11">
        <v>1.2</v>
      </c>
      <c r="J11">
        <v>265.39999999999998</v>
      </c>
      <c r="K11" s="64">
        <f t="shared" si="0"/>
        <v>1.5617416545718434</v>
      </c>
      <c r="L11" s="64">
        <f t="shared" si="1"/>
        <v>74.809090909090912</v>
      </c>
      <c r="M11" s="67"/>
      <c r="N11" s="67"/>
      <c r="O11" s="67"/>
    </row>
    <row r="12" spans="1:22" ht="14.25" customHeight="1" x14ac:dyDescent="0.3">
      <c r="A12" t="s">
        <v>716</v>
      </c>
      <c r="B12" t="s">
        <v>503</v>
      </c>
      <c r="C12">
        <v>117.5</v>
      </c>
      <c r="D12">
        <v>1391.1</v>
      </c>
      <c r="E12">
        <v>10.5</v>
      </c>
      <c r="F12">
        <v>3.1</v>
      </c>
      <c r="G12">
        <v>11.8</v>
      </c>
      <c r="H12">
        <v>0</v>
      </c>
      <c r="I12">
        <v>0.4</v>
      </c>
      <c r="J12">
        <v>261.3</v>
      </c>
      <c r="K12" s="64">
        <f t="shared" si="0"/>
        <v>0.73129172714078394</v>
      </c>
      <c r="L12" s="64">
        <f t="shared" si="1"/>
        <v>68.420069930069928</v>
      </c>
      <c r="M12" s="66">
        <f>C14*Scoring!$B$34+D14/Scoring!$C$34+E14*Scoring!$D$34+WR!F14*Scoring!$E$34+WR!G14/Scoring!$F$34+WR!H14*Scoring!$G$34+WR!I14*Scoring!$H$34+K14*Scoring!$I$34+WR!L14*Scoring!$J$34+U12</f>
        <v>253.70000000000002</v>
      </c>
      <c r="N12" s="66">
        <f>C12*Scoring!$B$34+D12/Scoring!$C$34+E12*Scoring!$D$34+WR!F12*Scoring!$E$34+WR!G12/Scoring!$F$34+WR!H12*Scoring!$G$34+WR!I12*Scoring!$H$34+K12*Scoring!$I$34+WR!L12*Scoring!$J$34+U12</f>
        <v>261.24</v>
      </c>
      <c r="O12" s="66">
        <f>C13*Scoring!$B$34+D13/Scoring!$C$34+E13*Scoring!$D$34+WR!F13*Scoring!$E$34+WR!G13/Scoring!$F$34+WR!H13*Scoring!$G$34+WR!I13*Scoring!$H$34+K13*Scoring!$I$34+WR!L13*Scoring!$J$34+U12</f>
        <v>270.12</v>
      </c>
      <c r="P12" s="20">
        <f>IF(COUNTIF(Rookies!$A:$A,A12)&gt;0,1,0)</f>
        <v>0</v>
      </c>
      <c r="S12" s="20">
        <f>V12/17</f>
        <v>15.367058823529412</v>
      </c>
      <c r="T12" s="20">
        <f>IF(P12=1,MAX(0,0.28*(12-S12)),0)</f>
        <v>0</v>
      </c>
      <c r="U12" s="20">
        <f>T12*17</f>
        <v>0</v>
      </c>
      <c r="V12" s="20">
        <f>C12*Scoring!$B$34+D12/Scoring!$C$34+E12*Scoring!$D$34+WR!F12*Scoring!$E$34+WR!G12/Scoring!$F$34+WR!H12*Scoring!$G$34+WR!I12*Scoring!$H$34+K12*Scoring!$I$34+WR!L12*Scoring!$J$34</f>
        <v>261.24</v>
      </c>
    </row>
    <row r="13" spans="1:22" ht="14.25" customHeight="1" x14ac:dyDescent="0.3">
      <c r="B13" t="s">
        <v>472</v>
      </c>
      <c r="C13">
        <v>119</v>
      </c>
      <c r="D13">
        <v>1426.2</v>
      </c>
      <c r="E13">
        <v>11</v>
      </c>
      <c r="F13">
        <v>4</v>
      </c>
      <c r="G13">
        <v>14</v>
      </c>
      <c r="H13">
        <v>0.1</v>
      </c>
      <c r="I13">
        <v>0</v>
      </c>
      <c r="J13">
        <v>317.3</v>
      </c>
      <c r="K13" s="64">
        <f t="shared" si="0"/>
        <v>0.867634252539913</v>
      </c>
      <c r="L13" s="64">
        <f t="shared" si="1"/>
        <v>70.146433566433572</v>
      </c>
      <c r="M13" s="67"/>
      <c r="N13" s="67"/>
      <c r="O13" s="67"/>
    </row>
    <row r="14" spans="1:22" ht="14.25" customHeight="1" x14ac:dyDescent="0.3">
      <c r="B14" t="s">
        <v>473</v>
      </c>
      <c r="C14">
        <v>115</v>
      </c>
      <c r="D14">
        <v>1370</v>
      </c>
      <c r="E14">
        <v>10</v>
      </c>
      <c r="F14">
        <v>2.2999999999999998</v>
      </c>
      <c r="G14">
        <v>8</v>
      </c>
      <c r="H14">
        <v>0</v>
      </c>
      <c r="I14">
        <v>0.8</v>
      </c>
      <c r="J14">
        <v>253.7</v>
      </c>
      <c r="K14" s="64">
        <f t="shared" si="0"/>
        <v>0.49579100145137889</v>
      </c>
      <c r="L14" s="64">
        <f t="shared" si="1"/>
        <v>67.382284382284382</v>
      </c>
      <c r="M14" s="67"/>
      <c r="N14" s="67"/>
      <c r="O14" s="67"/>
    </row>
    <row r="15" spans="1:22" ht="14.25" customHeight="1" x14ac:dyDescent="0.3">
      <c r="A15" t="s">
        <v>717</v>
      </c>
      <c r="B15" t="s">
        <v>533</v>
      </c>
      <c r="C15">
        <v>98.4</v>
      </c>
      <c r="D15">
        <v>1272.9000000000001</v>
      </c>
      <c r="E15">
        <v>8</v>
      </c>
      <c r="F15">
        <v>0</v>
      </c>
      <c r="G15">
        <v>0</v>
      </c>
      <c r="H15">
        <v>0</v>
      </c>
      <c r="I15">
        <v>1</v>
      </c>
      <c r="J15">
        <v>227.1</v>
      </c>
      <c r="K15" s="64">
        <f t="shared" si="0"/>
        <v>0</v>
      </c>
      <c r="L15" s="64">
        <f t="shared" si="1"/>
        <v>62.606503496503507</v>
      </c>
      <c r="M15" s="66">
        <f>C17*Scoring!$B$34+D17/Scoring!$C$34+E17*Scoring!$D$34+WR!F17*Scoring!$E$34+WR!G17/Scoring!$F$34+WR!H17*Scoring!$G$34+WR!I17*Scoring!$H$34+K17*Scoring!$I$34+WR!L17*Scoring!$J$34+U15</f>
        <v>211.98</v>
      </c>
      <c r="N15" s="66">
        <f>C15*Scoring!$B$34+D15/Scoring!$C$34+E15*Scoring!$D$34+WR!F15*Scoring!$E$34+WR!G15/Scoring!$F$34+WR!H15*Scoring!$G$34+WR!I15*Scoring!$H$34+K15*Scoring!$I$34+WR!L15*Scoring!$J$34+U15</f>
        <v>222.49</v>
      </c>
      <c r="O15" s="66">
        <f>C16*Scoring!$B$34+D16/Scoring!$C$34+E16*Scoring!$D$34+WR!F16*Scoring!$E$34+WR!G16/Scoring!$F$34+WR!H16*Scoring!$G$34+WR!I16*Scoring!$H$34+K16*Scoring!$I$34+WR!L16*Scoring!$J$34+U15</f>
        <v>234.45</v>
      </c>
      <c r="P15" s="20">
        <f>IF(COUNTIF(Rookies!$A:$A,A15)&gt;0,1,0)</f>
        <v>0</v>
      </c>
      <c r="S15" s="20">
        <f>V15/17</f>
        <v>13.08764705882353</v>
      </c>
      <c r="T15" s="20">
        <f>IF(P15=1,MAX(0,0.28*(12-S15)),0)</f>
        <v>0</v>
      </c>
      <c r="U15" s="20">
        <f>T15*17</f>
        <v>0</v>
      </c>
      <c r="V15" s="20">
        <f>C15*Scoring!$B$34+D15/Scoring!$C$34+E15*Scoring!$D$34+WR!F15*Scoring!$E$34+WR!G15/Scoring!$F$34+WR!H15*Scoring!$G$34+WR!I15*Scoring!$H$34+K15*Scoring!$I$34+WR!L15*Scoring!$J$34</f>
        <v>222.49</v>
      </c>
    </row>
    <row r="16" spans="1:22" ht="14.25" customHeight="1" x14ac:dyDescent="0.3">
      <c r="B16" t="s">
        <v>472</v>
      </c>
      <c r="C16">
        <v>102.1</v>
      </c>
      <c r="D16">
        <v>1312</v>
      </c>
      <c r="E16">
        <v>9</v>
      </c>
      <c r="F16">
        <v>0</v>
      </c>
      <c r="G16">
        <v>0</v>
      </c>
      <c r="H16">
        <v>0</v>
      </c>
      <c r="I16">
        <v>0.9</v>
      </c>
      <c r="J16">
        <v>271.89999999999998</v>
      </c>
      <c r="K16" s="64">
        <f t="shared" si="0"/>
        <v>0</v>
      </c>
      <c r="L16" s="64">
        <f t="shared" si="1"/>
        <v>64.529603729603735</v>
      </c>
      <c r="M16" s="67"/>
      <c r="N16" s="67"/>
      <c r="O16" s="67"/>
    </row>
    <row r="17" spans="1:22" ht="14.25" customHeight="1" x14ac:dyDescent="0.3">
      <c r="B17" t="s">
        <v>473</v>
      </c>
      <c r="C17">
        <v>94</v>
      </c>
      <c r="D17">
        <v>1249.8</v>
      </c>
      <c r="E17">
        <v>7</v>
      </c>
      <c r="F17">
        <v>0</v>
      </c>
      <c r="G17">
        <v>0</v>
      </c>
      <c r="H17">
        <v>0</v>
      </c>
      <c r="I17">
        <v>1</v>
      </c>
      <c r="J17">
        <v>216.9</v>
      </c>
      <c r="K17" s="64">
        <f t="shared" si="0"/>
        <v>0</v>
      </c>
      <c r="L17" s="64">
        <f t="shared" si="1"/>
        <v>61.470349650349654</v>
      </c>
      <c r="M17" s="67"/>
      <c r="N17" s="67"/>
      <c r="O17" s="67"/>
    </row>
    <row r="18" spans="1:22" ht="14.25" customHeight="1" x14ac:dyDescent="0.3">
      <c r="A18" t="s">
        <v>719</v>
      </c>
      <c r="B18" t="s">
        <v>491</v>
      </c>
      <c r="C18">
        <v>97.2</v>
      </c>
      <c r="D18">
        <v>1294.5999999999999</v>
      </c>
      <c r="E18">
        <v>7.5</v>
      </c>
      <c r="F18">
        <v>2.4</v>
      </c>
      <c r="G18">
        <v>12.6</v>
      </c>
      <c r="H18">
        <v>0</v>
      </c>
      <c r="I18">
        <v>0.3</v>
      </c>
      <c r="J18">
        <v>224</v>
      </c>
      <c r="K18" s="64">
        <f t="shared" si="0"/>
        <v>0.78087082728592161</v>
      </c>
      <c r="L18" s="64">
        <f t="shared" si="1"/>
        <v>63.673799533799539</v>
      </c>
      <c r="M18" s="66">
        <f>C20*Scoring!$B$34+D20/Scoring!$C$34+E20*Scoring!$D$34+WR!F20*Scoring!$E$34+WR!G20/Scoring!$F$34+WR!H20*Scoring!$G$34+WR!I20*Scoring!$H$34+K20*Scoring!$I$34+WR!L20*Scoring!$J$34+U18</f>
        <v>195.79999999999998</v>
      </c>
      <c r="N18" s="66">
        <f>C18*Scoring!$B$34+D18/Scoring!$C$34+E18*Scoring!$D$34+WR!F18*Scoring!$E$34+WR!G18/Scoring!$F$34+WR!H18*Scoring!$G$34+WR!I18*Scoring!$H$34+K18*Scoring!$I$34+WR!L18*Scoring!$J$34+U18</f>
        <v>223.71999999999997</v>
      </c>
      <c r="O18" s="66">
        <f>C19*Scoring!$B$34+D19/Scoring!$C$34+E19*Scoring!$D$34+WR!F19*Scoring!$E$34+WR!G19/Scoring!$F$34+WR!H19*Scoring!$G$34+WR!I19*Scoring!$H$34+K19*Scoring!$I$34+WR!L19*Scoring!$J$34+U18</f>
        <v>244.02999999999997</v>
      </c>
      <c r="P18" s="20">
        <f>IF(COUNTIF(Rookies!$A:$A,A18)&gt;0,1,0)</f>
        <v>0</v>
      </c>
      <c r="S18" s="20">
        <f>V18/17</f>
        <v>13.159999999999998</v>
      </c>
      <c r="T18" s="20">
        <f>IF(P18=1,MAX(0,0.28*(12-S18)),0)</f>
        <v>0</v>
      </c>
      <c r="U18" s="20">
        <f>T18*17</f>
        <v>0</v>
      </c>
      <c r="V18" s="20">
        <f>C18*Scoring!$B$34+D18/Scoring!$C$34+E18*Scoring!$D$34+WR!F18*Scoring!$E$34+WR!G18/Scoring!$F$34+WR!H18*Scoring!$G$34+WR!I18*Scoring!$H$34+K18*Scoring!$I$34+WR!L18*Scoring!$J$34</f>
        <v>223.71999999999997</v>
      </c>
    </row>
    <row r="19" spans="1:22" ht="14.25" customHeight="1" x14ac:dyDescent="0.3">
      <c r="B19" t="s">
        <v>472</v>
      </c>
      <c r="C19">
        <v>103.5</v>
      </c>
      <c r="D19">
        <v>1375.8</v>
      </c>
      <c r="E19">
        <v>8.6</v>
      </c>
      <c r="F19">
        <v>5</v>
      </c>
      <c r="G19">
        <v>25</v>
      </c>
      <c r="H19">
        <v>0.1</v>
      </c>
      <c r="I19">
        <v>0</v>
      </c>
      <c r="J19">
        <v>257.8</v>
      </c>
      <c r="K19" s="64">
        <f t="shared" si="0"/>
        <v>1.5493468795355589</v>
      </c>
      <c r="L19" s="64">
        <f t="shared" si="1"/>
        <v>67.667552447552453</v>
      </c>
      <c r="M19" s="67"/>
      <c r="N19" s="67"/>
      <c r="O19" s="67"/>
    </row>
    <row r="20" spans="1:22" ht="14.25" customHeight="1" x14ac:dyDescent="0.3">
      <c r="B20" t="s">
        <v>473</v>
      </c>
      <c r="C20">
        <v>87</v>
      </c>
      <c r="D20">
        <v>1177</v>
      </c>
      <c r="E20">
        <v>6</v>
      </c>
      <c r="F20">
        <v>0</v>
      </c>
      <c r="G20">
        <v>0</v>
      </c>
      <c r="H20">
        <v>0</v>
      </c>
      <c r="I20">
        <v>0.7</v>
      </c>
      <c r="J20">
        <v>209.6</v>
      </c>
      <c r="K20" s="64">
        <f t="shared" si="0"/>
        <v>0</v>
      </c>
      <c r="L20" s="64">
        <f t="shared" si="1"/>
        <v>57.889743589743595</v>
      </c>
      <c r="M20" s="67"/>
      <c r="N20" s="67"/>
      <c r="O20" s="67"/>
    </row>
    <row r="21" spans="1:22" ht="14.25" customHeight="1" x14ac:dyDescent="0.3">
      <c r="A21" t="s">
        <v>720</v>
      </c>
      <c r="B21" t="s">
        <v>509</v>
      </c>
      <c r="C21">
        <v>99.2</v>
      </c>
      <c r="D21">
        <v>1311.8</v>
      </c>
      <c r="E21">
        <v>7.1</v>
      </c>
      <c r="F21">
        <v>1.3</v>
      </c>
      <c r="G21">
        <v>5.6</v>
      </c>
      <c r="H21">
        <v>0</v>
      </c>
      <c r="I21">
        <v>0.3</v>
      </c>
      <c r="J21">
        <v>223.7</v>
      </c>
      <c r="K21" s="64">
        <f t="shared" si="0"/>
        <v>0.34705370101596517</v>
      </c>
      <c r="L21" s="64">
        <f t="shared" si="1"/>
        <v>64.519766899766907</v>
      </c>
      <c r="M21" s="66">
        <f>C23*Scoring!$B$34+D23/Scoring!$C$34+E23*Scoring!$D$34+WR!F23*Scoring!$E$34+WR!G23/Scoring!$F$34+WR!H23*Scoring!$G$34+WR!I23*Scoring!$H$34+K23*Scoring!$I$34+WR!L23*Scoring!$J$34+U21</f>
        <v>213.5</v>
      </c>
      <c r="N21" s="66">
        <f>C21*Scoring!$B$34+D21/Scoring!$C$34+E21*Scoring!$D$34+WR!F21*Scoring!$E$34+WR!G21/Scoring!$F$34+WR!H21*Scoring!$G$34+WR!I21*Scoring!$H$34+K21*Scoring!$I$34+WR!L21*Scoring!$J$34+U21</f>
        <v>223.34</v>
      </c>
      <c r="O21" s="66">
        <f>C22*Scoring!$B$34+D22/Scoring!$C$34+E22*Scoring!$D$34+WR!F22*Scoring!$E$34+WR!G22/Scoring!$F$34+WR!H22*Scoring!$G$34+WR!I22*Scoring!$H$34+K22*Scoring!$I$34+WR!L22*Scoring!$J$34+U21</f>
        <v>239.17</v>
      </c>
      <c r="P21" s="20">
        <f>IF(COUNTIF(Rookies!$A:$A,A21)&gt;0,1,0)</f>
        <v>0</v>
      </c>
      <c r="S21" s="20">
        <f>V21/17</f>
        <v>13.13764705882353</v>
      </c>
      <c r="T21" s="20">
        <f>IF(P21=1,MAX(0,0.28*(12-S21)),0)</f>
        <v>0</v>
      </c>
      <c r="U21" s="20">
        <f>T21*17</f>
        <v>0</v>
      </c>
      <c r="V21" s="20">
        <f>C21*Scoring!$B$34+D21/Scoring!$C$34+E21*Scoring!$D$34+WR!F21*Scoring!$E$34+WR!G21/Scoring!$F$34+WR!H21*Scoring!$G$34+WR!I21*Scoring!$H$34+K21*Scoring!$I$34+WR!L21*Scoring!$J$34</f>
        <v>223.34</v>
      </c>
    </row>
    <row r="22" spans="1:22" ht="14.25" customHeight="1" x14ac:dyDescent="0.3">
      <c r="B22" t="s">
        <v>472</v>
      </c>
      <c r="C22">
        <v>111.5</v>
      </c>
      <c r="D22">
        <v>1373.5</v>
      </c>
      <c r="E22">
        <v>7.4</v>
      </c>
      <c r="F22">
        <v>2</v>
      </c>
      <c r="G22">
        <v>10.7</v>
      </c>
      <c r="H22">
        <v>0.1</v>
      </c>
      <c r="I22">
        <v>0</v>
      </c>
      <c r="J22">
        <v>267.89999999999998</v>
      </c>
      <c r="K22" s="64">
        <f t="shared" si="0"/>
        <v>0.66312046444121908</v>
      </c>
      <c r="L22" s="64">
        <f t="shared" si="1"/>
        <v>67.554428904428903</v>
      </c>
      <c r="M22" s="67"/>
      <c r="N22" s="67"/>
      <c r="O22" s="67"/>
    </row>
    <row r="23" spans="1:22" ht="14.25" customHeight="1" x14ac:dyDescent="0.3">
      <c r="B23" t="s">
        <v>473</v>
      </c>
      <c r="C23">
        <v>91</v>
      </c>
      <c r="D23">
        <v>1274</v>
      </c>
      <c r="E23">
        <v>7</v>
      </c>
      <c r="F23">
        <v>0</v>
      </c>
      <c r="G23">
        <v>0</v>
      </c>
      <c r="H23">
        <v>0</v>
      </c>
      <c r="I23">
        <v>0.7</v>
      </c>
      <c r="J23">
        <v>209.6</v>
      </c>
      <c r="K23" s="64">
        <f t="shared" si="0"/>
        <v>0</v>
      </c>
      <c r="L23" s="64">
        <f t="shared" si="1"/>
        <v>62.660606060606071</v>
      </c>
      <c r="M23" s="67"/>
      <c r="N23" s="67"/>
      <c r="O23" s="67"/>
    </row>
    <row r="24" spans="1:22" ht="14.25" customHeight="1" x14ac:dyDescent="0.3">
      <c r="A24" t="s">
        <v>718</v>
      </c>
      <c r="B24" t="s">
        <v>493</v>
      </c>
      <c r="C24">
        <v>96.5</v>
      </c>
      <c r="D24">
        <v>1069.2</v>
      </c>
      <c r="E24">
        <v>9.6</v>
      </c>
      <c r="F24">
        <v>5.8</v>
      </c>
      <c r="G24">
        <v>25.9</v>
      </c>
      <c r="H24">
        <v>0.9</v>
      </c>
      <c r="I24">
        <v>0.6</v>
      </c>
      <c r="J24">
        <v>219.2</v>
      </c>
      <c r="K24" s="64">
        <f t="shared" si="0"/>
        <v>1.605123367198839</v>
      </c>
      <c r="L24" s="64">
        <f t="shared" si="1"/>
        <v>52.587692307692308</v>
      </c>
      <c r="M24" s="66">
        <f>C26*Scoring!$B$34+D26/Scoring!$C$34+E26*Scoring!$D$34+WR!F26*Scoring!$E$34+WR!G26/Scoring!$F$34+WR!H26*Scoring!$G$34+WR!I26*Scoring!$H$34+K26*Scoring!$I$34+WR!L26*Scoring!$J$34+U24</f>
        <v>190.95000000000002</v>
      </c>
      <c r="N24" s="66">
        <f>C24*Scoring!$B$34+D24/Scoring!$C$34+E24*Scoring!$D$34+WR!F24*Scoring!$E$34+WR!G24/Scoring!$F$34+WR!H24*Scoring!$G$34+WR!I24*Scoring!$H$34+K24*Scoring!$I$34+WR!L24*Scoring!$J$34+U24</f>
        <v>219.56000000000003</v>
      </c>
      <c r="O24" s="66">
        <f>C25*Scoring!$B$34+D25/Scoring!$C$34+E25*Scoring!$D$34+WR!F25*Scoring!$E$34+WR!G25/Scoring!$F$34+WR!H25*Scoring!$G$34+WR!I25*Scoring!$H$34+K25*Scoring!$I$34+WR!L25*Scoring!$J$34+U24</f>
        <v>254.44</v>
      </c>
      <c r="P24" s="20">
        <f>IF(COUNTIF(Rookies!$A:$A,A24)&gt;0,1,0)</f>
        <v>0</v>
      </c>
      <c r="S24" s="20">
        <f>V24/17</f>
        <v>12.915294117647061</v>
      </c>
      <c r="T24" s="20">
        <f>IF(P24=1,MAX(0,0.28*(12-S24)),0)</f>
        <v>0</v>
      </c>
      <c r="U24" s="20">
        <f>T24*17</f>
        <v>0</v>
      </c>
      <c r="V24" s="20">
        <f>C24*Scoring!$B$34+D24/Scoring!$C$34+E24*Scoring!$D$34+WR!F24*Scoring!$E$34+WR!G24/Scoring!$F$34+WR!H24*Scoring!$G$34+WR!I24*Scoring!$H$34+K24*Scoring!$I$34+WR!L24*Scoring!$J$34</f>
        <v>219.56000000000003</v>
      </c>
    </row>
    <row r="25" spans="1:22" ht="14.25" customHeight="1" x14ac:dyDescent="0.3">
      <c r="B25" t="s">
        <v>472</v>
      </c>
      <c r="C25">
        <v>104</v>
      </c>
      <c r="D25">
        <v>1081.5999999999999</v>
      </c>
      <c r="E25">
        <v>13</v>
      </c>
      <c r="F25">
        <v>9</v>
      </c>
      <c r="G25">
        <v>42.8</v>
      </c>
      <c r="H25">
        <v>2</v>
      </c>
      <c r="I25">
        <v>0</v>
      </c>
      <c r="J25">
        <v>244.4</v>
      </c>
      <c r="K25" s="64">
        <f t="shared" si="0"/>
        <v>2.6524818577648768</v>
      </c>
      <c r="L25" s="64">
        <f t="shared" si="1"/>
        <v>53.197575757575756</v>
      </c>
      <c r="M25" s="67"/>
      <c r="N25" s="67"/>
      <c r="O25" s="67"/>
    </row>
    <row r="26" spans="1:22" ht="14.25" customHeight="1" x14ac:dyDescent="0.3">
      <c r="B26" t="s">
        <v>473</v>
      </c>
      <c r="C26">
        <v>92.5</v>
      </c>
      <c r="D26">
        <v>1049</v>
      </c>
      <c r="E26">
        <v>7</v>
      </c>
      <c r="F26">
        <v>0</v>
      </c>
      <c r="G26">
        <v>0</v>
      </c>
      <c r="H26">
        <v>0</v>
      </c>
      <c r="I26">
        <v>1.1000000000000001</v>
      </c>
      <c r="J26">
        <v>215</v>
      </c>
      <c r="K26" s="64">
        <f t="shared" si="0"/>
        <v>0</v>
      </c>
      <c r="L26" s="64">
        <f t="shared" si="1"/>
        <v>51.594172494172497</v>
      </c>
      <c r="M26" s="67"/>
      <c r="N26" s="67"/>
      <c r="O26" s="67"/>
    </row>
    <row r="27" spans="1:22" ht="14.25" customHeight="1" x14ac:dyDescent="0.3">
      <c r="A27" t="s">
        <v>721</v>
      </c>
      <c r="B27" t="s">
        <v>505</v>
      </c>
      <c r="C27">
        <v>95.7</v>
      </c>
      <c r="D27">
        <v>1195.7</v>
      </c>
      <c r="E27">
        <v>8.1999999999999993</v>
      </c>
      <c r="F27">
        <v>0.3</v>
      </c>
      <c r="G27">
        <v>0</v>
      </c>
      <c r="H27">
        <v>0</v>
      </c>
      <c r="I27">
        <v>0.3</v>
      </c>
      <c r="J27">
        <v>216</v>
      </c>
      <c r="K27" s="64">
        <f t="shared" si="0"/>
        <v>0</v>
      </c>
      <c r="L27" s="64">
        <f t="shared" si="1"/>
        <v>58.809487179487185</v>
      </c>
      <c r="M27" s="66">
        <f>C29*Scoring!$B$34+D29/Scoring!$C$34+E29*Scoring!$D$34+WR!F29*Scoring!$E$34+WR!G29/Scoring!$F$34+WR!H29*Scoring!$G$34+WR!I29*Scoring!$H$34+K29*Scoring!$I$34+WR!L29*Scoring!$J$34+U27</f>
        <v>198.70000000000002</v>
      </c>
      <c r="N27" s="66">
        <f>C27*Scoring!$B$34+D27/Scoring!$C$34+E27*Scoring!$D$34+WR!F27*Scoring!$E$34+WR!G27/Scoring!$F$34+WR!H27*Scoring!$G$34+WR!I27*Scoring!$H$34+K27*Scoring!$I$34+WR!L27*Scoring!$J$34+U27</f>
        <v>216.02</v>
      </c>
      <c r="O27" s="66">
        <f>C28*Scoring!$B$34+D28/Scoring!$C$34+E28*Scoring!$D$34+WR!F28*Scoring!$E$34+WR!G28/Scoring!$F$34+WR!H28*Scoring!$G$34+WR!I28*Scoring!$H$34+K28*Scoring!$I$34+WR!L28*Scoring!$J$34+U27</f>
        <v>240</v>
      </c>
      <c r="P27" s="20">
        <f>IF(COUNTIF(Rookies!$A:$A,A27)&gt;0,1,0)</f>
        <v>0</v>
      </c>
      <c r="S27" s="20">
        <f>V27/17</f>
        <v>12.707058823529412</v>
      </c>
      <c r="T27" s="20">
        <f>IF(P27=1,MAX(0,0.28*(12-S27)),0)</f>
        <v>0</v>
      </c>
      <c r="U27" s="20">
        <f>T27*17</f>
        <v>0</v>
      </c>
      <c r="V27" s="20">
        <f>C27*Scoring!$B$34+D27/Scoring!$C$34+E27*Scoring!$D$34+WR!F27*Scoring!$E$34+WR!G27/Scoring!$F$34+WR!H27*Scoring!$G$34+WR!I27*Scoring!$H$34+K27*Scoring!$I$34+WR!L27*Scoring!$J$34</f>
        <v>216.02</v>
      </c>
    </row>
    <row r="28" spans="1:22" ht="14.25" customHeight="1" x14ac:dyDescent="0.3">
      <c r="B28" t="s">
        <v>472</v>
      </c>
      <c r="C28">
        <v>99</v>
      </c>
      <c r="D28">
        <v>1245</v>
      </c>
      <c r="E28">
        <v>11</v>
      </c>
      <c r="F28">
        <v>1</v>
      </c>
      <c r="G28">
        <v>0</v>
      </c>
      <c r="H28">
        <v>0</v>
      </c>
      <c r="I28">
        <v>0</v>
      </c>
      <c r="J28">
        <v>253.1</v>
      </c>
      <c r="K28" s="64">
        <f t="shared" si="0"/>
        <v>0</v>
      </c>
      <c r="L28" s="64">
        <f t="shared" si="1"/>
        <v>61.23426573426574</v>
      </c>
      <c r="M28" s="67"/>
      <c r="N28" s="67"/>
      <c r="O28" s="67"/>
    </row>
    <row r="29" spans="1:22" ht="14.25" customHeight="1" x14ac:dyDescent="0.3">
      <c r="B29" t="s">
        <v>473</v>
      </c>
      <c r="C29">
        <v>91.2</v>
      </c>
      <c r="D29">
        <v>1147</v>
      </c>
      <c r="E29">
        <v>6.6</v>
      </c>
      <c r="F29">
        <v>0</v>
      </c>
      <c r="G29">
        <v>0</v>
      </c>
      <c r="H29">
        <v>0</v>
      </c>
      <c r="I29">
        <v>0.6</v>
      </c>
      <c r="J29">
        <v>206.5</v>
      </c>
      <c r="K29" s="64">
        <f t="shared" si="0"/>
        <v>0</v>
      </c>
      <c r="L29" s="64">
        <f t="shared" si="1"/>
        <v>56.414219114219115</v>
      </c>
      <c r="M29" s="67"/>
      <c r="N29" s="67"/>
      <c r="O29" s="67"/>
    </row>
    <row r="30" spans="1:22" ht="14.25" customHeight="1" x14ac:dyDescent="0.3">
      <c r="A30" t="s">
        <v>722</v>
      </c>
      <c r="B30" t="s">
        <v>477</v>
      </c>
      <c r="C30">
        <v>87.7</v>
      </c>
      <c r="D30">
        <v>1234.8</v>
      </c>
      <c r="E30">
        <v>7.7</v>
      </c>
      <c r="F30">
        <v>0</v>
      </c>
      <c r="G30">
        <v>0</v>
      </c>
      <c r="H30">
        <v>0</v>
      </c>
      <c r="I30">
        <v>0.3</v>
      </c>
      <c r="J30">
        <v>212.9</v>
      </c>
      <c r="K30" s="64">
        <f t="shared" si="0"/>
        <v>0</v>
      </c>
      <c r="L30" s="64">
        <f t="shared" si="1"/>
        <v>60.732587412587421</v>
      </c>
      <c r="M30" s="66">
        <f>C32*Scoring!$B$34+D32/Scoring!$C$34+E32*Scoring!$D$34+WR!F32*Scoring!$E$34+WR!G32/Scoring!$F$34+WR!H32*Scoring!$G$34+WR!I32*Scoring!$H$34+K32*Scoring!$I$34+WR!L32*Scoring!$J$34+U30</f>
        <v>199.3</v>
      </c>
      <c r="N30" s="66">
        <f>C30*Scoring!$B$34+D30/Scoring!$C$34+E30*Scoring!$D$34+WR!F30*Scoring!$E$34+WR!G30/Scoring!$F$34+WR!H30*Scoring!$G$34+WR!I30*Scoring!$H$34+K30*Scoring!$I$34+WR!L30*Scoring!$J$34+U30</f>
        <v>212.92999999999998</v>
      </c>
      <c r="O30" s="66">
        <f>C31*Scoring!$B$34+D31/Scoring!$C$34+E31*Scoring!$D$34+WR!F31*Scoring!$E$34+WR!G31/Scoring!$F$34+WR!H31*Scoring!$G$34+WR!I31*Scoring!$H$34+K31*Scoring!$I$34+WR!L31*Scoring!$J$34+U30</f>
        <v>232.5</v>
      </c>
      <c r="P30" s="20">
        <f>IF(COUNTIF(Rookies!$A:$A,A30)&gt;0,1,0)</f>
        <v>0</v>
      </c>
      <c r="S30" s="20">
        <f>V30/17</f>
        <v>12.525294117647057</v>
      </c>
      <c r="T30" s="20">
        <f>IF(P30=1,MAX(0,0.28*(12-S30)),0)</f>
        <v>0</v>
      </c>
      <c r="U30" s="20">
        <f>T30*17</f>
        <v>0</v>
      </c>
      <c r="V30" s="20">
        <f>C30*Scoring!$B$34+D30/Scoring!$C$34+E30*Scoring!$D$34+WR!F30*Scoring!$E$34+WR!G30/Scoring!$F$34+WR!H30*Scoring!$G$34+WR!I30*Scoring!$H$34+K30*Scoring!$I$34+WR!L30*Scoring!$J$34</f>
        <v>212.92999999999998</v>
      </c>
    </row>
    <row r="31" spans="1:22" ht="14.25" customHeight="1" x14ac:dyDescent="0.3">
      <c r="B31" t="s">
        <v>472</v>
      </c>
      <c r="C31">
        <v>91</v>
      </c>
      <c r="D31">
        <v>1330</v>
      </c>
      <c r="E31">
        <v>9</v>
      </c>
      <c r="F31">
        <v>0</v>
      </c>
      <c r="G31">
        <v>0</v>
      </c>
      <c r="H31">
        <v>0</v>
      </c>
      <c r="I31">
        <v>0</v>
      </c>
      <c r="J31">
        <v>244.3</v>
      </c>
      <c r="K31" s="64">
        <f t="shared" si="0"/>
        <v>0</v>
      </c>
      <c r="L31" s="64">
        <f t="shared" si="1"/>
        <v>65.414918414918418</v>
      </c>
      <c r="M31" s="67"/>
      <c r="N31" s="67"/>
      <c r="O31" s="67"/>
    </row>
    <row r="32" spans="1:22" ht="14.25" customHeight="1" x14ac:dyDescent="0.3">
      <c r="B32" t="s">
        <v>473</v>
      </c>
      <c r="C32">
        <v>86</v>
      </c>
      <c r="D32">
        <v>1155</v>
      </c>
      <c r="E32">
        <v>7</v>
      </c>
      <c r="F32">
        <v>0</v>
      </c>
      <c r="G32">
        <v>0</v>
      </c>
      <c r="H32">
        <v>0</v>
      </c>
      <c r="I32">
        <v>0.6</v>
      </c>
      <c r="J32">
        <v>207.6</v>
      </c>
      <c r="K32" s="64">
        <f t="shared" si="0"/>
        <v>0</v>
      </c>
      <c r="L32" s="64">
        <f t="shared" si="1"/>
        <v>56.807692307692307</v>
      </c>
      <c r="M32" s="67"/>
      <c r="N32" s="67"/>
      <c r="O32" s="67"/>
    </row>
    <row r="33" spans="1:22" ht="14.25" customHeight="1" x14ac:dyDescent="0.3">
      <c r="A33" t="s">
        <v>724</v>
      </c>
      <c r="B33" t="s">
        <v>491</v>
      </c>
      <c r="C33">
        <v>82.3</v>
      </c>
      <c r="D33">
        <v>1200.4000000000001</v>
      </c>
      <c r="E33">
        <v>8.4</v>
      </c>
      <c r="F33">
        <v>0.3</v>
      </c>
      <c r="G33">
        <v>-0.3</v>
      </c>
      <c r="H33">
        <v>0</v>
      </c>
      <c r="I33">
        <v>0.4</v>
      </c>
      <c r="J33">
        <v>210.6</v>
      </c>
      <c r="K33" s="64">
        <f t="shared" si="0"/>
        <v>-1.8592162554426705E-2</v>
      </c>
      <c r="L33" s="64">
        <f t="shared" si="1"/>
        <v>59.040652680652691</v>
      </c>
      <c r="M33" s="66">
        <f>C35*Scoring!$B$34+D35/Scoring!$C$34+E35*Scoring!$D$34+WR!F35*Scoring!$E$34+WR!G35/Scoring!$F$34+WR!H35*Scoring!$G$34+WR!I35*Scoring!$H$34+K35*Scoring!$I$34+WR!L35*Scoring!$J$34+U33</f>
        <v>187.29999999999998</v>
      </c>
      <c r="N33" s="66">
        <f>C33*Scoring!$B$34+D33/Scoring!$C$34+E33*Scoring!$D$34+WR!F33*Scoring!$E$34+WR!G33/Scoring!$F$34+WR!H33*Scoring!$G$34+WR!I33*Scoring!$H$34+K33*Scoring!$I$34+WR!L33*Scoring!$J$34+U33</f>
        <v>210.76</v>
      </c>
      <c r="O33" s="66">
        <f>C34*Scoring!$B$34+D34/Scoring!$C$34+E34*Scoring!$D$34+WR!F34*Scoring!$E$34+WR!G34/Scoring!$F$34+WR!H34*Scoring!$G$34+WR!I34*Scoring!$H$34+K34*Scoring!$I$34+WR!L34*Scoring!$J$34+U33</f>
        <v>244.9</v>
      </c>
      <c r="P33" s="20">
        <f>IF(COUNTIF(Rookies!$A:$A,A33)&gt;0,1,0)</f>
        <v>0</v>
      </c>
      <c r="S33" s="20">
        <f>V33/17</f>
        <v>12.397647058823528</v>
      </c>
      <c r="T33" s="20">
        <f>IF(P33=1,MAX(0,0.28*(12-S33)),0)</f>
        <v>0</v>
      </c>
      <c r="U33" s="20">
        <f>T33*17</f>
        <v>0</v>
      </c>
      <c r="V33" s="20">
        <f>C33*Scoring!$B$34+D33/Scoring!$C$34+E33*Scoring!$D$34+WR!F33*Scoring!$E$34+WR!G33/Scoring!$F$34+WR!H33*Scoring!$G$34+WR!I33*Scoring!$H$34+K33*Scoring!$I$34+WR!L33*Scoring!$J$34</f>
        <v>210.76</v>
      </c>
    </row>
    <row r="34" spans="1:22" ht="14.25" customHeight="1" x14ac:dyDescent="0.3">
      <c r="B34" t="s">
        <v>472</v>
      </c>
      <c r="C34">
        <v>93</v>
      </c>
      <c r="D34">
        <v>1384</v>
      </c>
      <c r="E34">
        <v>10</v>
      </c>
      <c r="F34">
        <v>1</v>
      </c>
      <c r="G34">
        <v>0</v>
      </c>
      <c r="H34">
        <v>0</v>
      </c>
      <c r="I34">
        <v>0</v>
      </c>
      <c r="J34">
        <v>232.1</v>
      </c>
      <c r="K34" s="64">
        <f t="shared" si="0"/>
        <v>0</v>
      </c>
      <c r="L34" s="64">
        <f t="shared" si="1"/>
        <v>68.070862470862465</v>
      </c>
      <c r="M34" s="67"/>
      <c r="N34" s="67"/>
      <c r="O34" s="67"/>
    </row>
    <row r="35" spans="1:22" ht="14.25" customHeight="1" x14ac:dyDescent="0.3">
      <c r="B35" t="s">
        <v>473</v>
      </c>
      <c r="C35">
        <v>74</v>
      </c>
      <c r="D35">
        <v>1102</v>
      </c>
      <c r="E35">
        <v>7</v>
      </c>
      <c r="F35">
        <v>0</v>
      </c>
      <c r="G35">
        <v>-1</v>
      </c>
      <c r="H35">
        <v>0</v>
      </c>
      <c r="I35">
        <v>0.9</v>
      </c>
      <c r="J35">
        <v>200.5</v>
      </c>
      <c r="K35" s="64">
        <f t="shared" si="0"/>
        <v>0</v>
      </c>
      <c r="L35" s="64">
        <f t="shared" si="1"/>
        <v>54.200932400932402</v>
      </c>
      <c r="M35" s="67"/>
      <c r="N35" s="67"/>
      <c r="O35" s="67"/>
    </row>
    <row r="36" spans="1:22" ht="14.25" customHeight="1" x14ac:dyDescent="0.3">
      <c r="A36" t="s">
        <v>723</v>
      </c>
      <c r="B36" t="s">
        <v>519</v>
      </c>
      <c r="C36">
        <v>82.6</v>
      </c>
      <c r="D36">
        <v>1209.7</v>
      </c>
      <c r="E36">
        <v>7.6</v>
      </c>
      <c r="F36">
        <v>1.4</v>
      </c>
      <c r="G36">
        <v>8.3000000000000007</v>
      </c>
      <c r="H36">
        <v>0.4</v>
      </c>
      <c r="I36">
        <v>0.8</v>
      </c>
      <c r="J36">
        <v>209.1</v>
      </c>
      <c r="K36" s="64">
        <f t="shared" si="0"/>
        <v>0.51438316400580553</v>
      </c>
      <c r="L36" s="64">
        <f t="shared" si="1"/>
        <v>59.498065268065268</v>
      </c>
      <c r="M36" s="66">
        <f>C38*Scoring!$B$34+D38/Scoring!$C$34+E38*Scoring!$D$34+WR!F38*Scoring!$E$34+WR!G38/Scoring!$F$34+WR!H38*Scoring!$G$34+WR!I38*Scoring!$H$34+K38*Scoring!$I$34+WR!L38*Scoring!$J$34+U36</f>
        <v>196.89999999999998</v>
      </c>
      <c r="N36" s="66">
        <f>C36*Scoring!$B$34+D36/Scoring!$C$34+E36*Scoring!$D$34+WR!F36*Scoring!$E$34+WR!G36/Scoring!$F$34+WR!H36*Scoring!$G$34+WR!I36*Scoring!$H$34+K36*Scoring!$I$34+WR!L36*Scoring!$J$34+U36</f>
        <v>209.5</v>
      </c>
      <c r="O36" s="66">
        <f>C37*Scoring!$B$34+D37/Scoring!$C$34+E37*Scoring!$D$34+WR!F37*Scoring!$E$34+WR!G37/Scoring!$F$34+WR!H37*Scoring!$G$34+WR!I37*Scoring!$H$34+K37*Scoring!$I$34+WR!L37*Scoring!$J$34+U36</f>
        <v>228</v>
      </c>
      <c r="P36" s="20">
        <f>IF(COUNTIF(Rookies!$A:$A,A36)&gt;0,1,0)</f>
        <v>0</v>
      </c>
      <c r="S36" s="20">
        <f>V36/17</f>
        <v>12.323529411764707</v>
      </c>
      <c r="T36" s="20">
        <f>IF(P36=1,MAX(0,0.28*(12-S36)),0)</f>
        <v>0</v>
      </c>
      <c r="U36" s="20">
        <f>T36*17</f>
        <v>0</v>
      </c>
      <c r="V36" s="20">
        <f>C36*Scoring!$B$34+D36/Scoring!$C$34+E36*Scoring!$D$34+WR!F36*Scoring!$E$34+WR!G36/Scoring!$F$34+WR!H36*Scoring!$G$34+WR!I36*Scoring!$H$34+K36*Scoring!$I$34+WR!L36*Scoring!$J$34</f>
        <v>209.5</v>
      </c>
    </row>
    <row r="37" spans="1:22" ht="14.25" customHeight="1" x14ac:dyDescent="0.3">
      <c r="B37" t="s">
        <v>472</v>
      </c>
      <c r="C37">
        <v>86.8</v>
      </c>
      <c r="D37">
        <v>1247</v>
      </c>
      <c r="E37">
        <v>9</v>
      </c>
      <c r="F37">
        <v>2.1</v>
      </c>
      <c r="G37">
        <v>13</v>
      </c>
      <c r="H37">
        <v>1</v>
      </c>
      <c r="I37">
        <v>0.7</v>
      </c>
      <c r="J37">
        <v>241.4</v>
      </c>
      <c r="K37" s="64">
        <f t="shared" si="0"/>
        <v>0.8056603773584905</v>
      </c>
      <c r="L37" s="64">
        <f t="shared" si="1"/>
        <v>61.332634032634033</v>
      </c>
      <c r="M37" s="67"/>
      <c r="N37" s="67"/>
      <c r="O37" s="67"/>
    </row>
    <row r="38" spans="1:22" ht="14.25" customHeight="1" x14ac:dyDescent="0.3">
      <c r="B38" t="s">
        <v>473</v>
      </c>
      <c r="C38">
        <v>79</v>
      </c>
      <c r="D38">
        <v>1186</v>
      </c>
      <c r="E38">
        <v>6.8</v>
      </c>
      <c r="F38">
        <v>0</v>
      </c>
      <c r="G38">
        <v>0</v>
      </c>
      <c r="H38">
        <v>0</v>
      </c>
      <c r="I38">
        <v>1</v>
      </c>
      <c r="J38">
        <v>202.8</v>
      </c>
      <c r="K38" s="64">
        <f t="shared" si="0"/>
        <v>0</v>
      </c>
      <c r="L38" s="64">
        <f t="shared" si="1"/>
        <v>58.332400932400937</v>
      </c>
      <c r="M38" s="67"/>
      <c r="N38" s="67"/>
      <c r="O38" s="67"/>
    </row>
    <row r="39" spans="1:22" ht="14.25" customHeight="1" x14ac:dyDescent="0.3">
      <c r="A39" t="s">
        <v>725</v>
      </c>
      <c r="B39" t="s">
        <v>475</v>
      </c>
      <c r="C39">
        <v>81.2</v>
      </c>
      <c r="D39">
        <v>1156.5999999999999</v>
      </c>
      <c r="E39">
        <v>6.5</v>
      </c>
      <c r="F39">
        <v>9.9</v>
      </c>
      <c r="G39">
        <v>58.8</v>
      </c>
      <c r="H39">
        <v>0.5</v>
      </c>
      <c r="I39">
        <v>1.5</v>
      </c>
      <c r="J39">
        <v>201</v>
      </c>
      <c r="K39" s="64">
        <f t="shared" si="0"/>
        <v>3.6440638606676345</v>
      </c>
      <c r="L39" s="64">
        <f t="shared" si="1"/>
        <v>56.886386946386949</v>
      </c>
      <c r="M39" s="66">
        <f>C41*Scoring!$B$34+D41/Scoring!$C$34+E41*Scoring!$D$34+WR!F41*Scoring!$E$34+WR!G41/Scoring!$F$34+WR!H41*Scoring!$G$34+WR!I41*Scoring!$H$34+K41*Scoring!$I$34+WR!L41*Scoring!$J$34+U39</f>
        <v>185.92999999999998</v>
      </c>
      <c r="N39" s="66">
        <f>C39*Scoring!$B$34+D39/Scoring!$C$34+E39*Scoring!$D$34+WR!F39*Scoring!$E$34+WR!G39/Scoring!$F$34+WR!H39*Scoring!$G$34+WR!I39*Scoring!$H$34+K39*Scoring!$I$34+WR!L39*Scoring!$J$34+U39</f>
        <v>201.14</v>
      </c>
      <c r="O39" s="66">
        <f>C40*Scoring!$B$34+D40/Scoring!$C$34+E40*Scoring!$D$34+WR!F40*Scoring!$E$34+WR!G40/Scoring!$F$34+WR!H40*Scoring!$G$34+WR!I40*Scoring!$H$34+K40*Scoring!$I$34+WR!L40*Scoring!$J$34+U39</f>
        <v>217.8</v>
      </c>
      <c r="P39" s="20">
        <f>IF(COUNTIF(Rookies!$A:$A,A39)&gt;0,1,0)</f>
        <v>0</v>
      </c>
      <c r="S39" s="20">
        <f>V39/17</f>
        <v>11.831764705882351</v>
      </c>
      <c r="T39" s="20">
        <f>IF(P39=1,MAX(0,0.28*(12-S39)),0)</f>
        <v>0</v>
      </c>
      <c r="U39" s="20">
        <f>T39*17</f>
        <v>0</v>
      </c>
      <c r="V39" s="20">
        <f>C39*Scoring!$B$34+D39/Scoring!$C$34+E39*Scoring!$D$34+WR!F39*Scoring!$E$34+WR!G39/Scoring!$F$34+WR!H39*Scoring!$G$34+WR!I39*Scoring!$H$34+K39*Scoring!$I$34+WR!L39*Scoring!$J$34</f>
        <v>201.14</v>
      </c>
    </row>
    <row r="40" spans="1:22" ht="14.25" customHeight="1" x14ac:dyDescent="0.3">
      <c r="B40" t="s">
        <v>472</v>
      </c>
      <c r="C40">
        <v>83</v>
      </c>
      <c r="D40">
        <v>1183</v>
      </c>
      <c r="E40">
        <v>8</v>
      </c>
      <c r="F40">
        <v>10</v>
      </c>
      <c r="G40">
        <v>60</v>
      </c>
      <c r="H40">
        <v>1</v>
      </c>
      <c r="I40">
        <v>1</v>
      </c>
      <c r="J40">
        <v>233.7</v>
      </c>
      <c r="K40" s="64">
        <f t="shared" si="0"/>
        <v>3.7184325108853411</v>
      </c>
      <c r="L40" s="64">
        <f t="shared" si="1"/>
        <v>58.184848484848487</v>
      </c>
      <c r="M40" s="67"/>
      <c r="N40" s="67"/>
      <c r="O40" s="67"/>
    </row>
    <row r="41" spans="1:22" ht="14.25" customHeight="1" x14ac:dyDescent="0.3">
      <c r="B41" t="s">
        <v>473</v>
      </c>
      <c r="C41">
        <v>79</v>
      </c>
      <c r="D41">
        <v>1117</v>
      </c>
      <c r="E41">
        <v>5.5</v>
      </c>
      <c r="F41">
        <v>9.8000000000000007</v>
      </c>
      <c r="G41">
        <v>57.3</v>
      </c>
      <c r="H41">
        <v>0</v>
      </c>
      <c r="I41">
        <v>2</v>
      </c>
      <c r="J41">
        <v>197.4</v>
      </c>
      <c r="K41" s="64">
        <f t="shared" si="0"/>
        <v>3.5511030478955004</v>
      </c>
      <c r="L41" s="64">
        <f t="shared" si="1"/>
        <v>54.938694638694649</v>
      </c>
      <c r="M41" s="67"/>
      <c r="N41" s="67"/>
      <c r="O41" s="67"/>
    </row>
    <row r="42" spans="1:22" ht="14.25" customHeight="1" x14ac:dyDescent="0.3">
      <c r="A42" t="s">
        <v>726</v>
      </c>
      <c r="B42" t="s">
        <v>485</v>
      </c>
      <c r="C42">
        <v>82.1</v>
      </c>
      <c r="D42">
        <v>1079.5999999999999</v>
      </c>
      <c r="E42">
        <v>8.4</v>
      </c>
      <c r="F42">
        <v>2.8</v>
      </c>
      <c r="G42">
        <v>8.3000000000000007</v>
      </c>
      <c r="H42">
        <v>0.1</v>
      </c>
      <c r="I42">
        <v>0.4</v>
      </c>
      <c r="J42">
        <v>199.8</v>
      </c>
      <c r="K42" s="64">
        <f t="shared" si="0"/>
        <v>0.51438316400580553</v>
      </c>
      <c r="L42" s="64">
        <f t="shared" si="1"/>
        <v>53.099207459207463</v>
      </c>
      <c r="M42" s="66">
        <f>C44*Scoring!$B$34+D44/Scoring!$C$34+E44*Scoring!$D$34+WR!F44*Scoring!$E$34+WR!G44/Scoring!$F$34+WR!H44*Scoring!$G$34+WR!I44*Scoring!$H$34+K44*Scoring!$I$34+WR!L44*Scoring!$J$34+U42</f>
        <v>183.8</v>
      </c>
      <c r="N42" s="66">
        <f>C42*Scoring!$B$34+D42/Scoring!$C$34+E42*Scoring!$D$34+WR!F42*Scoring!$E$34+WR!G42/Scoring!$F$34+WR!H42*Scoring!$G$34+WR!I42*Scoring!$H$34+K42*Scoring!$I$34+WR!L42*Scoring!$J$34+U42</f>
        <v>200.04</v>
      </c>
      <c r="O42" s="66">
        <f>C43*Scoring!$B$34+D43/Scoring!$C$34+E43*Scoring!$D$34+WR!F43*Scoring!$E$34+WR!G43/Scoring!$F$34+WR!H43*Scoring!$G$34+WR!I43*Scoring!$H$34+K43*Scoring!$I$34+WR!L43*Scoring!$J$34+U42</f>
        <v>224.89000000000001</v>
      </c>
      <c r="P42" s="20">
        <f>IF(COUNTIF(Rookies!$A:$A,A42)&gt;0,1,0)</f>
        <v>0</v>
      </c>
      <c r="S42" s="20">
        <f>V42/17</f>
        <v>11.76705882352941</v>
      </c>
      <c r="T42" s="20">
        <f>IF(P42=1,MAX(0,0.28*(12-S42)),0)</f>
        <v>0</v>
      </c>
      <c r="U42" s="20">
        <f>T42*17</f>
        <v>0</v>
      </c>
      <c r="V42" s="20">
        <f>C42*Scoring!$B$34+D42/Scoring!$C$34+E42*Scoring!$D$34+WR!F42*Scoring!$E$34+WR!G42/Scoring!$F$34+WR!H42*Scoring!$G$34+WR!I42*Scoring!$H$34+K42*Scoring!$I$34+WR!L42*Scoring!$J$34</f>
        <v>200.04</v>
      </c>
    </row>
    <row r="43" spans="1:22" ht="14.25" customHeight="1" x14ac:dyDescent="0.3">
      <c r="B43" t="s">
        <v>472</v>
      </c>
      <c r="C43">
        <v>85.2</v>
      </c>
      <c r="D43">
        <v>1127.9000000000001</v>
      </c>
      <c r="E43">
        <v>11</v>
      </c>
      <c r="F43">
        <v>4.5</v>
      </c>
      <c r="G43">
        <v>23</v>
      </c>
      <c r="H43">
        <v>0.2</v>
      </c>
      <c r="I43">
        <v>0</v>
      </c>
      <c r="J43">
        <v>231.2</v>
      </c>
      <c r="K43" s="64">
        <f t="shared" si="0"/>
        <v>1.4253991291727139</v>
      </c>
      <c r="L43" s="64">
        <f t="shared" si="1"/>
        <v>55.474801864801869</v>
      </c>
      <c r="M43" s="67"/>
      <c r="N43" s="67"/>
      <c r="O43" s="67"/>
    </row>
    <row r="44" spans="1:22" ht="14.25" customHeight="1" x14ac:dyDescent="0.3">
      <c r="B44" t="s">
        <v>473</v>
      </c>
      <c r="C44">
        <v>80</v>
      </c>
      <c r="D44">
        <v>1034</v>
      </c>
      <c r="E44">
        <v>7</v>
      </c>
      <c r="F44">
        <v>0</v>
      </c>
      <c r="G44">
        <v>0</v>
      </c>
      <c r="H44">
        <v>0</v>
      </c>
      <c r="I44">
        <v>0.8</v>
      </c>
      <c r="J44">
        <v>199.7</v>
      </c>
      <c r="K44" s="64">
        <f t="shared" si="0"/>
        <v>0</v>
      </c>
      <c r="L44" s="64">
        <f t="shared" si="1"/>
        <v>50.856410256410271</v>
      </c>
      <c r="M44" s="67"/>
      <c r="N44" s="67"/>
      <c r="O44" s="67"/>
    </row>
    <row r="45" spans="1:22" ht="14.25" customHeight="1" x14ac:dyDescent="0.3">
      <c r="A45" t="s">
        <v>727</v>
      </c>
      <c r="B45" t="s">
        <v>523</v>
      </c>
      <c r="C45">
        <v>96.4</v>
      </c>
      <c r="D45">
        <v>1095.5</v>
      </c>
      <c r="E45">
        <v>6.4</v>
      </c>
      <c r="F45">
        <v>1.1000000000000001</v>
      </c>
      <c r="G45">
        <v>4.3</v>
      </c>
      <c r="H45">
        <v>0</v>
      </c>
      <c r="I45">
        <v>1.1000000000000001</v>
      </c>
      <c r="J45">
        <v>194.8</v>
      </c>
      <c r="K45" s="64">
        <f t="shared" si="0"/>
        <v>0.26648766328011608</v>
      </c>
      <c r="L45" s="64">
        <f t="shared" si="1"/>
        <v>53.881235431235432</v>
      </c>
      <c r="M45" s="66">
        <f>C47*Scoring!$B$34+D47/Scoring!$C$34+E47*Scoring!$D$34+WR!F47*Scoring!$E$34+WR!G47/Scoring!$F$34+WR!H47*Scoring!$G$34+WR!I47*Scoring!$H$34+K47*Scoring!$I$34+WR!L47*Scoring!$J$34+U45</f>
        <v>167.9</v>
      </c>
      <c r="N45" s="66">
        <f>C45*Scoring!$B$34+D45/Scoring!$C$34+E45*Scoring!$D$34+WR!F45*Scoring!$E$34+WR!G45/Scoring!$F$34+WR!H45*Scoring!$G$34+WR!I45*Scoring!$H$34+K45*Scoring!$I$34+WR!L45*Scoring!$J$34+U45</f>
        <v>194.38000000000002</v>
      </c>
      <c r="O45" s="66">
        <f>C46*Scoring!$B$34+D46/Scoring!$C$34+E46*Scoring!$D$34+WR!F46*Scoring!$E$34+WR!G46/Scoring!$F$34+WR!H46*Scoring!$G$34+WR!I46*Scoring!$H$34+K46*Scoring!$I$34+WR!L46*Scoring!$J$34+U45</f>
        <v>221.38</v>
      </c>
      <c r="P45" s="20">
        <f>IF(COUNTIF(Rookies!$A:$A,A45)&gt;0,1,0)</f>
        <v>0</v>
      </c>
      <c r="S45" s="20">
        <f>V45/17</f>
        <v>11.434117647058825</v>
      </c>
      <c r="T45" s="20">
        <f>IF(P45=1,MAX(0,0.28*(12-S45)),0)</f>
        <v>0</v>
      </c>
      <c r="U45" s="20">
        <f>T45*17</f>
        <v>0</v>
      </c>
      <c r="V45" s="20">
        <f>C45*Scoring!$B$34+D45/Scoring!$C$34+E45*Scoring!$D$34+WR!F45*Scoring!$E$34+WR!G45/Scoring!$F$34+WR!H45*Scoring!$G$34+WR!I45*Scoring!$H$34+K45*Scoring!$I$34+WR!L45*Scoring!$J$34</f>
        <v>194.38000000000002</v>
      </c>
    </row>
    <row r="46" spans="1:22" ht="14.25" customHeight="1" x14ac:dyDescent="0.3">
      <c r="B46" t="s">
        <v>472</v>
      </c>
      <c r="C46">
        <v>100.3</v>
      </c>
      <c r="D46">
        <v>1175.5</v>
      </c>
      <c r="E46">
        <v>9</v>
      </c>
      <c r="F46">
        <v>2.2000000000000002</v>
      </c>
      <c r="G46">
        <v>10.8</v>
      </c>
      <c r="H46">
        <v>0.1</v>
      </c>
      <c r="I46">
        <v>1</v>
      </c>
      <c r="J46">
        <v>243.7</v>
      </c>
      <c r="K46" s="64">
        <f t="shared" si="0"/>
        <v>0.66931785195936144</v>
      </c>
      <c r="L46" s="64">
        <f t="shared" si="1"/>
        <v>57.815967365967367</v>
      </c>
      <c r="M46" s="67"/>
      <c r="N46" s="67"/>
      <c r="O46" s="67"/>
    </row>
    <row r="47" spans="1:22" ht="14.25" customHeight="1" x14ac:dyDescent="0.3">
      <c r="B47" t="s">
        <v>473</v>
      </c>
      <c r="C47">
        <v>89</v>
      </c>
      <c r="D47">
        <v>956</v>
      </c>
      <c r="E47">
        <v>5</v>
      </c>
      <c r="F47">
        <v>0</v>
      </c>
      <c r="G47">
        <v>0</v>
      </c>
      <c r="H47">
        <v>0</v>
      </c>
      <c r="I47">
        <v>1.1000000000000001</v>
      </c>
      <c r="J47">
        <v>187.2</v>
      </c>
      <c r="K47" s="64">
        <f t="shared" si="0"/>
        <v>0</v>
      </c>
      <c r="L47" s="64">
        <f t="shared" si="1"/>
        <v>47.020046620046621</v>
      </c>
      <c r="M47" s="67"/>
      <c r="N47" s="67"/>
      <c r="O47" s="67"/>
    </row>
    <row r="48" spans="1:22" ht="14.25" customHeight="1" x14ac:dyDescent="0.3">
      <c r="A48" t="s">
        <v>728</v>
      </c>
      <c r="B48" t="s">
        <v>521</v>
      </c>
      <c r="C48">
        <v>81.099999999999994</v>
      </c>
      <c r="D48">
        <v>1145.0999999999999</v>
      </c>
      <c r="E48">
        <v>6.6</v>
      </c>
      <c r="F48">
        <v>0</v>
      </c>
      <c r="G48">
        <v>0</v>
      </c>
      <c r="H48">
        <v>0</v>
      </c>
      <c r="I48">
        <v>0.9</v>
      </c>
      <c r="J48">
        <v>193.1</v>
      </c>
      <c r="K48" s="64">
        <f t="shared" si="0"/>
        <v>0</v>
      </c>
      <c r="L48" s="64">
        <f t="shared" si="1"/>
        <v>56.320769230769244</v>
      </c>
      <c r="M48" s="66">
        <f>C50*Scoring!$B$34+D50/Scoring!$C$34+E50*Scoring!$D$34+WR!F50*Scoring!$E$34+WR!G50/Scoring!$F$34+WR!H50*Scoring!$G$34+WR!I50*Scoring!$H$34+K50*Scoring!$I$34+WR!L50*Scoring!$J$34+U48</f>
        <v>180.5</v>
      </c>
      <c r="N48" s="66">
        <f>C48*Scoring!$B$34+D48/Scoring!$C$34+E48*Scoring!$D$34+WR!F48*Scoring!$E$34+WR!G48/Scoring!$F$34+WR!H48*Scoring!$G$34+WR!I48*Scoring!$H$34+K48*Scoring!$I$34+WR!L48*Scoring!$J$34+U48</f>
        <v>192.85999999999999</v>
      </c>
      <c r="O48" s="66">
        <f>C49*Scoring!$B$34+D49/Scoring!$C$34+E49*Scoring!$D$34+WR!F49*Scoring!$E$34+WR!G49/Scoring!$F$34+WR!H49*Scoring!$G$34+WR!I49*Scoring!$H$34+K49*Scoring!$I$34+WR!L49*Scoring!$J$34+U48</f>
        <v>206.29000000000002</v>
      </c>
      <c r="P48" s="20">
        <f>IF(COUNTIF(Rookies!$A:$A,A48)&gt;0,1,0)</f>
        <v>0</v>
      </c>
      <c r="S48" s="20">
        <f>V48/17</f>
        <v>11.34470588235294</v>
      </c>
      <c r="T48" s="20">
        <f>IF(P48=1,MAX(0,0.28*(12-S48)),0)</f>
        <v>0</v>
      </c>
      <c r="U48" s="20">
        <f>T48*17</f>
        <v>0</v>
      </c>
      <c r="V48" s="20">
        <f>C48*Scoring!$B$34+D48/Scoring!$C$34+E48*Scoring!$D$34+WR!F48*Scoring!$E$34+WR!G48/Scoring!$F$34+WR!H48*Scoring!$G$34+WR!I48*Scoring!$H$34+K48*Scoring!$I$34+WR!L48*Scoring!$J$34</f>
        <v>192.85999999999999</v>
      </c>
    </row>
    <row r="49" spans="1:22" ht="14.25" customHeight="1" x14ac:dyDescent="0.3">
      <c r="B49" t="s">
        <v>472</v>
      </c>
      <c r="C49">
        <v>83.3</v>
      </c>
      <c r="D49">
        <v>1182.4000000000001</v>
      </c>
      <c r="E49">
        <v>8</v>
      </c>
      <c r="F49">
        <v>0</v>
      </c>
      <c r="G49">
        <v>0</v>
      </c>
      <c r="H49">
        <v>0</v>
      </c>
      <c r="I49">
        <v>0.8</v>
      </c>
      <c r="J49">
        <v>223.7</v>
      </c>
      <c r="K49" s="64">
        <f t="shared" si="0"/>
        <v>0</v>
      </c>
      <c r="L49" s="64">
        <f t="shared" si="1"/>
        <v>58.155337995338009</v>
      </c>
      <c r="M49" s="67"/>
      <c r="N49" s="67"/>
      <c r="O49" s="67"/>
    </row>
    <row r="50" spans="1:22" ht="14.25" customHeight="1" x14ac:dyDescent="0.3">
      <c r="B50" t="s">
        <v>473</v>
      </c>
      <c r="C50">
        <v>78</v>
      </c>
      <c r="D50">
        <v>1081</v>
      </c>
      <c r="E50">
        <v>5.9</v>
      </c>
      <c r="F50">
        <v>0</v>
      </c>
      <c r="G50">
        <v>0</v>
      </c>
      <c r="H50">
        <v>0</v>
      </c>
      <c r="I50">
        <v>1</v>
      </c>
      <c r="J50">
        <v>193.4</v>
      </c>
      <c r="K50" s="64">
        <f t="shared" si="0"/>
        <v>0</v>
      </c>
      <c r="L50" s="64">
        <f t="shared" si="1"/>
        <v>53.168065268065277</v>
      </c>
      <c r="M50" s="67"/>
      <c r="N50" s="67"/>
      <c r="O50" s="67"/>
    </row>
    <row r="51" spans="1:22" ht="14.25" customHeight="1" x14ac:dyDescent="0.3">
      <c r="A51" t="s">
        <v>729</v>
      </c>
      <c r="B51" t="s">
        <v>481</v>
      </c>
      <c r="C51">
        <v>87.8</v>
      </c>
      <c r="D51">
        <v>1136.5</v>
      </c>
      <c r="E51">
        <v>6</v>
      </c>
      <c r="F51">
        <v>0</v>
      </c>
      <c r="G51">
        <v>0</v>
      </c>
      <c r="H51">
        <v>0</v>
      </c>
      <c r="I51">
        <v>0.3</v>
      </c>
      <c r="J51">
        <v>193.1</v>
      </c>
      <c r="K51" s="64">
        <f t="shared" si="0"/>
        <v>0</v>
      </c>
      <c r="L51" s="64">
        <f t="shared" si="1"/>
        <v>55.897785547785553</v>
      </c>
      <c r="M51" s="66">
        <f>C53*Scoring!$B$34+D53/Scoring!$C$34+E53*Scoring!$D$34+WR!F53*Scoring!$E$34+WR!G53/Scoring!$F$34+WR!H53*Scoring!$G$34+WR!I53*Scoring!$H$34+K53*Scoring!$I$34+WR!L53*Scoring!$J$34+U51</f>
        <v>188.5</v>
      </c>
      <c r="N51" s="66">
        <f>C51*Scoring!$B$34+D51/Scoring!$C$34+E51*Scoring!$D$34+WR!F51*Scoring!$E$34+WR!G51/Scoring!$F$34+WR!H51*Scoring!$G$34+WR!I51*Scoring!$H$34+K51*Scoring!$I$34+WR!L51*Scoring!$J$34+U51</f>
        <v>192.95000000000002</v>
      </c>
      <c r="O51" s="66">
        <f>C52*Scoring!$B$34+D52/Scoring!$C$34+E52*Scoring!$D$34+WR!F52*Scoring!$E$34+WR!G52/Scoring!$F$34+WR!H52*Scoring!$G$34+WR!I52*Scoring!$H$34+K52*Scoring!$I$34+WR!L52*Scoring!$J$34+U51</f>
        <v>197.05</v>
      </c>
      <c r="P51" s="20">
        <f>IF(COUNTIF(Rookies!$A:$A,A51)&gt;0,1,0)</f>
        <v>0</v>
      </c>
      <c r="S51" s="20">
        <f>V51/17</f>
        <v>11.350000000000001</v>
      </c>
      <c r="T51" s="20">
        <f>IF(P51=1,MAX(0,0.28*(12-S51)),0)</f>
        <v>0</v>
      </c>
      <c r="U51" s="20">
        <f>T51*17</f>
        <v>0</v>
      </c>
      <c r="V51" s="20">
        <f>C51*Scoring!$B$34+D51/Scoring!$C$34+E51*Scoring!$D$34+WR!F51*Scoring!$E$34+WR!G51/Scoring!$F$34+WR!H51*Scoring!$G$34+WR!I51*Scoring!$H$34+K51*Scoring!$I$34+WR!L51*Scoring!$J$34</f>
        <v>192.95000000000002</v>
      </c>
    </row>
    <row r="52" spans="1:22" ht="14.25" customHeight="1" x14ac:dyDescent="0.3">
      <c r="B52" t="s">
        <v>472</v>
      </c>
      <c r="C52">
        <v>90.5</v>
      </c>
      <c r="D52">
        <v>1158</v>
      </c>
      <c r="E52">
        <v>6</v>
      </c>
      <c r="F52">
        <v>0</v>
      </c>
      <c r="G52">
        <v>0</v>
      </c>
      <c r="H52">
        <v>0</v>
      </c>
      <c r="I52">
        <v>0</v>
      </c>
      <c r="J52">
        <v>233.6</v>
      </c>
      <c r="K52" s="64">
        <f t="shared" si="0"/>
        <v>0</v>
      </c>
      <c r="L52" s="64">
        <f t="shared" si="1"/>
        <v>56.955244755244763</v>
      </c>
      <c r="M52" s="67"/>
      <c r="N52" s="67"/>
      <c r="O52" s="67"/>
    </row>
    <row r="53" spans="1:22" ht="14.25" customHeight="1" x14ac:dyDescent="0.3">
      <c r="B53" t="s">
        <v>473</v>
      </c>
      <c r="C53">
        <v>83</v>
      </c>
      <c r="D53">
        <v>1122</v>
      </c>
      <c r="E53">
        <v>6</v>
      </c>
      <c r="F53">
        <v>0</v>
      </c>
      <c r="G53">
        <v>0</v>
      </c>
      <c r="H53">
        <v>0</v>
      </c>
      <c r="I53">
        <v>0.6</v>
      </c>
      <c r="J53">
        <v>186.9</v>
      </c>
      <c r="K53" s="64">
        <f t="shared" si="0"/>
        <v>0</v>
      </c>
      <c r="L53" s="64">
        <f t="shared" si="1"/>
        <v>55.184615384615391</v>
      </c>
      <c r="M53" s="67"/>
      <c r="N53" s="67"/>
      <c r="O53" s="67"/>
    </row>
    <row r="54" spans="1:22" ht="14.25" customHeight="1" x14ac:dyDescent="0.3">
      <c r="A54" t="s">
        <v>730</v>
      </c>
      <c r="B54" t="s">
        <v>507</v>
      </c>
      <c r="C54">
        <v>73.2</v>
      </c>
      <c r="D54">
        <v>1096.9000000000001</v>
      </c>
      <c r="E54">
        <v>7.5</v>
      </c>
      <c r="F54">
        <v>1.4</v>
      </c>
      <c r="G54">
        <v>7.3</v>
      </c>
      <c r="H54">
        <v>0</v>
      </c>
      <c r="I54">
        <v>0.3</v>
      </c>
      <c r="J54">
        <v>191.6</v>
      </c>
      <c r="K54" s="64">
        <f t="shared" si="0"/>
        <v>0.45240928882438314</v>
      </c>
      <c r="L54" s="64">
        <f t="shared" si="1"/>
        <v>53.950093240093246</v>
      </c>
      <c r="M54" s="66">
        <f>C56*Scoring!$B$34+D56/Scoring!$C$34+E56*Scoring!$D$34+WR!F56*Scoring!$E$34+WR!G56/Scoring!$F$34+WR!H56*Scoring!$G$34+WR!I56*Scoring!$H$34+K56*Scoring!$I$34+WR!L56*Scoring!$J$34+U54</f>
        <v>180.2</v>
      </c>
      <c r="N54" s="66">
        <f>C54*Scoring!$B$34+D54/Scoring!$C$34+E54*Scoring!$D$34+WR!F54*Scoring!$E$34+WR!G54/Scoring!$F$34+WR!H54*Scoring!$G$34+WR!I54*Scoring!$H$34+K54*Scoring!$I$34+WR!L54*Scoring!$J$34+U54</f>
        <v>191.42000000000002</v>
      </c>
      <c r="O54" s="66">
        <f>C55*Scoring!$B$34+D55/Scoring!$C$34+E55*Scoring!$D$34+WR!F55*Scoring!$E$34+WR!G55/Scoring!$F$34+WR!H55*Scoring!$G$34+WR!I55*Scoring!$H$34+K55*Scoring!$I$34+WR!L55*Scoring!$J$34+U54</f>
        <v>201.47</v>
      </c>
      <c r="P54" s="20">
        <f>IF(COUNTIF(Rookies!$A:$A,A54)&gt;0,1,0)</f>
        <v>0</v>
      </c>
      <c r="S54" s="20">
        <f>V54/17</f>
        <v>11.260000000000002</v>
      </c>
      <c r="T54" s="20">
        <f>IF(P54=1,MAX(0,0.28*(12-S54)),0)</f>
        <v>0</v>
      </c>
      <c r="U54" s="20">
        <f>T54*17</f>
        <v>0</v>
      </c>
      <c r="V54" s="20">
        <f>C54*Scoring!$B$34+D54/Scoring!$C$34+E54*Scoring!$D$34+WR!F54*Scoring!$E$34+WR!G54/Scoring!$F$34+WR!H54*Scoring!$G$34+WR!I54*Scoring!$H$34+K54*Scoring!$I$34+WR!L54*Scoring!$J$34</f>
        <v>191.42000000000002</v>
      </c>
    </row>
    <row r="55" spans="1:22" ht="14.25" customHeight="1" x14ac:dyDescent="0.3">
      <c r="B55" t="s">
        <v>472</v>
      </c>
      <c r="C55">
        <v>78</v>
      </c>
      <c r="D55">
        <v>1126.8</v>
      </c>
      <c r="E55">
        <v>8</v>
      </c>
      <c r="F55">
        <v>2.2000000000000002</v>
      </c>
      <c r="G55">
        <v>11.9</v>
      </c>
      <c r="H55">
        <v>0.1</v>
      </c>
      <c r="I55">
        <v>0</v>
      </c>
      <c r="J55">
        <v>222.2</v>
      </c>
      <c r="K55" s="64">
        <f t="shared" si="0"/>
        <v>0.73748911465892597</v>
      </c>
      <c r="L55" s="64">
        <f t="shared" si="1"/>
        <v>55.420699300699305</v>
      </c>
      <c r="M55" s="67"/>
      <c r="N55" s="67"/>
      <c r="O55" s="67"/>
    </row>
    <row r="56" spans="1:22" ht="14.25" customHeight="1" x14ac:dyDescent="0.3">
      <c r="B56" t="s">
        <v>473</v>
      </c>
      <c r="C56">
        <v>69.599999999999994</v>
      </c>
      <c r="D56">
        <v>1046</v>
      </c>
      <c r="E56">
        <v>7</v>
      </c>
      <c r="F56">
        <v>0</v>
      </c>
      <c r="G56">
        <v>0</v>
      </c>
      <c r="H56">
        <v>0</v>
      </c>
      <c r="I56">
        <v>0.6</v>
      </c>
      <c r="J56">
        <v>187.6</v>
      </c>
      <c r="K56" s="64">
        <f t="shared" si="0"/>
        <v>0</v>
      </c>
      <c r="L56" s="64">
        <f t="shared" si="1"/>
        <v>51.446620046620055</v>
      </c>
      <c r="M56" s="67"/>
      <c r="N56" s="67"/>
      <c r="O56" s="67"/>
    </row>
    <row r="57" spans="1:22" ht="14.25" customHeight="1" x14ac:dyDescent="0.3">
      <c r="A57" t="s">
        <v>731</v>
      </c>
      <c r="B57" t="s">
        <v>501</v>
      </c>
      <c r="C57">
        <v>68.900000000000006</v>
      </c>
      <c r="D57">
        <v>925.2</v>
      </c>
      <c r="E57">
        <v>10.199999999999999</v>
      </c>
      <c r="F57">
        <v>0</v>
      </c>
      <c r="G57">
        <v>0</v>
      </c>
      <c r="H57">
        <v>0</v>
      </c>
      <c r="I57">
        <v>0.2</v>
      </c>
      <c r="J57">
        <v>187.8</v>
      </c>
      <c r="K57" s="64">
        <f t="shared" si="0"/>
        <v>0</v>
      </c>
      <c r="L57" s="64">
        <f t="shared" si="1"/>
        <v>45.505174825174826</v>
      </c>
      <c r="M57" s="66">
        <f>C59*Scoring!$B$34+D59/Scoring!$C$34+E59*Scoring!$D$34+WR!F59*Scoring!$E$34+WR!G59/Scoring!$F$34+WR!H59*Scoring!$G$34+WR!I59*Scoring!$H$34+K59*Scoring!$I$34+WR!L59*Scoring!$J$34+U57</f>
        <v>178.09999999999997</v>
      </c>
      <c r="N57" s="66">
        <f>C57*Scoring!$B$34+D57/Scoring!$C$34+E57*Scoring!$D$34+WR!F57*Scoring!$E$34+WR!G57/Scoring!$F$34+WR!H57*Scoring!$G$34+WR!I57*Scoring!$H$34+K57*Scoring!$I$34+WR!L57*Scoring!$J$34+U57</f>
        <v>187.77</v>
      </c>
      <c r="O57" s="66">
        <f>C58*Scoring!$B$34+D58/Scoring!$C$34+E58*Scoring!$D$34+WR!F58*Scoring!$E$34+WR!G58/Scoring!$F$34+WR!H58*Scoring!$G$34+WR!I58*Scoring!$H$34+K58*Scoring!$I$34+WR!L58*Scoring!$J$34+U57</f>
        <v>199.95</v>
      </c>
      <c r="P57" s="20">
        <f>IF(COUNTIF(Rookies!$A:$A,A57)&gt;0,1,0)</f>
        <v>0</v>
      </c>
      <c r="S57" s="20">
        <f>V57/17</f>
        <v>11.04529411764706</v>
      </c>
      <c r="T57" s="20">
        <f>IF(P57=1,MAX(0,0.28*(12-S57)),0)</f>
        <v>0</v>
      </c>
      <c r="U57" s="20">
        <f>T57*17</f>
        <v>0</v>
      </c>
      <c r="V57" s="20">
        <f>C57*Scoring!$B$34+D57/Scoring!$C$34+E57*Scoring!$D$34+WR!F57*Scoring!$E$34+WR!G57/Scoring!$F$34+WR!H57*Scoring!$G$34+WR!I57*Scoring!$H$34+K57*Scoring!$I$34+WR!L57*Scoring!$J$34</f>
        <v>187.77</v>
      </c>
    </row>
    <row r="58" spans="1:22" ht="14.25" customHeight="1" x14ac:dyDescent="0.3">
      <c r="B58" t="s">
        <v>472</v>
      </c>
      <c r="C58">
        <v>70</v>
      </c>
      <c r="D58">
        <v>1013.5</v>
      </c>
      <c r="E58">
        <v>10.6</v>
      </c>
      <c r="F58">
        <v>0</v>
      </c>
      <c r="G58">
        <v>0</v>
      </c>
      <c r="H58">
        <v>0</v>
      </c>
      <c r="I58">
        <v>0</v>
      </c>
      <c r="J58">
        <v>220.5</v>
      </c>
      <c r="K58" s="64">
        <f t="shared" si="0"/>
        <v>0</v>
      </c>
      <c r="L58" s="64">
        <f t="shared" si="1"/>
        <v>49.848135198135203</v>
      </c>
      <c r="M58" s="67"/>
      <c r="N58" s="67"/>
      <c r="O58" s="67"/>
    </row>
    <row r="59" spans="1:22" ht="14.25" customHeight="1" x14ac:dyDescent="0.3">
      <c r="B59" t="s">
        <v>473</v>
      </c>
      <c r="C59">
        <v>67.599999999999994</v>
      </c>
      <c r="D59">
        <v>851</v>
      </c>
      <c r="E59">
        <v>10</v>
      </c>
      <c r="F59">
        <v>0</v>
      </c>
      <c r="G59">
        <v>0</v>
      </c>
      <c r="H59">
        <v>0</v>
      </c>
      <c r="I59">
        <v>0.4</v>
      </c>
      <c r="J59">
        <v>172.4</v>
      </c>
      <c r="K59" s="64">
        <f t="shared" si="0"/>
        <v>0</v>
      </c>
      <c r="L59" s="64">
        <f t="shared" si="1"/>
        <v>41.855710955710954</v>
      </c>
      <c r="M59" s="67"/>
      <c r="N59" s="67"/>
      <c r="O59" s="67"/>
    </row>
    <row r="60" spans="1:22" ht="14.25" customHeight="1" x14ac:dyDescent="0.3">
      <c r="A60" t="s">
        <v>732</v>
      </c>
      <c r="B60" t="s">
        <v>483</v>
      </c>
      <c r="C60">
        <v>70.8</v>
      </c>
      <c r="D60">
        <v>965.3</v>
      </c>
      <c r="E60">
        <v>9.1</v>
      </c>
      <c r="F60">
        <v>0</v>
      </c>
      <c r="G60">
        <v>0</v>
      </c>
      <c r="H60">
        <v>0</v>
      </c>
      <c r="I60">
        <v>0.2</v>
      </c>
      <c r="J60">
        <v>186.2</v>
      </c>
      <c r="K60" s="64">
        <f t="shared" si="0"/>
        <v>0</v>
      </c>
      <c r="L60" s="64">
        <f t="shared" si="1"/>
        <v>47.477459207459212</v>
      </c>
      <c r="M60" s="66">
        <f>C62*Scoring!$B$34+D62/Scoring!$C$34+E62*Scoring!$D$34+WR!F62*Scoring!$E$34+WR!G62/Scoring!$F$34+WR!H62*Scoring!$G$34+WR!I62*Scoring!$H$34+K62*Scoring!$I$34+WR!L62*Scoring!$J$34+U60</f>
        <v>170.29999999999998</v>
      </c>
      <c r="N60" s="66">
        <f>C60*Scoring!$B$34+D60/Scoring!$C$34+E60*Scoring!$D$34+WR!F60*Scoring!$E$34+WR!G60/Scoring!$F$34+WR!H60*Scoring!$G$34+WR!I60*Scoring!$H$34+K60*Scoring!$I$34+WR!L60*Scoring!$J$34+U60</f>
        <v>186.13</v>
      </c>
      <c r="O60" s="66">
        <f>C61*Scoring!$B$34+D61/Scoring!$C$34+E61*Scoring!$D$34+WR!F61*Scoring!$E$34+WR!G61/Scoring!$F$34+WR!H61*Scoring!$G$34+WR!I61*Scoring!$H$34+K61*Scoring!$I$34+WR!L61*Scoring!$J$34+U60</f>
        <v>206.5</v>
      </c>
      <c r="P60" s="20">
        <f>IF(COUNTIF(Rookies!$A:$A,A60)&gt;0,1,0)</f>
        <v>0</v>
      </c>
      <c r="S60" s="20">
        <f>V60/17</f>
        <v>10.948823529411765</v>
      </c>
      <c r="T60" s="20">
        <f>IF(P60=1,MAX(0,0.28*(12-S60)),0)</f>
        <v>0</v>
      </c>
      <c r="U60" s="20">
        <f>T60*17</f>
        <v>0</v>
      </c>
      <c r="V60" s="20">
        <f>C60*Scoring!$B$34+D60/Scoring!$C$34+E60*Scoring!$D$34+WR!F60*Scoring!$E$34+WR!G60/Scoring!$F$34+WR!H60*Scoring!$G$34+WR!I60*Scoring!$H$34+K60*Scoring!$I$34+WR!L60*Scoring!$J$34</f>
        <v>186.13</v>
      </c>
    </row>
    <row r="61" spans="1:22" ht="14.25" customHeight="1" x14ac:dyDescent="0.3">
      <c r="B61" t="s">
        <v>472</v>
      </c>
      <c r="C61">
        <v>74</v>
      </c>
      <c r="D61">
        <v>1035</v>
      </c>
      <c r="E61">
        <v>11</v>
      </c>
      <c r="F61">
        <v>0</v>
      </c>
      <c r="G61">
        <v>0</v>
      </c>
      <c r="H61">
        <v>0</v>
      </c>
      <c r="I61">
        <v>0</v>
      </c>
      <c r="J61">
        <v>206.5</v>
      </c>
      <c r="K61" s="64">
        <f t="shared" si="0"/>
        <v>0</v>
      </c>
      <c r="L61" s="64">
        <f t="shared" si="1"/>
        <v>50.905594405594407</v>
      </c>
      <c r="M61" s="67"/>
      <c r="N61" s="67"/>
      <c r="O61" s="67"/>
    </row>
    <row r="62" spans="1:22" ht="14.25" customHeight="1" x14ac:dyDescent="0.3">
      <c r="B62" t="s">
        <v>473</v>
      </c>
      <c r="C62">
        <v>65</v>
      </c>
      <c r="D62">
        <v>906</v>
      </c>
      <c r="E62">
        <v>8</v>
      </c>
      <c r="F62">
        <v>0</v>
      </c>
      <c r="G62">
        <v>0</v>
      </c>
      <c r="H62">
        <v>0</v>
      </c>
      <c r="I62">
        <v>0.4</v>
      </c>
      <c r="J62">
        <v>181</v>
      </c>
      <c r="K62" s="64">
        <f t="shared" si="0"/>
        <v>0</v>
      </c>
      <c r="L62" s="64">
        <f t="shared" si="1"/>
        <v>44.560839160839166</v>
      </c>
      <c r="M62" s="67"/>
      <c r="N62" s="67"/>
      <c r="O62" s="67"/>
    </row>
    <row r="63" spans="1:22" ht="14.25" customHeight="1" x14ac:dyDescent="0.3">
      <c r="A63" t="s">
        <v>733</v>
      </c>
      <c r="B63" t="s">
        <v>503</v>
      </c>
      <c r="C63">
        <v>64.5</v>
      </c>
      <c r="D63">
        <v>1065.8</v>
      </c>
      <c r="E63">
        <v>6.6</v>
      </c>
      <c r="F63">
        <v>7.7</v>
      </c>
      <c r="G63">
        <v>42.4</v>
      </c>
      <c r="H63">
        <v>0.5</v>
      </c>
      <c r="I63">
        <v>0.2</v>
      </c>
      <c r="J63">
        <v>185.2</v>
      </c>
      <c r="K63" s="64">
        <f t="shared" si="0"/>
        <v>2.6276923076923078</v>
      </c>
      <c r="L63" s="64">
        <f t="shared" si="1"/>
        <v>52.420466200466201</v>
      </c>
      <c r="M63" s="66">
        <f>C65*Scoring!$B$34+D65/Scoring!$C$34+E65*Scoring!$D$34+WR!F65*Scoring!$E$34+WR!G65/Scoring!$F$34+WR!H65*Scoring!$G$34+WR!I65*Scoring!$H$34+K65*Scoring!$I$34+WR!L65*Scoring!$J$34+U63</f>
        <v>171.55</v>
      </c>
      <c r="N63" s="66">
        <f>C63*Scoring!$B$34+D63/Scoring!$C$34+E63*Scoring!$D$34+WR!F63*Scoring!$E$34+WR!G63/Scoring!$F$34+WR!H63*Scoring!$G$34+WR!I63*Scoring!$H$34+K63*Scoring!$I$34+WR!L63*Scoring!$J$34+U63</f>
        <v>185.26999999999998</v>
      </c>
      <c r="O63" s="66">
        <f>C64*Scoring!$B$34+D64/Scoring!$C$34+E64*Scoring!$D$34+WR!F64*Scoring!$E$34+WR!G64/Scoring!$F$34+WR!H64*Scoring!$G$34+WR!I64*Scoring!$H$34+K64*Scoring!$I$34+WR!L64*Scoring!$J$34+U63</f>
        <v>194.32000000000002</v>
      </c>
      <c r="P63" s="20">
        <f>IF(COUNTIF(Rookies!$A:$A,A63)&gt;0,1,0)</f>
        <v>0</v>
      </c>
      <c r="S63" s="20">
        <f>V63/17</f>
        <v>10.898235294117645</v>
      </c>
      <c r="T63" s="20">
        <f>IF(P63=1,MAX(0,0.28*(12-S63)),0)</f>
        <v>0</v>
      </c>
      <c r="U63" s="20">
        <f>T63*17</f>
        <v>0</v>
      </c>
      <c r="V63" s="20">
        <f>C63*Scoring!$B$34+D63/Scoring!$C$34+E63*Scoring!$D$34+WR!F63*Scoring!$E$34+WR!G63/Scoring!$F$34+WR!H63*Scoring!$G$34+WR!I63*Scoring!$H$34+K63*Scoring!$I$34+WR!L63*Scoring!$J$34</f>
        <v>185.26999999999998</v>
      </c>
    </row>
    <row r="64" spans="1:22" ht="14.25" customHeight="1" x14ac:dyDescent="0.3">
      <c r="B64" t="s">
        <v>472</v>
      </c>
      <c r="C64">
        <v>66</v>
      </c>
      <c r="D64">
        <v>1088</v>
      </c>
      <c r="E64">
        <v>7</v>
      </c>
      <c r="F64">
        <v>8</v>
      </c>
      <c r="G64">
        <v>45.2</v>
      </c>
      <c r="H64">
        <v>1</v>
      </c>
      <c r="I64">
        <v>0</v>
      </c>
      <c r="J64">
        <v>220.2</v>
      </c>
      <c r="K64" s="64">
        <f t="shared" si="0"/>
        <v>2.8012191582002903</v>
      </c>
      <c r="L64" s="64">
        <f t="shared" si="1"/>
        <v>53.512354312354312</v>
      </c>
      <c r="M64" s="67"/>
      <c r="N64" s="67"/>
      <c r="O64" s="67"/>
    </row>
    <row r="65" spans="1:22" ht="14.25" customHeight="1" x14ac:dyDescent="0.3">
      <c r="B65" t="s">
        <v>473</v>
      </c>
      <c r="C65">
        <v>63</v>
      </c>
      <c r="D65">
        <v>1026.5</v>
      </c>
      <c r="E65">
        <v>5.7</v>
      </c>
      <c r="F65">
        <v>7</v>
      </c>
      <c r="G65">
        <v>40</v>
      </c>
      <c r="H65">
        <v>0</v>
      </c>
      <c r="I65">
        <v>0.4</v>
      </c>
      <c r="J65">
        <v>176.5</v>
      </c>
      <c r="K65" s="64">
        <f t="shared" si="0"/>
        <v>2.4789550072568942</v>
      </c>
      <c r="L65" s="64">
        <f t="shared" si="1"/>
        <v>50.487529137529144</v>
      </c>
      <c r="M65" s="67"/>
      <c r="N65" s="67"/>
      <c r="O65" s="67"/>
    </row>
    <row r="66" spans="1:22" ht="14.25" customHeight="1" x14ac:dyDescent="0.3">
      <c r="A66" t="s">
        <v>734</v>
      </c>
      <c r="B66" t="s">
        <v>497</v>
      </c>
      <c r="C66">
        <v>79.2</v>
      </c>
      <c r="D66">
        <v>1009.1</v>
      </c>
      <c r="E66">
        <v>6.4</v>
      </c>
      <c r="F66">
        <v>0</v>
      </c>
      <c r="G66">
        <v>0</v>
      </c>
      <c r="H66">
        <v>0</v>
      </c>
      <c r="I66">
        <v>0.3</v>
      </c>
      <c r="J66">
        <v>178.6</v>
      </c>
      <c r="K66" s="64">
        <f t="shared" si="0"/>
        <v>0</v>
      </c>
      <c r="L66" s="64">
        <f t="shared" si="1"/>
        <v>49.631724941724947</v>
      </c>
      <c r="M66" s="66">
        <f>C68*Scoring!$B$34+D68/Scoring!$C$34+E68*Scoring!$D$34+WR!F68*Scoring!$E$34+WR!G68/Scoring!$F$34+WR!H68*Scoring!$G$34+WR!I68*Scoring!$H$34+K68*Scoring!$I$34+WR!L68*Scoring!$J$34+U66</f>
        <v>168.4</v>
      </c>
      <c r="N66" s="66">
        <f>C66*Scoring!$B$34+D66/Scoring!$C$34+E66*Scoring!$D$34+WR!F66*Scoring!$E$34+WR!G66/Scoring!$F$34+WR!H66*Scoring!$G$34+WR!I66*Scoring!$H$34+K66*Scoring!$I$34+WR!L66*Scoring!$J$34+U66</f>
        <v>178.31</v>
      </c>
      <c r="O66" s="66">
        <f>C67*Scoring!$B$34+D67/Scoring!$C$34+E67*Scoring!$D$34+WR!F67*Scoring!$E$34+WR!G67/Scoring!$F$34+WR!H67*Scoring!$G$34+WR!I67*Scoring!$H$34+K67*Scoring!$I$34+WR!L67*Scoring!$J$34+U66</f>
        <v>186.92000000000002</v>
      </c>
      <c r="P66" s="20">
        <f>IF(COUNTIF(Rookies!$A:$A,A66)&gt;0,1,0)</f>
        <v>0</v>
      </c>
      <c r="S66" s="20">
        <f>V66/17</f>
        <v>10.488823529411764</v>
      </c>
      <c r="T66" s="20">
        <f>IF(P66=1,MAX(0,0.28*(12-S66)),0)</f>
        <v>0</v>
      </c>
      <c r="U66" s="20">
        <f>T66*17</f>
        <v>0</v>
      </c>
      <c r="V66" s="20">
        <f>C66*Scoring!$B$34+D66/Scoring!$C$34+E66*Scoring!$D$34+WR!F66*Scoring!$E$34+WR!G66/Scoring!$F$34+WR!H66*Scoring!$G$34+WR!I66*Scoring!$H$34+K66*Scoring!$I$34+WR!L66*Scoring!$J$34</f>
        <v>178.31</v>
      </c>
    </row>
    <row r="67" spans="1:22" ht="14.25" customHeight="1" x14ac:dyDescent="0.3">
      <c r="B67" t="s">
        <v>472</v>
      </c>
      <c r="C67">
        <v>82</v>
      </c>
      <c r="D67">
        <v>1039.2</v>
      </c>
      <c r="E67">
        <v>7</v>
      </c>
      <c r="F67">
        <v>0</v>
      </c>
      <c r="G67">
        <v>0</v>
      </c>
      <c r="H67">
        <v>0</v>
      </c>
      <c r="I67">
        <v>0</v>
      </c>
      <c r="J67">
        <v>209.2</v>
      </c>
      <c r="K67" s="64">
        <f t="shared" ref="K67:K130" si="2">IFERROR(G67/F67/6.89*0.427*F67,0)</f>
        <v>0</v>
      </c>
      <c r="L67" s="64">
        <f t="shared" ref="L67:L130" si="3">IFERROR(D67/C67/12.87*0.633*C67,0)</f>
        <v>51.112167832167842</v>
      </c>
      <c r="M67" s="67"/>
      <c r="N67" s="67"/>
      <c r="O67" s="67"/>
    </row>
    <row r="68" spans="1:22" ht="14.25" customHeight="1" x14ac:dyDescent="0.3">
      <c r="B68" t="s">
        <v>473</v>
      </c>
      <c r="C68">
        <v>76</v>
      </c>
      <c r="D68">
        <v>956</v>
      </c>
      <c r="E68">
        <v>6</v>
      </c>
      <c r="F68">
        <v>0</v>
      </c>
      <c r="G68">
        <v>0</v>
      </c>
      <c r="H68">
        <v>0</v>
      </c>
      <c r="I68">
        <v>0.6</v>
      </c>
      <c r="J68">
        <v>176.6</v>
      </c>
      <c r="K68" s="64">
        <f t="shared" si="2"/>
        <v>0</v>
      </c>
      <c r="L68" s="64">
        <f t="shared" si="3"/>
        <v>47.020046620046621</v>
      </c>
      <c r="M68" s="67"/>
      <c r="N68" s="67"/>
      <c r="O68" s="67"/>
    </row>
    <row r="69" spans="1:22" ht="14.25" customHeight="1" x14ac:dyDescent="0.3">
      <c r="A69" t="s">
        <v>735</v>
      </c>
      <c r="B69" t="s">
        <v>479</v>
      </c>
      <c r="C69">
        <v>68.599999999999994</v>
      </c>
      <c r="D69">
        <v>971.1</v>
      </c>
      <c r="E69">
        <v>7.4</v>
      </c>
      <c r="F69">
        <v>0.3</v>
      </c>
      <c r="G69">
        <v>0.3</v>
      </c>
      <c r="H69">
        <v>0</v>
      </c>
      <c r="I69">
        <v>0.3</v>
      </c>
      <c r="J69">
        <v>175</v>
      </c>
      <c r="K69" s="64">
        <f t="shared" si="2"/>
        <v>1.8592162554426705E-2</v>
      </c>
      <c r="L69" s="64">
        <f t="shared" si="3"/>
        <v>47.762727272727282</v>
      </c>
      <c r="M69" s="66">
        <f>C71*Scoring!$B$34+D71/Scoring!$C$34+E71*Scoring!$D$34+WR!F71*Scoring!$E$34+WR!G71/Scoring!$F$34+WR!H71*Scoring!$G$34+WR!I71*Scoring!$H$34+K71*Scoring!$I$34+WR!L71*Scoring!$J$34+U69</f>
        <v>159.30000000000001</v>
      </c>
      <c r="N69" s="66">
        <f>C69*Scoring!$B$34+D69/Scoring!$C$34+E69*Scoring!$D$34+WR!F69*Scoring!$E$34+WR!G69/Scoring!$F$34+WR!H69*Scoring!$G$34+WR!I69*Scoring!$H$34+K69*Scoring!$I$34+WR!L69*Scoring!$J$34+U69</f>
        <v>175.24</v>
      </c>
      <c r="O69" s="66">
        <f>C70*Scoring!$B$34+D70/Scoring!$C$34+E70*Scoring!$D$34+WR!F70*Scoring!$E$34+WR!G70/Scoring!$F$34+WR!H70*Scoring!$G$34+WR!I70*Scoring!$H$34+K70*Scoring!$I$34+WR!L70*Scoring!$J$34+U69</f>
        <v>203.63</v>
      </c>
      <c r="P69" s="20">
        <f>IF(COUNTIF(Rookies!$A:$A,A69)&gt;0,1,0)</f>
        <v>0</v>
      </c>
      <c r="S69" s="20">
        <f>V69/17</f>
        <v>10.308235294117647</v>
      </c>
      <c r="T69" s="20">
        <f>IF(P69=1,MAX(0,0.28*(12-S69)),0)</f>
        <v>0</v>
      </c>
      <c r="U69" s="20">
        <f>T69*17</f>
        <v>0</v>
      </c>
      <c r="V69" s="20">
        <f>C69*Scoring!$B$34+D69/Scoring!$C$34+E69*Scoring!$D$34+WR!F69*Scoring!$E$34+WR!G69/Scoring!$F$34+WR!H69*Scoring!$G$34+WR!I69*Scoring!$H$34+K69*Scoring!$I$34+WR!L69*Scoring!$J$34</f>
        <v>175.24</v>
      </c>
    </row>
    <row r="70" spans="1:22" ht="14.25" customHeight="1" x14ac:dyDescent="0.3">
      <c r="B70" t="s">
        <v>472</v>
      </c>
      <c r="C70">
        <v>76.8</v>
      </c>
      <c r="D70">
        <v>1051.3</v>
      </c>
      <c r="E70">
        <v>10</v>
      </c>
      <c r="F70">
        <v>1</v>
      </c>
      <c r="G70">
        <v>1</v>
      </c>
      <c r="H70">
        <v>0</v>
      </c>
      <c r="I70">
        <v>0</v>
      </c>
      <c r="J70">
        <v>196.5</v>
      </c>
      <c r="K70" s="64">
        <f t="shared" si="2"/>
        <v>6.1973875181422347E-2</v>
      </c>
      <c r="L70" s="64">
        <f t="shared" si="3"/>
        <v>51.707296037296047</v>
      </c>
      <c r="M70" s="67"/>
      <c r="N70" s="67"/>
      <c r="O70" s="67"/>
    </row>
    <row r="71" spans="1:22" ht="14.25" customHeight="1" x14ac:dyDescent="0.3">
      <c r="B71" t="s">
        <v>473</v>
      </c>
      <c r="C71">
        <v>64</v>
      </c>
      <c r="D71">
        <v>925</v>
      </c>
      <c r="E71">
        <v>6</v>
      </c>
      <c r="F71">
        <v>0</v>
      </c>
      <c r="G71">
        <v>0</v>
      </c>
      <c r="H71">
        <v>0</v>
      </c>
      <c r="I71">
        <v>0.6</v>
      </c>
      <c r="J71">
        <v>175.7</v>
      </c>
      <c r="K71" s="64">
        <f t="shared" si="2"/>
        <v>0</v>
      </c>
      <c r="L71" s="64">
        <f t="shared" si="3"/>
        <v>45.495337995338005</v>
      </c>
      <c r="M71" s="67"/>
      <c r="N71" s="67"/>
      <c r="O71" s="67"/>
    </row>
    <row r="72" spans="1:22" ht="14.25" customHeight="1" x14ac:dyDescent="0.3">
      <c r="A72" t="s">
        <v>736</v>
      </c>
      <c r="B72" t="s">
        <v>495</v>
      </c>
      <c r="C72">
        <v>62.3</v>
      </c>
      <c r="D72">
        <v>964.9</v>
      </c>
      <c r="E72">
        <v>7.8</v>
      </c>
      <c r="F72">
        <v>0.3</v>
      </c>
      <c r="G72">
        <v>1.3</v>
      </c>
      <c r="H72">
        <v>0</v>
      </c>
      <c r="I72">
        <v>0.3</v>
      </c>
      <c r="J72">
        <v>174</v>
      </c>
      <c r="K72" s="64">
        <f t="shared" si="2"/>
        <v>8.0566037735849069E-2</v>
      </c>
      <c r="L72" s="64">
        <f t="shared" si="3"/>
        <v>47.457785547785555</v>
      </c>
      <c r="M72" s="66">
        <f>C74*Scoring!$B$34+D74/Scoring!$C$34+E74*Scoring!$D$34+WR!F74*Scoring!$E$34+WR!G74/Scoring!$F$34+WR!H74*Scoring!$G$34+WR!I74*Scoring!$H$34+K74*Scoring!$I$34+WR!L74*Scoring!$J$34+U72</f>
        <v>162.35000000000002</v>
      </c>
      <c r="N72" s="66">
        <f>C72*Scoring!$B$34+D72/Scoring!$C$34+E72*Scoring!$D$34+WR!F72*Scoring!$E$34+WR!G72/Scoring!$F$34+WR!H72*Scoring!$G$34+WR!I72*Scoring!$H$34+K72*Scoring!$I$34+WR!L72*Scoring!$J$34+U72</f>
        <v>173.97</v>
      </c>
      <c r="O72" s="66">
        <f>C73*Scoring!$B$34+D73/Scoring!$C$34+E73*Scoring!$D$34+WR!F73*Scoring!$E$34+WR!G73/Scoring!$F$34+WR!H73*Scoring!$G$34+WR!I73*Scoring!$H$34+K73*Scoring!$I$34+WR!L73*Scoring!$J$34+U72</f>
        <v>186.68</v>
      </c>
      <c r="P72" s="20">
        <f>IF(COUNTIF(Rookies!$A:$A,A72)&gt;0,1,0)</f>
        <v>0</v>
      </c>
      <c r="S72" s="20">
        <f>V72/17</f>
        <v>10.233529411764707</v>
      </c>
      <c r="T72" s="20">
        <f>IF(P72=1,MAX(0,0.28*(12-S72)),0)</f>
        <v>0</v>
      </c>
      <c r="U72" s="20">
        <f>T72*17</f>
        <v>0</v>
      </c>
      <c r="V72" s="20">
        <f>C72*Scoring!$B$34+D72/Scoring!$C$34+E72*Scoring!$D$34+WR!F72*Scoring!$E$34+WR!G72/Scoring!$F$34+WR!H72*Scoring!$G$34+WR!I72*Scoring!$H$34+K72*Scoring!$I$34+WR!L72*Scoring!$J$34</f>
        <v>173.97</v>
      </c>
    </row>
    <row r="73" spans="1:22" ht="14.25" customHeight="1" x14ac:dyDescent="0.3">
      <c r="B73" t="s">
        <v>472</v>
      </c>
      <c r="C73">
        <v>65</v>
      </c>
      <c r="D73">
        <v>1033.8</v>
      </c>
      <c r="E73">
        <v>8.4</v>
      </c>
      <c r="F73">
        <v>1</v>
      </c>
      <c r="G73">
        <v>4</v>
      </c>
      <c r="H73">
        <v>0</v>
      </c>
      <c r="I73">
        <v>0</v>
      </c>
      <c r="J73">
        <v>200.1</v>
      </c>
      <c r="K73" s="64">
        <f t="shared" si="2"/>
        <v>0.24789550072568939</v>
      </c>
      <c r="L73" s="64">
        <f t="shared" si="3"/>
        <v>50.846573426573428</v>
      </c>
      <c r="M73" s="67"/>
      <c r="N73" s="67"/>
      <c r="O73" s="67"/>
    </row>
    <row r="74" spans="1:22" ht="14.25" customHeight="1" x14ac:dyDescent="0.3">
      <c r="B74" t="s">
        <v>473</v>
      </c>
      <c r="C74">
        <v>59.9</v>
      </c>
      <c r="D74">
        <v>916</v>
      </c>
      <c r="E74">
        <v>7</v>
      </c>
      <c r="F74">
        <v>0</v>
      </c>
      <c r="G74">
        <v>0</v>
      </c>
      <c r="H74">
        <v>0</v>
      </c>
      <c r="I74">
        <v>0.6</v>
      </c>
      <c r="J74">
        <v>162.1</v>
      </c>
      <c r="K74" s="64">
        <f t="shared" si="2"/>
        <v>0</v>
      </c>
      <c r="L74" s="64">
        <f t="shared" si="3"/>
        <v>45.052680652680657</v>
      </c>
      <c r="M74" s="67"/>
      <c r="N74" s="67"/>
      <c r="O74" s="67"/>
    </row>
    <row r="75" spans="1:22" ht="14.25" customHeight="1" x14ac:dyDescent="0.3">
      <c r="A75" t="s">
        <v>737</v>
      </c>
      <c r="B75" t="s">
        <v>471</v>
      </c>
      <c r="C75">
        <v>69.099999999999994</v>
      </c>
      <c r="D75">
        <v>904.6</v>
      </c>
      <c r="E75">
        <v>7</v>
      </c>
      <c r="F75">
        <v>10.3</v>
      </c>
      <c r="G75">
        <v>54</v>
      </c>
      <c r="H75">
        <v>0.5</v>
      </c>
      <c r="I75">
        <v>0.8</v>
      </c>
      <c r="J75">
        <v>173.6</v>
      </c>
      <c r="K75" s="64">
        <f t="shared" si="2"/>
        <v>3.346589259796807</v>
      </c>
      <c r="L75" s="64">
        <f t="shared" si="3"/>
        <v>44.491981351981352</v>
      </c>
      <c r="M75" s="66">
        <f>C77*Scoring!$B$34+D77/Scoring!$C$34+E77*Scoring!$D$34+WR!F77*Scoring!$E$34+WR!G77/Scoring!$F$34+WR!H77*Scoring!$G$34+WR!I77*Scoring!$H$34+K77*Scoring!$I$34+WR!L77*Scoring!$J$34+U75</f>
        <v>152.5</v>
      </c>
      <c r="N75" s="66">
        <f>C75*Scoring!$B$34+D75/Scoring!$C$34+E75*Scoring!$D$34+WR!F75*Scoring!$E$34+WR!G75/Scoring!$F$34+WR!H75*Scoring!$G$34+WR!I75*Scoring!$H$34+K75*Scoring!$I$34+WR!L75*Scoring!$J$34+U75</f>
        <v>173.81</v>
      </c>
      <c r="O75" s="66">
        <f>C76*Scoring!$B$34+D76/Scoring!$C$34+E76*Scoring!$D$34+WR!F76*Scoring!$E$34+WR!G76/Scoring!$F$34+WR!H76*Scoring!$G$34+WR!I76*Scoring!$H$34+K76*Scoring!$I$34+WR!L76*Scoring!$J$34+U75</f>
        <v>191.9</v>
      </c>
      <c r="P75" s="20">
        <f>IF(COUNTIF(Rookies!$A:$A,A75)&gt;0,1,0)</f>
        <v>0</v>
      </c>
      <c r="S75" s="20">
        <f>V75/17</f>
        <v>10.224117647058824</v>
      </c>
      <c r="T75" s="20">
        <f>IF(P75=1,MAX(0,0.28*(12-S75)),0)</f>
        <v>0</v>
      </c>
      <c r="U75" s="20">
        <f>T75*17</f>
        <v>0</v>
      </c>
      <c r="V75" s="20">
        <f>C75*Scoring!$B$34+D75/Scoring!$C$34+E75*Scoring!$D$34+WR!F75*Scoring!$E$34+WR!G75/Scoring!$F$34+WR!H75*Scoring!$G$34+WR!I75*Scoring!$H$34+K75*Scoring!$I$34+WR!L75*Scoring!$J$34</f>
        <v>173.81</v>
      </c>
    </row>
    <row r="76" spans="1:22" ht="14.25" customHeight="1" x14ac:dyDescent="0.3">
      <c r="B76" t="s">
        <v>472</v>
      </c>
      <c r="C76">
        <v>71</v>
      </c>
      <c r="D76">
        <v>955</v>
      </c>
      <c r="E76">
        <v>8</v>
      </c>
      <c r="F76">
        <v>16</v>
      </c>
      <c r="G76">
        <v>81</v>
      </c>
      <c r="H76">
        <v>1</v>
      </c>
      <c r="I76">
        <v>0.6</v>
      </c>
      <c r="J76">
        <v>206</v>
      </c>
      <c r="K76" s="64">
        <f t="shared" si="2"/>
        <v>5.0198838896952109</v>
      </c>
      <c r="L76" s="64">
        <f t="shared" si="3"/>
        <v>46.970862470862471</v>
      </c>
      <c r="M76" s="67"/>
      <c r="N76" s="67"/>
      <c r="O76" s="67"/>
    </row>
    <row r="77" spans="1:22" ht="14.25" customHeight="1" x14ac:dyDescent="0.3">
      <c r="B77" t="s">
        <v>473</v>
      </c>
      <c r="C77">
        <v>67.2</v>
      </c>
      <c r="D77">
        <v>813</v>
      </c>
      <c r="E77">
        <v>6</v>
      </c>
      <c r="F77">
        <v>6.9</v>
      </c>
      <c r="G77">
        <v>36</v>
      </c>
      <c r="H77">
        <v>0</v>
      </c>
      <c r="I77">
        <v>1</v>
      </c>
      <c r="J77">
        <v>161.5</v>
      </c>
      <c r="K77" s="64">
        <f t="shared" si="2"/>
        <v>2.2310595065312047</v>
      </c>
      <c r="L77" s="64">
        <f t="shared" si="3"/>
        <v>39.986713286713282</v>
      </c>
      <c r="M77" s="67"/>
      <c r="N77" s="67"/>
      <c r="O77" s="67"/>
    </row>
    <row r="78" spans="1:22" ht="14.25" customHeight="1" x14ac:dyDescent="0.3">
      <c r="A78" t="s">
        <v>738</v>
      </c>
      <c r="B78" t="s">
        <v>499</v>
      </c>
      <c r="C78">
        <v>74.5</v>
      </c>
      <c r="D78">
        <v>992</v>
      </c>
      <c r="E78">
        <v>6</v>
      </c>
      <c r="F78">
        <v>1.7</v>
      </c>
      <c r="G78">
        <v>12.4</v>
      </c>
      <c r="H78">
        <v>0</v>
      </c>
      <c r="I78">
        <v>0.3</v>
      </c>
      <c r="J78">
        <v>173.2</v>
      </c>
      <c r="K78" s="64">
        <f t="shared" si="2"/>
        <v>0.76847605224963722</v>
      </c>
      <c r="L78" s="64">
        <f t="shared" si="3"/>
        <v>48.790675990675993</v>
      </c>
      <c r="M78" s="66">
        <f>C80*Scoring!$B$34+D80/Scoring!$C$34+E80*Scoring!$D$34+WR!F80*Scoring!$E$34+WR!G80/Scoring!$F$34+WR!H80*Scoring!$G$34+WR!I80*Scoring!$H$34+K80*Scoring!$I$34+WR!L80*Scoring!$J$34+U78</f>
        <v>169.29999999999998</v>
      </c>
      <c r="N78" s="66">
        <f>C78*Scoring!$B$34+D78/Scoring!$C$34+E78*Scoring!$D$34+WR!F78*Scoring!$E$34+WR!G78/Scoring!$F$34+WR!H78*Scoring!$G$34+WR!I78*Scoring!$H$34+K78*Scoring!$I$34+WR!L78*Scoring!$J$34+U78</f>
        <v>173.09</v>
      </c>
      <c r="O78" s="66">
        <f>C79*Scoring!$B$34+D79/Scoring!$C$34+E79*Scoring!$D$34+WR!F79*Scoring!$E$34+WR!G79/Scoring!$F$34+WR!H79*Scoring!$G$34+WR!I79*Scoring!$H$34+K79*Scoring!$I$34+WR!L79*Scoring!$J$34+U78</f>
        <v>176.95</v>
      </c>
      <c r="P78" s="20">
        <f>IF(COUNTIF(Rookies!$A:$A,A78)&gt;0,1,0)</f>
        <v>0</v>
      </c>
      <c r="S78" s="20">
        <f>V78/17</f>
        <v>10.181764705882353</v>
      </c>
      <c r="T78" s="20">
        <f>IF(P78=1,MAX(0,0.28*(12-S78)),0)</f>
        <v>0</v>
      </c>
      <c r="U78" s="20">
        <f>T78*17</f>
        <v>0</v>
      </c>
      <c r="V78" s="20">
        <f>C78*Scoring!$B$34+D78/Scoring!$C$34+E78*Scoring!$D$34+WR!F78*Scoring!$E$34+WR!G78/Scoring!$F$34+WR!H78*Scoring!$G$34+WR!I78*Scoring!$H$34+K78*Scoring!$I$34+WR!L78*Scoring!$J$34</f>
        <v>173.09</v>
      </c>
    </row>
    <row r="79" spans="1:22" ht="14.25" customHeight="1" x14ac:dyDescent="0.3">
      <c r="B79" t="s">
        <v>472</v>
      </c>
      <c r="C79">
        <v>76.5</v>
      </c>
      <c r="D79">
        <v>996</v>
      </c>
      <c r="E79">
        <v>6</v>
      </c>
      <c r="F79">
        <v>3</v>
      </c>
      <c r="G79">
        <v>25</v>
      </c>
      <c r="H79">
        <v>0.1</v>
      </c>
      <c r="I79">
        <v>0</v>
      </c>
      <c r="J79">
        <v>208</v>
      </c>
      <c r="K79" s="64">
        <f t="shared" si="2"/>
        <v>1.5493468795355587</v>
      </c>
      <c r="L79" s="64">
        <f t="shared" si="3"/>
        <v>48.987412587412592</v>
      </c>
      <c r="M79" s="67"/>
      <c r="N79" s="67"/>
      <c r="O79" s="67"/>
    </row>
    <row r="80" spans="1:22" ht="14.25" customHeight="1" x14ac:dyDescent="0.3">
      <c r="B80" t="s">
        <v>473</v>
      </c>
      <c r="C80">
        <v>72</v>
      </c>
      <c r="D80">
        <v>987</v>
      </c>
      <c r="E80">
        <v>6</v>
      </c>
      <c r="F80">
        <v>0</v>
      </c>
      <c r="G80">
        <v>0</v>
      </c>
      <c r="H80">
        <v>0</v>
      </c>
      <c r="I80">
        <v>0.7</v>
      </c>
      <c r="J80">
        <v>164.3</v>
      </c>
      <c r="K80" s="64">
        <f t="shared" si="2"/>
        <v>0</v>
      </c>
      <c r="L80" s="64">
        <f t="shared" si="3"/>
        <v>48.544755244755251</v>
      </c>
      <c r="M80" s="67"/>
      <c r="N80" s="67"/>
      <c r="O80" s="67"/>
    </row>
    <row r="81" spans="1:22" ht="14.25" customHeight="1" x14ac:dyDescent="0.3">
      <c r="A81" t="s">
        <v>739</v>
      </c>
      <c r="B81" t="s">
        <v>495</v>
      </c>
      <c r="C81">
        <v>72.599999999999994</v>
      </c>
      <c r="D81">
        <v>974.5</v>
      </c>
      <c r="E81">
        <v>5.7</v>
      </c>
      <c r="F81">
        <v>7.7</v>
      </c>
      <c r="G81">
        <v>37.9</v>
      </c>
      <c r="H81">
        <v>0.1</v>
      </c>
      <c r="I81">
        <v>0.3</v>
      </c>
      <c r="J81">
        <v>171.8</v>
      </c>
      <c r="K81" s="64">
        <f t="shared" si="2"/>
        <v>2.348809869375907</v>
      </c>
      <c r="L81" s="64">
        <f t="shared" si="3"/>
        <v>47.929953379953382</v>
      </c>
      <c r="M81" s="66">
        <f>C83*Scoring!$B$34+D83/Scoring!$C$34+E83*Scoring!$D$34+WR!F83*Scoring!$E$34+WR!G83/Scoring!$F$34+WR!H83*Scoring!$G$34+WR!I83*Scoring!$H$34+K83*Scoring!$I$34+WR!L83*Scoring!$J$34+U81</f>
        <v>159.99999999999997</v>
      </c>
      <c r="N81" s="66">
        <f>C81*Scoring!$B$34+D81/Scoring!$C$34+E81*Scoring!$D$34+WR!F81*Scoring!$E$34+WR!G81/Scoring!$F$34+WR!H81*Scoring!$G$34+WR!I81*Scoring!$H$34+K81*Scoring!$I$34+WR!L81*Scoring!$J$34+U81</f>
        <v>171.73999999999998</v>
      </c>
      <c r="O81" s="66">
        <f>C82*Scoring!$B$34+D82/Scoring!$C$34+E82*Scoring!$D$34+WR!F82*Scoring!$E$34+WR!G82/Scoring!$F$34+WR!H82*Scoring!$G$34+WR!I82*Scoring!$H$34+K82*Scoring!$I$34+WR!L82*Scoring!$J$34+U81</f>
        <v>186.78</v>
      </c>
      <c r="P81" s="20">
        <f>IF(COUNTIF(Rookies!$A:$A,A81)&gt;0,1,0)</f>
        <v>0</v>
      </c>
      <c r="S81" s="20">
        <f>V81/17</f>
        <v>10.10235294117647</v>
      </c>
      <c r="T81" s="20">
        <f>IF(P81=1,MAX(0,0.28*(12-S81)),0)</f>
        <v>0</v>
      </c>
      <c r="U81" s="20">
        <f>T81*17</f>
        <v>0</v>
      </c>
      <c r="V81" s="20">
        <f>C81*Scoring!$B$34+D81/Scoring!$C$34+E81*Scoring!$D$34+WR!F81*Scoring!$E$34+WR!G81/Scoring!$F$34+WR!H81*Scoring!$G$34+WR!I81*Scoring!$H$34+K81*Scoring!$I$34+WR!L81*Scoring!$J$34</f>
        <v>171.73999999999998</v>
      </c>
    </row>
    <row r="82" spans="1:22" ht="14.25" customHeight="1" x14ac:dyDescent="0.3">
      <c r="B82" t="s">
        <v>472</v>
      </c>
      <c r="C82">
        <v>75.8</v>
      </c>
      <c r="D82">
        <v>1056</v>
      </c>
      <c r="E82">
        <v>6</v>
      </c>
      <c r="F82">
        <v>9</v>
      </c>
      <c r="G82">
        <v>48.8</v>
      </c>
      <c r="H82">
        <v>0.4</v>
      </c>
      <c r="I82">
        <v>0</v>
      </c>
      <c r="J82">
        <v>203.2</v>
      </c>
      <c r="K82" s="64">
        <f t="shared" si="2"/>
        <v>3.0243251088534104</v>
      </c>
      <c r="L82" s="64">
        <f t="shared" si="3"/>
        <v>51.938461538461546</v>
      </c>
      <c r="M82" s="67"/>
      <c r="N82" s="67"/>
      <c r="O82" s="67"/>
    </row>
    <row r="83" spans="1:22" ht="14.25" customHeight="1" x14ac:dyDescent="0.3">
      <c r="B83" t="s">
        <v>473</v>
      </c>
      <c r="C83">
        <v>70</v>
      </c>
      <c r="D83">
        <v>926</v>
      </c>
      <c r="E83">
        <v>5.0999999999999996</v>
      </c>
      <c r="F83">
        <v>6</v>
      </c>
      <c r="G83">
        <v>32</v>
      </c>
      <c r="H83">
        <v>0</v>
      </c>
      <c r="I83">
        <v>0.7</v>
      </c>
      <c r="J83">
        <v>167.4</v>
      </c>
      <c r="K83" s="64">
        <f t="shared" si="2"/>
        <v>1.9831640058055151</v>
      </c>
      <c r="L83" s="64">
        <f t="shared" si="3"/>
        <v>45.544522144522141</v>
      </c>
      <c r="M83" s="67"/>
      <c r="N83" s="67"/>
      <c r="O83" s="67"/>
    </row>
    <row r="84" spans="1:22" ht="14.25" customHeight="1" x14ac:dyDescent="0.3">
      <c r="A84" t="s">
        <v>741</v>
      </c>
      <c r="B84" t="s">
        <v>515</v>
      </c>
      <c r="C84">
        <v>58</v>
      </c>
      <c r="D84">
        <v>922.9</v>
      </c>
      <c r="E84">
        <v>7.7</v>
      </c>
      <c r="F84">
        <v>1.7</v>
      </c>
      <c r="G84">
        <v>8.6</v>
      </c>
      <c r="H84">
        <v>0</v>
      </c>
      <c r="I84">
        <v>0.3</v>
      </c>
      <c r="J84">
        <v>168.2</v>
      </c>
      <c r="K84" s="64">
        <f t="shared" si="2"/>
        <v>0.53297532656023228</v>
      </c>
      <c r="L84" s="64">
        <f t="shared" si="3"/>
        <v>45.392051282051284</v>
      </c>
      <c r="M84" s="66">
        <f>C86*Scoring!$B$34+D86/Scoring!$C$34+E86*Scoring!$D$34+WR!F86*Scoring!$E$34+WR!G86/Scoring!$F$34+WR!H86*Scoring!$G$34+WR!I86*Scoring!$H$34+K86*Scoring!$I$34+WR!L86*Scoring!$J$34+U84</f>
        <v>155.78</v>
      </c>
      <c r="N84" s="66">
        <f>C84*Scoring!$B$34+D84/Scoring!$C$34+E84*Scoring!$D$34+WR!F84*Scoring!$E$34+WR!G84/Scoring!$F$34+WR!H84*Scoring!$G$34+WR!I84*Scoring!$H$34+K84*Scoring!$I$34+WR!L84*Scoring!$J$34+U84</f>
        <v>167.75000000000003</v>
      </c>
      <c r="O84" s="66">
        <f>C85*Scoring!$B$34+D85/Scoring!$C$34+E85*Scoring!$D$34+WR!F85*Scoring!$E$34+WR!G85/Scoring!$F$34+WR!H85*Scoring!$G$34+WR!I85*Scoring!$H$34+K85*Scoring!$I$34+WR!L85*Scoring!$J$34+U84</f>
        <v>186.6</v>
      </c>
      <c r="P84" s="20">
        <f>IF(COUNTIF(Rookies!$A:$A,A84)&gt;0,1,0)</f>
        <v>0</v>
      </c>
      <c r="S84" s="20">
        <f>V84/17</f>
        <v>9.8676470588235308</v>
      </c>
      <c r="T84" s="20">
        <f>IF(P84=1,MAX(0,0.28*(12-S84)),0)</f>
        <v>0</v>
      </c>
      <c r="U84" s="20">
        <f>T84*17</f>
        <v>0</v>
      </c>
      <c r="V84" s="20">
        <f>C84*Scoring!$B$34+D84/Scoring!$C$34+E84*Scoring!$D$34+WR!F84*Scoring!$E$34+WR!G84/Scoring!$F$34+WR!H84*Scoring!$G$34+WR!I84*Scoring!$H$34+K84*Scoring!$I$34+WR!L84*Scoring!$J$34</f>
        <v>167.75000000000003</v>
      </c>
    </row>
    <row r="85" spans="1:22" ht="14.25" customHeight="1" x14ac:dyDescent="0.3">
      <c r="B85" t="s">
        <v>472</v>
      </c>
      <c r="C85">
        <v>65</v>
      </c>
      <c r="D85">
        <v>982</v>
      </c>
      <c r="E85">
        <v>9</v>
      </c>
      <c r="F85">
        <v>3</v>
      </c>
      <c r="G85">
        <v>13</v>
      </c>
      <c r="H85">
        <v>0.1</v>
      </c>
      <c r="I85">
        <v>0</v>
      </c>
      <c r="J85">
        <v>201.7</v>
      </c>
      <c r="K85" s="64">
        <f t="shared" si="2"/>
        <v>0.8056603773584905</v>
      </c>
      <c r="L85" s="64">
        <f t="shared" si="3"/>
        <v>48.298834498834502</v>
      </c>
      <c r="M85" s="67"/>
      <c r="N85" s="67"/>
      <c r="O85" s="67"/>
    </row>
    <row r="86" spans="1:22" ht="14.25" customHeight="1" x14ac:dyDescent="0.3">
      <c r="B86" t="s">
        <v>473</v>
      </c>
      <c r="C86">
        <v>53</v>
      </c>
      <c r="D86">
        <v>882.8</v>
      </c>
      <c r="E86">
        <v>7</v>
      </c>
      <c r="F86">
        <v>0</v>
      </c>
      <c r="G86">
        <v>0</v>
      </c>
      <c r="H86">
        <v>0</v>
      </c>
      <c r="I86">
        <v>0.5</v>
      </c>
      <c r="J86">
        <v>161.80000000000001</v>
      </c>
      <c r="K86" s="64">
        <f t="shared" si="2"/>
        <v>0</v>
      </c>
      <c r="L86" s="64">
        <f t="shared" si="3"/>
        <v>43.419766899766898</v>
      </c>
      <c r="M86" s="67"/>
      <c r="N86" s="67"/>
      <c r="O86" s="67"/>
    </row>
    <row r="87" spans="1:22" ht="14.25" customHeight="1" x14ac:dyDescent="0.3">
      <c r="A87" t="s">
        <v>742</v>
      </c>
      <c r="B87" t="s">
        <v>499</v>
      </c>
      <c r="C87">
        <v>67.400000000000006</v>
      </c>
      <c r="D87">
        <v>884.4</v>
      </c>
      <c r="E87">
        <v>7.2</v>
      </c>
      <c r="F87">
        <v>0</v>
      </c>
      <c r="G87">
        <v>0</v>
      </c>
      <c r="H87">
        <v>0</v>
      </c>
      <c r="I87">
        <v>0.2</v>
      </c>
      <c r="J87">
        <v>164.8</v>
      </c>
      <c r="K87" s="64">
        <f t="shared" si="2"/>
        <v>0</v>
      </c>
      <c r="L87" s="64">
        <f t="shared" si="3"/>
        <v>43.498461538461534</v>
      </c>
      <c r="M87" s="66">
        <f>C89*Scoring!$B$34+D89/Scoring!$C$34+E89*Scoring!$D$34+WR!F89*Scoring!$E$34+WR!G89/Scoring!$F$34+WR!H89*Scoring!$G$34+WR!I89*Scoring!$H$34+K89*Scoring!$I$34+WR!L89*Scoring!$J$34+U87</f>
        <v>157.30000000000001</v>
      </c>
      <c r="N87" s="66">
        <f>C87*Scoring!$B$34+D87/Scoring!$C$34+E87*Scoring!$D$34+WR!F87*Scoring!$E$34+WR!G87/Scoring!$F$34+WR!H87*Scoring!$G$34+WR!I87*Scoring!$H$34+K87*Scoring!$I$34+WR!L87*Scoring!$J$34+U87</f>
        <v>164.94</v>
      </c>
      <c r="O87" s="66">
        <f>C88*Scoring!$B$34+D88/Scoring!$C$34+E88*Scoring!$D$34+WR!F88*Scoring!$E$34+WR!G88/Scoring!$F$34+WR!H88*Scoring!$G$34+WR!I88*Scoring!$H$34+K88*Scoring!$I$34+WR!L88*Scoring!$J$34+U87</f>
        <v>171.7</v>
      </c>
      <c r="P87" s="20">
        <f>IF(COUNTIF(Rookies!$A:$A,A87)&gt;0,1,0)</f>
        <v>0</v>
      </c>
      <c r="S87" s="20">
        <f>V87/17</f>
        <v>9.7023529411764713</v>
      </c>
      <c r="T87" s="20">
        <f>IF(P87=1,MAX(0,0.28*(12-S87)),0)</f>
        <v>0</v>
      </c>
      <c r="U87" s="20">
        <f>T87*17</f>
        <v>0</v>
      </c>
      <c r="V87" s="20">
        <f>C87*Scoring!$B$34+D87/Scoring!$C$34+E87*Scoring!$D$34+WR!F87*Scoring!$E$34+WR!G87/Scoring!$F$34+WR!H87*Scoring!$G$34+WR!I87*Scoring!$H$34+K87*Scoring!$I$34+WR!L87*Scoring!$J$34</f>
        <v>164.94</v>
      </c>
    </row>
    <row r="88" spans="1:22" ht="14.25" customHeight="1" x14ac:dyDescent="0.3">
      <c r="B88" t="s">
        <v>472</v>
      </c>
      <c r="C88">
        <v>70</v>
      </c>
      <c r="D88">
        <v>911</v>
      </c>
      <c r="E88">
        <v>7.6</v>
      </c>
      <c r="F88">
        <v>0</v>
      </c>
      <c r="G88">
        <v>0</v>
      </c>
      <c r="H88">
        <v>0</v>
      </c>
      <c r="I88">
        <v>0</v>
      </c>
      <c r="J88">
        <v>192</v>
      </c>
      <c r="K88" s="64">
        <f t="shared" si="2"/>
        <v>0</v>
      </c>
      <c r="L88" s="64">
        <f t="shared" si="3"/>
        <v>44.806759906759915</v>
      </c>
      <c r="M88" s="67"/>
      <c r="N88" s="67"/>
      <c r="O88" s="67"/>
    </row>
    <row r="89" spans="1:22" ht="14.25" customHeight="1" x14ac:dyDescent="0.3">
      <c r="B89" t="s">
        <v>473</v>
      </c>
      <c r="C89">
        <v>63</v>
      </c>
      <c r="D89">
        <v>848</v>
      </c>
      <c r="E89">
        <v>7</v>
      </c>
      <c r="F89">
        <v>0</v>
      </c>
      <c r="G89">
        <v>0</v>
      </c>
      <c r="H89">
        <v>0</v>
      </c>
      <c r="I89">
        <v>0.5</v>
      </c>
      <c r="J89">
        <v>158.69999999999999</v>
      </c>
      <c r="K89" s="64">
        <f t="shared" si="2"/>
        <v>0</v>
      </c>
      <c r="L89" s="64">
        <f t="shared" si="3"/>
        <v>41.708158508158519</v>
      </c>
      <c r="M89" s="67"/>
      <c r="N89" s="67"/>
      <c r="O89" s="67"/>
    </row>
    <row r="90" spans="1:22" ht="14.25" customHeight="1" x14ac:dyDescent="0.3">
      <c r="A90" t="s">
        <v>743</v>
      </c>
      <c r="B90" t="s">
        <v>511</v>
      </c>
      <c r="C90">
        <v>56.3</v>
      </c>
      <c r="D90">
        <v>974.9</v>
      </c>
      <c r="E90">
        <v>6.4</v>
      </c>
      <c r="F90">
        <v>0</v>
      </c>
      <c r="G90">
        <v>0</v>
      </c>
      <c r="H90">
        <v>0</v>
      </c>
      <c r="I90">
        <v>0.2</v>
      </c>
      <c r="J90">
        <v>163.69999999999999</v>
      </c>
      <c r="K90" s="64">
        <f t="shared" si="2"/>
        <v>0</v>
      </c>
      <c r="L90" s="64">
        <f t="shared" si="3"/>
        <v>47.949627039627039</v>
      </c>
      <c r="M90" s="66">
        <f>C92*Scoring!$B$34+D92/Scoring!$C$34+E92*Scoring!$D$34+WR!F92*Scoring!$E$34+WR!G92/Scoring!$F$34+WR!H92*Scoring!$G$34+WR!I92*Scoring!$H$34+K92*Scoring!$I$34+WR!L92*Scoring!$J$34+U90</f>
        <v>145.19999999999999</v>
      </c>
      <c r="N90" s="66">
        <f>C90*Scoring!$B$34+D90/Scoring!$C$34+E90*Scoring!$D$34+WR!F90*Scoring!$E$34+WR!G90/Scoring!$F$34+WR!H90*Scoring!$G$34+WR!I90*Scoring!$H$34+K90*Scoring!$I$34+WR!L90*Scoring!$J$34+U90</f>
        <v>163.63999999999999</v>
      </c>
      <c r="O90" s="66">
        <f>C91*Scoring!$B$34+D91/Scoring!$C$34+E91*Scoring!$D$34+WR!F91*Scoring!$E$34+WR!G91/Scoring!$F$34+WR!H91*Scoring!$G$34+WR!I91*Scoring!$H$34+K91*Scoring!$I$34+WR!L91*Scoring!$J$34+U90</f>
        <v>190.7</v>
      </c>
      <c r="P90" s="20">
        <f>IF(COUNTIF(Rookies!$A:$A,A90)&gt;0,1,0)</f>
        <v>0</v>
      </c>
      <c r="S90" s="20">
        <f>V90/17</f>
        <v>9.6258823529411757</v>
      </c>
      <c r="T90" s="20">
        <f>IF(P90=1,MAX(0,0.28*(12-S90)),0)</f>
        <v>0</v>
      </c>
      <c r="U90" s="20">
        <f>T90*17</f>
        <v>0</v>
      </c>
      <c r="V90" s="20">
        <f>C90*Scoring!$B$34+D90/Scoring!$C$34+E90*Scoring!$D$34+WR!F90*Scoring!$E$34+WR!G90/Scoring!$F$34+WR!H90*Scoring!$G$34+WR!I90*Scoring!$H$34+K90*Scoring!$I$34+WR!L90*Scoring!$J$34</f>
        <v>163.63999999999999</v>
      </c>
    </row>
    <row r="91" spans="1:22" ht="14.25" customHeight="1" x14ac:dyDescent="0.3">
      <c r="B91" t="s">
        <v>472</v>
      </c>
      <c r="C91">
        <v>60</v>
      </c>
      <c r="D91">
        <v>1067</v>
      </c>
      <c r="E91">
        <v>9</v>
      </c>
      <c r="F91">
        <v>0</v>
      </c>
      <c r="G91">
        <v>0</v>
      </c>
      <c r="H91">
        <v>0</v>
      </c>
      <c r="I91">
        <v>0</v>
      </c>
      <c r="J91">
        <v>180.2</v>
      </c>
      <c r="K91" s="64">
        <f t="shared" si="2"/>
        <v>0</v>
      </c>
      <c r="L91" s="64">
        <f t="shared" si="3"/>
        <v>52.479487179487187</v>
      </c>
      <c r="M91" s="67"/>
      <c r="N91" s="67"/>
      <c r="O91" s="67"/>
    </row>
    <row r="92" spans="1:22" ht="14.25" customHeight="1" x14ac:dyDescent="0.3">
      <c r="B92" t="s">
        <v>473</v>
      </c>
      <c r="C92">
        <v>49</v>
      </c>
      <c r="D92">
        <v>917</v>
      </c>
      <c r="E92">
        <v>5</v>
      </c>
      <c r="F92">
        <v>0</v>
      </c>
      <c r="G92">
        <v>0</v>
      </c>
      <c r="H92">
        <v>0</v>
      </c>
      <c r="I92">
        <v>0.5</v>
      </c>
      <c r="J92">
        <v>153.69999999999999</v>
      </c>
      <c r="K92" s="64">
        <f t="shared" si="2"/>
        <v>0</v>
      </c>
      <c r="L92" s="64">
        <f t="shared" si="3"/>
        <v>45.101864801864807</v>
      </c>
      <c r="M92" s="67"/>
      <c r="N92" s="67"/>
      <c r="O92" s="67"/>
    </row>
    <row r="93" spans="1:22" ht="14.25" customHeight="1" x14ac:dyDescent="0.3">
      <c r="A93" t="s">
        <v>744</v>
      </c>
      <c r="B93" t="s">
        <v>527</v>
      </c>
      <c r="C93">
        <v>66.2</v>
      </c>
      <c r="D93">
        <v>946.2</v>
      </c>
      <c r="E93">
        <v>6</v>
      </c>
      <c r="F93">
        <v>0</v>
      </c>
      <c r="G93">
        <v>0</v>
      </c>
      <c r="H93">
        <v>0</v>
      </c>
      <c r="I93">
        <v>0.3</v>
      </c>
      <c r="J93">
        <v>163.19999999999999</v>
      </c>
      <c r="K93" s="64">
        <f t="shared" si="2"/>
        <v>0</v>
      </c>
      <c r="L93" s="64">
        <f t="shared" si="3"/>
        <v>46.538041958041966</v>
      </c>
      <c r="M93" s="66">
        <f>C95*Scoring!$B$34+D95/Scoring!$C$34+E95*Scoring!$D$34+WR!F95*Scoring!$E$34+WR!G95/Scoring!$F$34+WR!H95*Scoring!$G$34+WR!I95*Scoring!$H$34+K95*Scoring!$I$34+WR!L95*Scoring!$J$34+U93</f>
        <v>154.10000000000002</v>
      </c>
      <c r="N93" s="66">
        <f>C93*Scoring!$B$34+D93/Scoring!$C$34+E93*Scoring!$D$34+WR!F93*Scoring!$E$34+WR!G93/Scoring!$F$34+WR!H93*Scoring!$G$34+WR!I93*Scoring!$H$34+K93*Scoring!$I$34+WR!L93*Scoring!$J$34+U93</f>
        <v>163.12</v>
      </c>
      <c r="O93" s="66">
        <f>C94*Scoring!$B$34+D94/Scoring!$C$34+E94*Scoring!$D$34+WR!F94*Scoring!$E$34+WR!G94/Scoring!$F$34+WR!H94*Scoring!$G$34+WR!I94*Scoring!$H$34+K94*Scoring!$I$34+WR!L94*Scoring!$J$34+U93</f>
        <v>171.72</v>
      </c>
      <c r="P93" s="20">
        <f>IF(COUNTIF(Rookies!$A:$A,A93)&gt;0,1,0)</f>
        <v>0</v>
      </c>
      <c r="S93" s="20">
        <f>V93/17</f>
        <v>9.5952941176470592</v>
      </c>
      <c r="T93" s="20">
        <f>IF(P93=1,MAX(0,0.28*(12-S93)),0)</f>
        <v>0</v>
      </c>
      <c r="U93" s="20">
        <f>T93*17</f>
        <v>0</v>
      </c>
      <c r="V93" s="20">
        <f>C93*Scoring!$B$34+D93/Scoring!$C$34+E93*Scoring!$D$34+WR!F93*Scoring!$E$34+WR!G93/Scoring!$F$34+WR!H93*Scoring!$G$34+WR!I93*Scoring!$H$34+K93*Scoring!$I$34+WR!L93*Scoring!$J$34</f>
        <v>163.12</v>
      </c>
    </row>
    <row r="94" spans="1:22" ht="14.25" customHeight="1" x14ac:dyDescent="0.3">
      <c r="B94" t="s">
        <v>472</v>
      </c>
      <c r="C94">
        <v>68.7</v>
      </c>
      <c r="D94">
        <v>953.7</v>
      </c>
      <c r="E94">
        <v>7</v>
      </c>
      <c r="F94">
        <v>0</v>
      </c>
      <c r="G94">
        <v>0</v>
      </c>
      <c r="H94">
        <v>0</v>
      </c>
      <c r="I94">
        <v>0</v>
      </c>
      <c r="J94">
        <v>194.4</v>
      </c>
      <c r="K94" s="64">
        <f t="shared" si="2"/>
        <v>0</v>
      </c>
      <c r="L94" s="64">
        <f t="shared" si="3"/>
        <v>46.906923076923078</v>
      </c>
      <c r="M94" s="67"/>
      <c r="N94" s="67"/>
      <c r="O94" s="67"/>
    </row>
    <row r="95" spans="1:22" ht="14.25" customHeight="1" x14ac:dyDescent="0.3">
      <c r="B95" t="s">
        <v>473</v>
      </c>
      <c r="C95">
        <v>64</v>
      </c>
      <c r="D95">
        <v>933</v>
      </c>
      <c r="E95">
        <v>5</v>
      </c>
      <c r="F95">
        <v>0</v>
      </c>
      <c r="G95">
        <v>0</v>
      </c>
      <c r="H95">
        <v>0</v>
      </c>
      <c r="I95">
        <v>0.6</v>
      </c>
      <c r="J95">
        <v>158</v>
      </c>
      <c r="K95" s="64">
        <f t="shared" si="2"/>
        <v>0</v>
      </c>
      <c r="L95" s="64">
        <f t="shared" si="3"/>
        <v>45.888811188811196</v>
      </c>
      <c r="M95" s="67"/>
      <c r="N95" s="67"/>
      <c r="O95" s="67"/>
    </row>
    <row r="96" spans="1:22" ht="14.25" customHeight="1" x14ac:dyDescent="0.3">
      <c r="A96" t="s">
        <v>740</v>
      </c>
      <c r="B96" t="s">
        <v>487</v>
      </c>
      <c r="C96">
        <v>64.900000000000006</v>
      </c>
      <c r="D96">
        <v>914.5</v>
      </c>
      <c r="E96">
        <v>6.6</v>
      </c>
      <c r="F96">
        <v>0</v>
      </c>
      <c r="G96">
        <v>0</v>
      </c>
      <c r="H96">
        <v>0</v>
      </c>
      <c r="I96">
        <v>0.2</v>
      </c>
      <c r="J96">
        <v>163.1</v>
      </c>
      <c r="K96" s="64">
        <f t="shared" si="2"/>
        <v>0</v>
      </c>
      <c r="L96" s="64">
        <f t="shared" si="3"/>
        <v>44.978904428904443</v>
      </c>
      <c r="M96" s="66">
        <f>C98*Scoring!$B$34+D98/Scoring!$C$34+E98*Scoring!$D$34+WR!F98*Scoring!$E$34+WR!G98/Scoring!$F$34+WR!H98*Scoring!$G$34+WR!I98*Scoring!$H$34+K98*Scoring!$I$34+WR!L98*Scoring!$J$34+U96</f>
        <v>151.23999999999998</v>
      </c>
      <c r="N96" s="66">
        <f>C96*Scoring!$B$34+D96/Scoring!$C$34+E96*Scoring!$D$34+WR!F96*Scoring!$E$34+WR!G96/Scoring!$F$34+WR!H96*Scoring!$G$34+WR!I96*Scoring!$H$34+K96*Scoring!$I$34+WR!L96*Scoring!$J$34+U96</f>
        <v>163.1</v>
      </c>
      <c r="O96" s="66">
        <f>C97*Scoring!$B$34+D97/Scoring!$C$34+E97*Scoring!$D$34+WR!F97*Scoring!$E$34+WR!G97/Scoring!$F$34+WR!H97*Scoring!$G$34+WR!I97*Scoring!$H$34+K97*Scoring!$I$34+WR!L97*Scoring!$J$34+U96</f>
        <v>172</v>
      </c>
      <c r="P96" s="20">
        <f>IF(COUNTIF(Rookies!$A:$A,A96)&gt;0,1,0)</f>
        <v>0</v>
      </c>
      <c r="S96" s="20">
        <f>V96/17</f>
        <v>9.5941176470588232</v>
      </c>
      <c r="T96" s="20">
        <f>IF(P96=1,MAX(0,0.28*(12-S96)),0)</f>
        <v>0</v>
      </c>
      <c r="U96" s="20">
        <f>T96*17</f>
        <v>0</v>
      </c>
      <c r="V96" s="20">
        <f>C96*Scoring!$B$34+D96/Scoring!$C$34+E96*Scoring!$D$34+WR!F96*Scoring!$E$34+WR!G96/Scoring!$F$34+WR!H96*Scoring!$G$34+WR!I96*Scoring!$H$34+K96*Scoring!$I$34+WR!L96*Scoring!$J$34</f>
        <v>163.1</v>
      </c>
    </row>
    <row r="97" spans="1:22" ht="14.25" customHeight="1" x14ac:dyDescent="0.3">
      <c r="B97" t="s">
        <v>472</v>
      </c>
      <c r="C97">
        <v>69</v>
      </c>
      <c r="D97">
        <v>955</v>
      </c>
      <c r="E97">
        <v>7</v>
      </c>
      <c r="F97">
        <v>0</v>
      </c>
      <c r="G97">
        <v>0</v>
      </c>
      <c r="H97">
        <v>0</v>
      </c>
      <c r="I97">
        <v>0</v>
      </c>
      <c r="J97">
        <v>204.4</v>
      </c>
      <c r="K97" s="64">
        <f t="shared" si="2"/>
        <v>0</v>
      </c>
      <c r="L97" s="64">
        <f t="shared" si="3"/>
        <v>46.970862470862471</v>
      </c>
      <c r="M97" s="67"/>
      <c r="N97" s="67"/>
      <c r="O97" s="67"/>
    </row>
    <row r="98" spans="1:22" ht="14.25" customHeight="1" x14ac:dyDescent="0.3">
      <c r="B98" t="s">
        <v>473</v>
      </c>
      <c r="C98">
        <v>56.6</v>
      </c>
      <c r="D98">
        <v>889.4</v>
      </c>
      <c r="E98">
        <v>5.8</v>
      </c>
      <c r="F98">
        <v>0</v>
      </c>
      <c r="G98">
        <v>0</v>
      </c>
      <c r="H98">
        <v>0</v>
      </c>
      <c r="I98">
        <v>0.4</v>
      </c>
      <c r="J98">
        <v>155.4</v>
      </c>
      <c r="K98" s="64">
        <f t="shared" si="2"/>
        <v>0</v>
      </c>
      <c r="L98" s="64">
        <f t="shared" si="3"/>
        <v>43.744382284382283</v>
      </c>
      <c r="M98" s="67"/>
      <c r="N98" s="67"/>
      <c r="O98" s="67"/>
    </row>
    <row r="99" spans="1:22" ht="14.25" customHeight="1" x14ac:dyDescent="0.3">
      <c r="A99" t="s">
        <v>745</v>
      </c>
      <c r="B99" t="s">
        <v>529</v>
      </c>
      <c r="C99">
        <v>64.3</v>
      </c>
      <c r="D99">
        <v>926</v>
      </c>
      <c r="E99">
        <v>6.1</v>
      </c>
      <c r="F99">
        <v>0.7</v>
      </c>
      <c r="G99">
        <v>3.3</v>
      </c>
      <c r="H99">
        <v>0.3</v>
      </c>
      <c r="I99">
        <v>0.2</v>
      </c>
      <c r="J99">
        <v>163</v>
      </c>
      <c r="K99" s="64">
        <f t="shared" si="2"/>
        <v>0.20451378809869378</v>
      </c>
      <c r="L99" s="64">
        <f t="shared" si="3"/>
        <v>45.544522144522148</v>
      </c>
      <c r="M99" s="66">
        <f>C101*Scoring!$B$34+D101/Scoring!$C$34+E101*Scoring!$D$34+WR!F101*Scoring!$E$34+WR!G101/Scoring!$F$34+WR!H101*Scoring!$G$34+WR!I101*Scoring!$H$34+K101*Scoring!$I$34+WR!L101*Scoring!$J$34+U99</f>
        <v>154.5</v>
      </c>
      <c r="N99" s="66">
        <f>C99*Scoring!$B$34+D99/Scoring!$C$34+E99*Scoring!$D$34+WR!F99*Scoring!$E$34+WR!G99/Scoring!$F$34+WR!H99*Scoring!$G$34+WR!I99*Scoring!$H$34+K99*Scoring!$I$34+WR!L99*Scoring!$J$34+U99</f>
        <v>163.08000000000001</v>
      </c>
      <c r="O99" s="66">
        <f>C100*Scoring!$B$34+D100/Scoring!$C$34+E100*Scoring!$D$34+WR!F100*Scoring!$E$34+WR!G100/Scoring!$F$34+WR!H100*Scoring!$G$34+WR!I100*Scoring!$H$34+K100*Scoring!$I$34+WR!L100*Scoring!$J$34+U99</f>
        <v>172.11</v>
      </c>
      <c r="P99" s="20">
        <f>IF(COUNTIF(Rookies!$A:$A,A99)&gt;0,1,0)</f>
        <v>0</v>
      </c>
      <c r="S99" s="20">
        <f>V99/17</f>
        <v>9.592941176470589</v>
      </c>
      <c r="T99" s="20">
        <f>IF(P99=1,MAX(0,0.28*(12-S99)),0)</f>
        <v>0</v>
      </c>
      <c r="U99" s="20">
        <f>T99*17</f>
        <v>0</v>
      </c>
      <c r="V99" s="20">
        <f>C99*Scoring!$B$34+D99/Scoring!$C$34+E99*Scoring!$D$34+WR!F99*Scoring!$E$34+WR!G99/Scoring!$F$34+WR!H99*Scoring!$G$34+WR!I99*Scoring!$H$34+K99*Scoring!$I$34+WR!L99*Scoring!$J$34</f>
        <v>163.08000000000001</v>
      </c>
    </row>
    <row r="100" spans="1:22" ht="14.25" customHeight="1" x14ac:dyDescent="0.3">
      <c r="B100" t="s">
        <v>472</v>
      </c>
      <c r="C100">
        <v>67</v>
      </c>
      <c r="D100">
        <v>944.1</v>
      </c>
      <c r="E100">
        <v>6.2</v>
      </c>
      <c r="F100">
        <v>2</v>
      </c>
      <c r="G100">
        <v>10</v>
      </c>
      <c r="H100">
        <v>1</v>
      </c>
      <c r="I100">
        <v>0</v>
      </c>
      <c r="J100">
        <v>196</v>
      </c>
      <c r="K100" s="64">
        <f t="shared" si="2"/>
        <v>0.61973875181422355</v>
      </c>
      <c r="L100" s="64">
        <f t="shared" si="3"/>
        <v>46.434755244755245</v>
      </c>
      <c r="M100" s="67"/>
      <c r="N100" s="67"/>
      <c r="O100" s="67"/>
    </row>
    <row r="101" spans="1:22" ht="14.25" customHeight="1" x14ac:dyDescent="0.3">
      <c r="B101" t="s">
        <v>473</v>
      </c>
      <c r="C101">
        <v>61</v>
      </c>
      <c r="D101">
        <v>890</v>
      </c>
      <c r="E101">
        <v>6</v>
      </c>
      <c r="F101">
        <v>0</v>
      </c>
      <c r="G101">
        <v>0</v>
      </c>
      <c r="H101">
        <v>0</v>
      </c>
      <c r="I101">
        <v>0.5</v>
      </c>
      <c r="J101">
        <v>155.1</v>
      </c>
      <c r="K101" s="64">
        <f t="shared" si="2"/>
        <v>0</v>
      </c>
      <c r="L101" s="64">
        <f t="shared" si="3"/>
        <v>43.773892773892776</v>
      </c>
      <c r="M101" s="67"/>
      <c r="N101" s="67"/>
      <c r="O101" s="67"/>
    </row>
    <row r="102" spans="1:22" ht="14.25" customHeight="1" x14ac:dyDescent="0.3">
      <c r="A102" t="s">
        <v>746</v>
      </c>
      <c r="B102" t="s">
        <v>489</v>
      </c>
      <c r="C102">
        <v>62.6</v>
      </c>
      <c r="D102">
        <v>862.5</v>
      </c>
      <c r="E102">
        <v>5.7</v>
      </c>
      <c r="F102">
        <v>5</v>
      </c>
      <c r="G102">
        <v>13.7</v>
      </c>
      <c r="H102">
        <v>0.1</v>
      </c>
      <c r="I102">
        <v>0.4</v>
      </c>
      <c r="J102">
        <v>153.1</v>
      </c>
      <c r="K102" s="64">
        <f t="shared" si="2"/>
        <v>0.84904208998548614</v>
      </c>
      <c r="L102" s="64">
        <f t="shared" si="3"/>
        <v>42.421328671328673</v>
      </c>
      <c r="M102" s="66">
        <f>C104*Scoring!$B$34+D104/Scoring!$C$34+E104*Scoring!$D$34+WR!F104*Scoring!$E$34+WR!G104/Scoring!$F$34+WR!H104*Scoring!$G$34+WR!I104*Scoring!$H$34+K104*Scoring!$I$34+WR!L104*Scoring!$J$34+U102</f>
        <v>140.80000000000001</v>
      </c>
      <c r="N102" s="66">
        <f>C102*Scoring!$B$34+D102/Scoring!$C$34+E102*Scoring!$D$34+WR!F102*Scoring!$E$34+WR!G102/Scoring!$F$34+WR!H102*Scoring!$G$34+WR!I102*Scoring!$H$34+K102*Scoring!$I$34+WR!L102*Scoring!$J$34+U102</f>
        <v>152.91999999999999</v>
      </c>
      <c r="O102" s="66">
        <f>C103*Scoring!$B$34+D103/Scoring!$C$34+E103*Scoring!$D$34+WR!F103*Scoring!$E$34+WR!G103/Scoring!$F$34+WR!H103*Scoring!$G$34+WR!I103*Scoring!$H$34+K103*Scoring!$I$34+WR!L103*Scoring!$J$34+U102</f>
        <v>171.95000000000002</v>
      </c>
      <c r="P102" s="20">
        <f>IF(COUNTIF(Rookies!$A:$A,A102)&gt;0,1,0)</f>
        <v>0</v>
      </c>
      <c r="S102" s="20">
        <f>V102/17</f>
        <v>8.9952941176470578</v>
      </c>
      <c r="T102" s="20">
        <f>IF(P102=1,MAX(0,0.28*(12-S102)),0)</f>
        <v>0</v>
      </c>
      <c r="U102" s="20">
        <f>T102*17</f>
        <v>0</v>
      </c>
      <c r="V102" s="20">
        <f>C102*Scoring!$B$34+D102/Scoring!$C$34+E102*Scoring!$D$34+WR!F102*Scoring!$E$34+WR!G102/Scoring!$F$34+WR!H102*Scoring!$G$34+WR!I102*Scoring!$H$34+K102*Scoring!$I$34+WR!L102*Scoring!$J$34</f>
        <v>152.91999999999999</v>
      </c>
    </row>
    <row r="103" spans="1:22" ht="14.25" customHeight="1" x14ac:dyDescent="0.3">
      <c r="B103" t="s">
        <v>472</v>
      </c>
      <c r="C103">
        <v>63.7</v>
      </c>
      <c r="D103">
        <v>924</v>
      </c>
      <c r="E103">
        <v>7</v>
      </c>
      <c r="F103">
        <v>8</v>
      </c>
      <c r="G103">
        <v>39</v>
      </c>
      <c r="H103">
        <v>0.3</v>
      </c>
      <c r="I103">
        <v>0</v>
      </c>
      <c r="J103">
        <v>173.7</v>
      </c>
      <c r="K103" s="64">
        <f t="shared" si="2"/>
        <v>2.4169811320754717</v>
      </c>
      <c r="L103" s="64">
        <f t="shared" si="3"/>
        <v>45.446153846153848</v>
      </c>
      <c r="M103" s="67"/>
      <c r="N103" s="67"/>
      <c r="O103" s="67"/>
    </row>
    <row r="104" spans="1:22" ht="14.25" customHeight="1" x14ac:dyDescent="0.3">
      <c r="B104" t="s">
        <v>473</v>
      </c>
      <c r="C104">
        <v>62</v>
      </c>
      <c r="D104">
        <v>814</v>
      </c>
      <c r="E104">
        <v>5</v>
      </c>
      <c r="F104">
        <v>0</v>
      </c>
      <c r="G104">
        <v>0</v>
      </c>
      <c r="H104">
        <v>0</v>
      </c>
      <c r="I104">
        <v>0.8</v>
      </c>
      <c r="J104">
        <v>154.80000000000001</v>
      </c>
      <c r="K104" s="64">
        <f t="shared" si="2"/>
        <v>0</v>
      </c>
      <c r="L104" s="64">
        <f t="shared" si="3"/>
        <v>40.035897435897439</v>
      </c>
      <c r="M104" s="67"/>
      <c r="N104" s="67"/>
      <c r="O104" s="67"/>
    </row>
    <row r="105" spans="1:22" ht="14.25" customHeight="1" x14ac:dyDescent="0.3">
      <c r="A105" t="s">
        <v>747</v>
      </c>
      <c r="B105" t="s">
        <v>489</v>
      </c>
      <c r="C105">
        <v>58</v>
      </c>
      <c r="D105">
        <v>871.2</v>
      </c>
      <c r="E105">
        <v>5.4</v>
      </c>
      <c r="F105">
        <v>2.7</v>
      </c>
      <c r="G105">
        <v>17.7</v>
      </c>
      <c r="H105">
        <v>0.4</v>
      </c>
      <c r="I105">
        <v>0.2</v>
      </c>
      <c r="J105">
        <v>152.1</v>
      </c>
      <c r="K105" s="64">
        <f t="shared" si="2"/>
        <v>1.0969375907111756</v>
      </c>
      <c r="L105" s="64">
        <f t="shared" si="3"/>
        <v>42.849230769230779</v>
      </c>
      <c r="M105" s="66">
        <f>C107*Scoring!$B$34+D107/Scoring!$C$34+E107*Scoring!$D$34+WR!F107*Scoring!$E$34+WR!G107/Scoring!$F$34+WR!H107*Scoring!$G$34+WR!I107*Scoring!$H$34+K107*Scoring!$I$34+WR!L107*Scoring!$J$34+U105</f>
        <v>138.6</v>
      </c>
      <c r="N105" s="66">
        <f>C105*Scoring!$B$34+D105/Scoring!$C$34+E105*Scoring!$D$34+WR!F105*Scoring!$E$34+WR!G105/Scoring!$F$34+WR!H105*Scoring!$G$34+WR!I105*Scoring!$H$34+K105*Scoring!$I$34+WR!L105*Scoring!$J$34+U105</f>
        <v>152.29000000000002</v>
      </c>
      <c r="O105" s="66">
        <f>C106*Scoring!$B$34+D106/Scoring!$C$34+E106*Scoring!$D$34+WR!F106*Scoring!$E$34+WR!G106/Scoring!$F$34+WR!H106*Scoring!$G$34+WR!I106*Scoring!$H$34+K106*Scoring!$I$34+WR!L106*Scoring!$J$34+U105</f>
        <v>169.7</v>
      </c>
      <c r="P105" s="20">
        <f>IF(COUNTIF(Rookies!$A:$A,A105)&gt;0,1,0)</f>
        <v>0</v>
      </c>
      <c r="S105" s="20">
        <f>V105/17</f>
        <v>8.9582352941176477</v>
      </c>
      <c r="T105" s="20">
        <f>IF(P105=1,MAX(0,0.28*(12-S105)),0)</f>
        <v>0</v>
      </c>
      <c r="U105" s="20">
        <f>T105*17</f>
        <v>0</v>
      </c>
      <c r="V105" s="20">
        <f>C105*Scoring!$B$34+D105/Scoring!$C$34+E105*Scoring!$D$34+WR!F105*Scoring!$E$34+WR!G105/Scoring!$F$34+WR!H105*Scoring!$G$34+WR!I105*Scoring!$H$34+K105*Scoring!$I$34+WR!L105*Scoring!$J$34</f>
        <v>152.29000000000002</v>
      </c>
    </row>
    <row r="106" spans="1:22" ht="14.25" customHeight="1" x14ac:dyDescent="0.3">
      <c r="B106" t="s">
        <v>472</v>
      </c>
      <c r="C106">
        <v>61</v>
      </c>
      <c r="D106">
        <v>942</v>
      </c>
      <c r="E106">
        <v>6</v>
      </c>
      <c r="F106">
        <v>4</v>
      </c>
      <c r="G106">
        <v>30</v>
      </c>
      <c r="H106">
        <v>1</v>
      </c>
      <c r="I106">
        <v>0</v>
      </c>
      <c r="J106">
        <v>168.2</v>
      </c>
      <c r="K106" s="64">
        <f t="shared" si="2"/>
        <v>1.8592162554426708</v>
      </c>
      <c r="L106" s="64">
        <f t="shared" si="3"/>
        <v>46.331468531468531</v>
      </c>
      <c r="M106" s="67"/>
      <c r="N106" s="67"/>
      <c r="O106" s="67"/>
    </row>
    <row r="107" spans="1:22" ht="14.25" customHeight="1" x14ac:dyDescent="0.3">
      <c r="B107" t="s">
        <v>473</v>
      </c>
      <c r="C107">
        <v>56</v>
      </c>
      <c r="D107">
        <v>812</v>
      </c>
      <c r="E107">
        <v>5</v>
      </c>
      <c r="F107">
        <v>0</v>
      </c>
      <c r="G107">
        <v>0</v>
      </c>
      <c r="H107">
        <v>0</v>
      </c>
      <c r="I107">
        <v>0.3</v>
      </c>
      <c r="J107">
        <v>148.6</v>
      </c>
      <c r="K107" s="64">
        <f t="shared" si="2"/>
        <v>0</v>
      </c>
      <c r="L107" s="64">
        <f t="shared" si="3"/>
        <v>39.93752913752914</v>
      </c>
      <c r="M107" s="67"/>
      <c r="N107" s="67"/>
      <c r="O107" s="67"/>
    </row>
    <row r="108" spans="1:22" ht="14.25" customHeight="1" x14ac:dyDescent="0.3">
      <c r="A108" t="s">
        <v>748</v>
      </c>
      <c r="B108" t="s">
        <v>529</v>
      </c>
      <c r="C108">
        <v>80.5</v>
      </c>
      <c r="D108">
        <v>805.6</v>
      </c>
      <c r="E108">
        <v>5</v>
      </c>
      <c r="F108">
        <v>0</v>
      </c>
      <c r="G108">
        <v>0</v>
      </c>
      <c r="H108">
        <v>0</v>
      </c>
      <c r="I108">
        <v>0.3</v>
      </c>
      <c r="J108">
        <v>150</v>
      </c>
      <c r="K108" s="64">
        <f t="shared" si="2"/>
        <v>0</v>
      </c>
      <c r="L108" s="64">
        <f t="shared" si="3"/>
        <v>39.622750582750591</v>
      </c>
      <c r="M108" s="66">
        <f>C110*Scoring!$B$34+D110/Scoring!$C$34+E110*Scoring!$D$34+WR!F110*Scoring!$E$34+WR!G110/Scoring!$F$34+WR!H110*Scoring!$G$34+WR!I110*Scoring!$H$34+K110*Scoring!$I$34+WR!L110*Scoring!$J$34+U108</f>
        <v>127.69999999999999</v>
      </c>
      <c r="N108" s="66">
        <f>C108*Scoring!$B$34+D108/Scoring!$C$34+E108*Scoring!$D$34+WR!F108*Scoring!$E$34+WR!G108/Scoring!$F$34+WR!H108*Scoring!$G$34+WR!I108*Scoring!$H$34+K108*Scoring!$I$34+WR!L108*Scoring!$J$34+U108</f>
        <v>150.21</v>
      </c>
      <c r="O108" s="66">
        <f>C109*Scoring!$B$34+D109/Scoring!$C$34+E109*Scoring!$D$34+WR!F109*Scoring!$E$34+WR!G109/Scoring!$F$34+WR!H109*Scoring!$G$34+WR!I109*Scoring!$H$34+K109*Scoring!$I$34+WR!L109*Scoring!$J$34+U108</f>
        <v>167.9</v>
      </c>
      <c r="P108" s="20">
        <f>IF(COUNTIF(Rookies!$A:$A,A108)&gt;0,1,0)</f>
        <v>0</v>
      </c>
      <c r="S108" s="20">
        <f>V108/17</f>
        <v>8.8358823529411765</v>
      </c>
      <c r="T108" s="20">
        <f>IF(P108=1,MAX(0,0.28*(12-S108)),0)</f>
        <v>0</v>
      </c>
      <c r="U108" s="20">
        <f>T108*17</f>
        <v>0</v>
      </c>
      <c r="V108" s="20">
        <f>C108*Scoring!$B$34+D108/Scoring!$C$34+E108*Scoring!$D$34+WR!F108*Scoring!$E$34+WR!G108/Scoring!$F$34+WR!H108*Scoring!$G$34+WR!I108*Scoring!$H$34+K108*Scoring!$I$34+WR!L108*Scoring!$J$34</f>
        <v>150.21</v>
      </c>
    </row>
    <row r="109" spans="1:22" ht="14.25" customHeight="1" x14ac:dyDescent="0.3">
      <c r="B109" t="s">
        <v>472</v>
      </c>
      <c r="C109">
        <v>88.4</v>
      </c>
      <c r="D109">
        <v>877</v>
      </c>
      <c r="E109">
        <v>6</v>
      </c>
      <c r="F109">
        <v>0</v>
      </c>
      <c r="G109">
        <v>0</v>
      </c>
      <c r="H109">
        <v>0</v>
      </c>
      <c r="I109">
        <v>0</v>
      </c>
      <c r="J109">
        <v>195.9</v>
      </c>
      <c r="K109" s="64">
        <f t="shared" si="2"/>
        <v>0</v>
      </c>
      <c r="L109" s="64">
        <f t="shared" si="3"/>
        <v>43.134498834498835</v>
      </c>
      <c r="M109" s="67"/>
      <c r="N109" s="67"/>
      <c r="O109" s="67"/>
    </row>
    <row r="110" spans="1:22" ht="14.25" customHeight="1" x14ac:dyDescent="0.3">
      <c r="B110" t="s">
        <v>473</v>
      </c>
      <c r="C110">
        <v>76</v>
      </c>
      <c r="D110">
        <v>677</v>
      </c>
      <c r="E110">
        <v>3.9</v>
      </c>
      <c r="F110">
        <v>0</v>
      </c>
      <c r="G110">
        <v>0</v>
      </c>
      <c r="H110">
        <v>0</v>
      </c>
      <c r="I110">
        <v>0.7</v>
      </c>
      <c r="J110">
        <v>134.19999999999999</v>
      </c>
      <c r="K110" s="64">
        <f t="shared" si="2"/>
        <v>0</v>
      </c>
      <c r="L110" s="64">
        <f t="shared" si="3"/>
        <v>33.297668997668993</v>
      </c>
      <c r="M110" s="67"/>
      <c r="N110" s="67"/>
      <c r="O110" s="67"/>
    </row>
    <row r="111" spans="1:22" ht="14.25" customHeight="1" x14ac:dyDescent="0.3">
      <c r="A111" t="s">
        <v>749</v>
      </c>
      <c r="B111" t="s">
        <v>525</v>
      </c>
      <c r="C111">
        <v>65.2</v>
      </c>
      <c r="D111">
        <v>886.7</v>
      </c>
      <c r="E111">
        <v>4.5</v>
      </c>
      <c r="F111">
        <v>0.7</v>
      </c>
      <c r="G111">
        <v>3</v>
      </c>
      <c r="H111">
        <v>0</v>
      </c>
      <c r="I111">
        <v>1.4</v>
      </c>
      <c r="J111">
        <v>145.69999999999999</v>
      </c>
      <c r="K111" s="64">
        <f t="shared" si="2"/>
        <v>0.18592162554426703</v>
      </c>
      <c r="L111" s="64">
        <f t="shared" si="3"/>
        <v>43.611585081585091</v>
      </c>
      <c r="M111" s="66">
        <f>C113*Scoring!$B$34+D113/Scoring!$C$34+E113*Scoring!$D$34+WR!F113*Scoring!$E$34+WR!G113/Scoring!$F$34+WR!H113*Scoring!$G$34+WR!I113*Scoring!$H$34+K113*Scoring!$I$34+WR!L113*Scoring!$J$34+U111</f>
        <v>141.30439999999999</v>
      </c>
      <c r="N111" s="66">
        <f>C111*Scoring!$B$34+D111/Scoring!$C$34+E111*Scoring!$D$34+WR!F111*Scoring!$E$34+WR!G111/Scoring!$F$34+WR!H111*Scoring!$G$34+WR!I111*Scoring!$H$34+K111*Scoring!$I$34+WR!L111*Scoring!$J$34+U111</f>
        <v>162.0744</v>
      </c>
      <c r="O111" s="66">
        <f>C112*Scoring!$B$34+D112/Scoring!$C$34+E112*Scoring!$D$34+WR!F112*Scoring!$E$34+WR!G112/Scoring!$F$34+WR!H112*Scoring!$G$34+WR!I112*Scoring!$H$34+K112*Scoring!$I$34+WR!L112*Scoring!$J$34+U111</f>
        <v>185.17439999999999</v>
      </c>
      <c r="P111" s="20">
        <f>IF(COUNTIF(Rookies!$A:$A,A111)&gt;0,1,0)</f>
        <v>1</v>
      </c>
      <c r="S111" s="20">
        <f>V111/17</f>
        <v>8.5747058823529425</v>
      </c>
      <c r="T111" s="20">
        <f>IF(P111=1,MAX(0,0.28*(12-S111)),0)</f>
        <v>0.95908235294117616</v>
      </c>
      <c r="U111" s="20">
        <f>T111*17</f>
        <v>16.304399999999994</v>
      </c>
      <c r="V111" s="20">
        <f>C111*Scoring!$B$34+D111/Scoring!$C$34+E111*Scoring!$D$34+WR!F111*Scoring!$E$34+WR!G111/Scoring!$F$34+WR!H111*Scoring!$G$34+WR!I111*Scoring!$H$34+K111*Scoring!$I$34+WR!L111*Scoring!$J$34</f>
        <v>145.77000000000001</v>
      </c>
    </row>
    <row r="112" spans="1:22" ht="14.25" customHeight="1" x14ac:dyDescent="0.3">
      <c r="B112" t="s">
        <v>472</v>
      </c>
      <c r="C112">
        <v>74.5</v>
      </c>
      <c r="D112">
        <v>1023.2</v>
      </c>
      <c r="E112">
        <v>5</v>
      </c>
      <c r="F112">
        <v>2</v>
      </c>
      <c r="G112">
        <v>9</v>
      </c>
      <c r="H112">
        <v>0</v>
      </c>
      <c r="I112">
        <v>0.8</v>
      </c>
      <c r="J112">
        <v>181.8</v>
      </c>
      <c r="K112" s="64">
        <f t="shared" si="2"/>
        <v>0.55776487663280117</v>
      </c>
      <c r="L112" s="64">
        <f t="shared" si="3"/>
        <v>50.325221445221452</v>
      </c>
      <c r="M112" s="67"/>
      <c r="N112" s="67"/>
      <c r="O112" s="67"/>
    </row>
    <row r="113" spans="1:22" ht="14.25" customHeight="1" x14ac:dyDescent="0.3">
      <c r="B113" t="s">
        <v>473</v>
      </c>
      <c r="C113">
        <v>56</v>
      </c>
      <c r="D113">
        <v>770</v>
      </c>
      <c r="E113">
        <v>4</v>
      </c>
      <c r="F113">
        <v>0</v>
      </c>
      <c r="G113">
        <v>0</v>
      </c>
      <c r="H113">
        <v>0</v>
      </c>
      <c r="I113">
        <v>2</v>
      </c>
      <c r="J113">
        <v>121.6</v>
      </c>
      <c r="K113" s="64">
        <f t="shared" si="2"/>
        <v>0</v>
      </c>
      <c r="L113" s="64">
        <f t="shared" si="3"/>
        <v>37.871794871794876</v>
      </c>
      <c r="M113" s="67"/>
      <c r="N113" s="67"/>
      <c r="O113" s="67"/>
    </row>
    <row r="114" spans="1:22" ht="14.25" customHeight="1" x14ac:dyDescent="0.3">
      <c r="A114" t="s">
        <v>750</v>
      </c>
      <c r="B114" t="s">
        <v>515</v>
      </c>
      <c r="C114">
        <v>63.2</v>
      </c>
      <c r="D114">
        <v>752.5</v>
      </c>
      <c r="E114">
        <v>4.8</v>
      </c>
      <c r="F114">
        <v>12.6</v>
      </c>
      <c r="G114">
        <v>94.1</v>
      </c>
      <c r="H114">
        <v>0.2</v>
      </c>
      <c r="I114">
        <v>0.4</v>
      </c>
      <c r="J114">
        <v>145.30000000000001</v>
      </c>
      <c r="K114" s="64">
        <f t="shared" si="2"/>
        <v>5.8317416545718439</v>
      </c>
      <c r="L114" s="64">
        <f t="shared" si="3"/>
        <v>37.011072261072258</v>
      </c>
      <c r="M114" s="66">
        <f>C116*Scoring!$B$34+D116/Scoring!$C$34+E116*Scoring!$D$34+WR!F116*Scoring!$E$34+WR!G116/Scoring!$F$34+WR!H116*Scoring!$G$34+WR!I116*Scoring!$H$34+K116*Scoring!$I$34+WR!L116*Scoring!$J$34+U114</f>
        <v>131.34</v>
      </c>
      <c r="N114" s="66">
        <f>C114*Scoring!$B$34+D114/Scoring!$C$34+E114*Scoring!$D$34+WR!F114*Scoring!$E$34+WR!G114/Scoring!$F$34+WR!H114*Scoring!$G$34+WR!I114*Scoring!$H$34+K114*Scoring!$I$34+WR!L114*Scoring!$J$34+U114</f>
        <v>145.45999999999995</v>
      </c>
      <c r="O114" s="66">
        <f>C115*Scoring!$B$34+D115/Scoring!$C$34+E115*Scoring!$D$34+WR!F115*Scoring!$E$34+WR!G115/Scoring!$F$34+WR!H115*Scoring!$G$34+WR!I115*Scoring!$H$34+K115*Scoring!$I$34+WR!L115*Scoring!$J$34+U114</f>
        <v>162.6</v>
      </c>
      <c r="P114" s="20">
        <f>IF(COUNTIF(Rookies!$A:$A,A114)&gt;0,1,0)</f>
        <v>0</v>
      </c>
      <c r="S114" s="20">
        <f>V114/17</f>
        <v>8.5564705882352907</v>
      </c>
      <c r="T114" s="20">
        <f>IF(P114=1,MAX(0,0.28*(12-S114)),0)</f>
        <v>0</v>
      </c>
      <c r="U114" s="20">
        <f>T114*17</f>
        <v>0</v>
      </c>
      <c r="V114" s="20">
        <f>C114*Scoring!$B$34+D114/Scoring!$C$34+E114*Scoring!$D$34+WR!F114*Scoring!$E$34+WR!G114/Scoring!$F$34+WR!H114*Scoring!$G$34+WR!I114*Scoring!$H$34+K114*Scoring!$I$34+WR!L114*Scoring!$J$34</f>
        <v>145.45999999999995</v>
      </c>
    </row>
    <row r="115" spans="1:22" ht="14.25" customHeight="1" x14ac:dyDescent="0.3">
      <c r="B115" t="s">
        <v>472</v>
      </c>
      <c r="C115">
        <v>66</v>
      </c>
      <c r="D115">
        <v>815</v>
      </c>
      <c r="E115">
        <v>5</v>
      </c>
      <c r="F115">
        <v>18</v>
      </c>
      <c r="G115">
        <v>151</v>
      </c>
      <c r="H115">
        <v>0.5</v>
      </c>
      <c r="I115">
        <v>0</v>
      </c>
      <c r="J115">
        <v>182.9</v>
      </c>
      <c r="K115" s="64">
        <f t="shared" si="2"/>
        <v>9.3580551523947761</v>
      </c>
      <c r="L115" s="64">
        <f t="shared" si="3"/>
        <v>40.085081585081589</v>
      </c>
      <c r="M115" s="67"/>
      <c r="N115" s="67"/>
      <c r="O115" s="67"/>
    </row>
    <row r="116" spans="1:22" ht="14.25" customHeight="1" x14ac:dyDescent="0.3">
      <c r="B116" t="s">
        <v>473</v>
      </c>
      <c r="C116">
        <v>59</v>
      </c>
      <c r="D116">
        <v>701</v>
      </c>
      <c r="E116">
        <v>4.5</v>
      </c>
      <c r="F116">
        <v>8.8000000000000007</v>
      </c>
      <c r="G116">
        <v>63.4</v>
      </c>
      <c r="H116">
        <v>0</v>
      </c>
      <c r="I116">
        <v>0.8</v>
      </c>
      <c r="J116">
        <v>130.6</v>
      </c>
      <c r="K116" s="64">
        <f t="shared" si="2"/>
        <v>3.9291436865021772</v>
      </c>
      <c r="L116" s="64">
        <f t="shared" si="3"/>
        <v>34.478088578088574</v>
      </c>
      <c r="M116" s="67"/>
      <c r="N116" s="67"/>
      <c r="O116" s="67"/>
    </row>
    <row r="117" spans="1:22" ht="14.25" customHeight="1" x14ac:dyDescent="0.3">
      <c r="A117" t="s">
        <v>753</v>
      </c>
      <c r="B117" t="s">
        <v>527</v>
      </c>
      <c r="C117">
        <v>67.5</v>
      </c>
      <c r="D117">
        <v>839.7</v>
      </c>
      <c r="E117">
        <v>4.5</v>
      </c>
      <c r="F117">
        <v>0</v>
      </c>
      <c r="G117">
        <v>0.7</v>
      </c>
      <c r="H117">
        <v>0</v>
      </c>
      <c r="I117">
        <v>0.2</v>
      </c>
      <c r="J117">
        <v>144.1</v>
      </c>
      <c r="K117" s="64">
        <f t="shared" si="2"/>
        <v>0</v>
      </c>
      <c r="L117" s="64">
        <f t="shared" si="3"/>
        <v>41.29993006993007</v>
      </c>
      <c r="M117" s="66">
        <f>C119*Scoring!$B$34+D119/Scoring!$C$34+E119*Scoring!$D$34+WR!F119*Scoring!$E$34+WR!G119/Scoring!$F$34+WR!H119*Scoring!$G$34+WR!I119*Scoring!$H$34+K119*Scoring!$I$34+WR!L119*Scoring!$J$34+U117</f>
        <v>134.79999999999998</v>
      </c>
      <c r="N117" s="66">
        <f>C117*Scoring!$B$34+D117/Scoring!$C$34+E117*Scoring!$D$34+WR!F117*Scoring!$E$34+WR!G117/Scoring!$F$34+WR!H117*Scoring!$G$34+WR!I117*Scoring!$H$34+K117*Scoring!$I$34+WR!L117*Scoring!$J$34+U117</f>
        <v>144.38999999999999</v>
      </c>
      <c r="O117" s="66">
        <f>C118*Scoring!$B$34+D118/Scoring!$C$34+E118*Scoring!$D$34+WR!F118*Scoring!$E$34+WR!G118/Scoring!$F$34+WR!H118*Scoring!$G$34+WR!I118*Scoring!$H$34+K118*Scoring!$I$34+WR!L118*Scoring!$J$34+U117</f>
        <v>157.44999999999999</v>
      </c>
      <c r="P117" s="20">
        <f>IF(COUNTIF(Rookies!$A:$A,A117)&gt;0,1,0)</f>
        <v>0</v>
      </c>
      <c r="S117" s="20">
        <f>V117/17</f>
        <v>8.4935294117647047</v>
      </c>
      <c r="T117" s="20">
        <f>IF(P117=1,MAX(0,0.28*(12-S117)),0)</f>
        <v>0</v>
      </c>
      <c r="U117" s="20">
        <f>T117*17</f>
        <v>0</v>
      </c>
      <c r="V117" s="20">
        <f>C117*Scoring!$B$34+D117/Scoring!$C$34+E117*Scoring!$D$34+WR!F117*Scoring!$E$34+WR!G117/Scoring!$F$34+WR!H117*Scoring!$G$34+WR!I117*Scoring!$H$34+K117*Scoring!$I$34+WR!L117*Scoring!$J$34</f>
        <v>144.38999999999999</v>
      </c>
    </row>
    <row r="118" spans="1:22" ht="14.25" customHeight="1" x14ac:dyDescent="0.3">
      <c r="B118" t="s">
        <v>472</v>
      </c>
      <c r="C118">
        <v>70.5</v>
      </c>
      <c r="D118">
        <v>860</v>
      </c>
      <c r="E118">
        <v>6</v>
      </c>
      <c r="F118">
        <v>0</v>
      </c>
      <c r="G118">
        <v>2</v>
      </c>
      <c r="H118">
        <v>0</v>
      </c>
      <c r="I118">
        <v>0</v>
      </c>
      <c r="J118">
        <v>173</v>
      </c>
      <c r="K118" s="64">
        <f t="shared" si="2"/>
        <v>0</v>
      </c>
      <c r="L118" s="64">
        <f t="shared" si="3"/>
        <v>42.298368298368302</v>
      </c>
      <c r="M118" s="67"/>
      <c r="N118" s="67"/>
      <c r="O118" s="67"/>
    </row>
    <row r="119" spans="1:22" ht="14.25" customHeight="1" x14ac:dyDescent="0.3">
      <c r="B119" t="s">
        <v>473</v>
      </c>
      <c r="C119">
        <v>66</v>
      </c>
      <c r="D119">
        <v>822</v>
      </c>
      <c r="E119">
        <v>3.4</v>
      </c>
      <c r="F119">
        <v>0</v>
      </c>
      <c r="G119">
        <v>0</v>
      </c>
      <c r="H119">
        <v>0</v>
      </c>
      <c r="I119">
        <v>0.4</v>
      </c>
      <c r="J119">
        <v>139.6</v>
      </c>
      <c r="K119" s="64">
        <f t="shared" si="2"/>
        <v>0</v>
      </c>
      <c r="L119" s="64">
        <f t="shared" si="3"/>
        <v>40.429370629370631</v>
      </c>
      <c r="M119" s="67"/>
      <c r="N119" s="67"/>
      <c r="O119" s="67"/>
    </row>
    <row r="120" spans="1:22" ht="14.25" customHeight="1" x14ac:dyDescent="0.3">
      <c r="A120" t="s">
        <v>752</v>
      </c>
      <c r="B120" t="s">
        <v>497</v>
      </c>
      <c r="C120">
        <v>53.9</v>
      </c>
      <c r="D120">
        <v>762.9</v>
      </c>
      <c r="E120">
        <v>6.9</v>
      </c>
      <c r="F120">
        <v>1.7</v>
      </c>
      <c r="G120">
        <v>5.9</v>
      </c>
      <c r="H120">
        <v>0</v>
      </c>
      <c r="I120">
        <v>0.7</v>
      </c>
      <c r="J120">
        <v>143.9</v>
      </c>
      <c r="K120" s="64">
        <f t="shared" si="2"/>
        <v>0.36564586357039192</v>
      </c>
      <c r="L120" s="64">
        <f t="shared" si="3"/>
        <v>37.522587412587413</v>
      </c>
      <c r="M120" s="66">
        <f>C122*Scoring!$B$34+D122/Scoring!$C$34+E122*Scoring!$D$34+WR!F122*Scoring!$E$34+WR!G122/Scoring!$F$34+WR!H122*Scoring!$G$34+WR!I122*Scoring!$H$34+K122*Scoring!$I$34+WR!L122*Scoring!$J$34+U120</f>
        <v>129.80000000000001</v>
      </c>
      <c r="N120" s="66">
        <f>C120*Scoring!$B$34+D120/Scoring!$C$34+E120*Scoring!$D$34+WR!F120*Scoring!$E$34+WR!G120/Scoring!$F$34+WR!H120*Scoring!$G$34+WR!I120*Scoring!$H$34+K120*Scoring!$I$34+WR!L120*Scoring!$J$34+U120</f>
        <v>143.82999999999998</v>
      </c>
      <c r="O120" s="66">
        <f>C121*Scoring!$B$34+D121/Scoring!$C$34+E121*Scoring!$D$34+WR!F121*Scoring!$E$34+WR!G121/Scoring!$F$34+WR!H121*Scoring!$G$34+WR!I121*Scoring!$H$34+K121*Scoring!$I$34+WR!L121*Scoring!$J$34+U120</f>
        <v>162.08000000000001</v>
      </c>
      <c r="P120" s="20">
        <f>IF(COUNTIF(Rookies!$A:$A,A120)&gt;0,1,0)</f>
        <v>0</v>
      </c>
      <c r="S120" s="20">
        <f>V120/17</f>
        <v>8.4605882352941162</v>
      </c>
      <c r="T120" s="20">
        <f>IF(P120=1,MAX(0,0.28*(12-S120)),0)</f>
        <v>0</v>
      </c>
      <c r="U120" s="20">
        <f>T120*17</f>
        <v>0</v>
      </c>
      <c r="V120" s="20">
        <f>C120*Scoring!$B$34+D120/Scoring!$C$34+E120*Scoring!$D$34+WR!F120*Scoring!$E$34+WR!G120/Scoring!$F$34+WR!H120*Scoring!$G$34+WR!I120*Scoring!$H$34+K120*Scoring!$I$34+WR!L120*Scoring!$J$34</f>
        <v>143.82999999999998</v>
      </c>
    </row>
    <row r="121" spans="1:22" ht="14.25" customHeight="1" x14ac:dyDescent="0.3">
      <c r="B121" t="s">
        <v>472</v>
      </c>
      <c r="C121">
        <v>58</v>
      </c>
      <c r="D121">
        <v>784</v>
      </c>
      <c r="E121">
        <v>9</v>
      </c>
      <c r="F121">
        <v>3</v>
      </c>
      <c r="G121">
        <v>10.8</v>
      </c>
      <c r="H121">
        <v>0.1</v>
      </c>
      <c r="I121">
        <v>0.5</v>
      </c>
      <c r="J121">
        <v>161.19999999999999</v>
      </c>
      <c r="K121" s="64">
        <f t="shared" si="2"/>
        <v>0.66931785195936144</v>
      </c>
      <c r="L121" s="64">
        <f t="shared" si="3"/>
        <v>38.560372960372966</v>
      </c>
      <c r="M121" s="67"/>
      <c r="N121" s="67"/>
      <c r="O121" s="67"/>
    </row>
    <row r="122" spans="1:22" ht="14.25" customHeight="1" x14ac:dyDescent="0.3">
      <c r="B122" t="s">
        <v>473</v>
      </c>
      <c r="C122">
        <v>51</v>
      </c>
      <c r="D122">
        <v>727</v>
      </c>
      <c r="E122">
        <v>5.6</v>
      </c>
      <c r="F122">
        <v>0</v>
      </c>
      <c r="G122">
        <v>0</v>
      </c>
      <c r="H122">
        <v>0</v>
      </c>
      <c r="I122">
        <v>1</v>
      </c>
      <c r="J122">
        <v>139.6</v>
      </c>
      <c r="K122" s="64">
        <f t="shared" si="2"/>
        <v>0</v>
      </c>
      <c r="L122" s="64">
        <f t="shared" si="3"/>
        <v>35.756876456876462</v>
      </c>
      <c r="M122" s="67"/>
      <c r="N122" s="67"/>
      <c r="O122" s="67"/>
    </row>
    <row r="123" spans="1:22" ht="14.25" customHeight="1" x14ac:dyDescent="0.3">
      <c r="A123" t="s">
        <v>751</v>
      </c>
      <c r="B123" t="s">
        <v>489</v>
      </c>
      <c r="C123">
        <v>66.900000000000006</v>
      </c>
      <c r="D123">
        <v>770.6</v>
      </c>
      <c r="E123">
        <v>5.0999999999999996</v>
      </c>
      <c r="F123">
        <v>4.3</v>
      </c>
      <c r="G123">
        <v>22.7</v>
      </c>
      <c r="H123">
        <v>0.1</v>
      </c>
      <c r="I123">
        <v>0.8</v>
      </c>
      <c r="J123">
        <v>142.19999999999999</v>
      </c>
      <c r="K123" s="64">
        <f t="shared" si="2"/>
        <v>1.4068069666182874</v>
      </c>
      <c r="L123" s="64">
        <f t="shared" si="3"/>
        <v>37.901305361305361</v>
      </c>
      <c r="M123" s="66">
        <f>C125*Scoring!$B$34+D125/Scoring!$C$34+E125*Scoring!$D$34+WR!F125*Scoring!$E$34+WR!G125/Scoring!$F$34+WR!H125*Scoring!$G$34+WR!I125*Scoring!$H$34+K125*Scoring!$I$34+WR!L125*Scoring!$J$34+U123</f>
        <v>134.39999999999998</v>
      </c>
      <c r="N123" s="66">
        <f>C123*Scoring!$B$34+D123/Scoring!$C$34+E123*Scoring!$D$34+WR!F123*Scoring!$E$34+WR!G123/Scoring!$F$34+WR!H123*Scoring!$G$34+WR!I123*Scoring!$H$34+K123*Scoring!$I$34+WR!L123*Scoring!$J$34+U123</f>
        <v>142.38000000000002</v>
      </c>
      <c r="O123" s="66">
        <f>C124*Scoring!$B$34+D124/Scoring!$C$34+E124*Scoring!$D$34+WR!F124*Scoring!$E$34+WR!G124/Scoring!$F$34+WR!H124*Scoring!$G$34+WR!I124*Scoring!$H$34+K124*Scoring!$I$34+WR!L124*Scoring!$J$34+U123</f>
        <v>151.30000000000001</v>
      </c>
      <c r="P123" s="20">
        <f>IF(COUNTIF(Rookies!$A:$A,A123)&gt;0,1,0)</f>
        <v>0</v>
      </c>
      <c r="S123" s="20">
        <f>V123/17</f>
        <v>8.3752941176470603</v>
      </c>
      <c r="T123" s="20">
        <f>IF(P123=1,MAX(0,0.28*(12-S123)),0)</f>
        <v>0</v>
      </c>
      <c r="U123" s="20">
        <f>T123*17</f>
        <v>0</v>
      </c>
      <c r="V123" s="20">
        <f>C123*Scoring!$B$34+D123/Scoring!$C$34+E123*Scoring!$D$34+WR!F123*Scoring!$E$34+WR!G123/Scoring!$F$34+WR!H123*Scoring!$G$34+WR!I123*Scoring!$H$34+K123*Scoring!$I$34+WR!L123*Scoring!$J$34</f>
        <v>142.38000000000002</v>
      </c>
    </row>
    <row r="124" spans="1:22" ht="14.25" customHeight="1" x14ac:dyDescent="0.3">
      <c r="B124" t="s">
        <v>472</v>
      </c>
      <c r="C124">
        <v>69.8</v>
      </c>
      <c r="D124">
        <v>814</v>
      </c>
      <c r="E124">
        <v>5.2</v>
      </c>
      <c r="F124">
        <v>6</v>
      </c>
      <c r="G124">
        <v>32</v>
      </c>
      <c r="H124">
        <v>0.3</v>
      </c>
      <c r="I124">
        <v>0.6</v>
      </c>
      <c r="J124">
        <v>170.1</v>
      </c>
      <c r="K124" s="64">
        <f t="shared" si="2"/>
        <v>1.9831640058055151</v>
      </c>
      <c r="L124" s="64">
        <f t="shared" si="3"/>
        <v>40.035897435897439</v>
      </c>
      <c r="M124" s="67"/>
      <c r="N124" s="67"/>
      <c r="O124" s="67"/>
    </row>
    <row r="125" spans="1:22" ht="14.25" customHeight="1" x14ac:dyDescent="0.3">
      <c r="B125" t="s">
        <v>473</v>
      </c>
      <c r="C125">
        <v>63</v>
      </c>
      <c r="D125">
        <v>732</v>
      </c>
      <c r="E125">
        <v>5</v>
      </c>
      <c r="F125">
        <v>3</v>
      </c>
      <c r="G125">
        <v>17</v>
      </c>
      <c r="H125">
        <v>0</v>
      </c>
      <c r="I125">
        <v>1</v>
      </c>
      <c r="J125">
        <v>134.5</v>
      </c>
      <c r="K125" s="64">
        <f t="shared" si="2"/>
        <v>1.0535558780841801</v>
      </c>
      <c r="L125" s="64">
        <f t="shared" si="3"/>
        <v>36.002797202797204</v>
      </c>
      <c r="M125" s="67"/>
      <c r="N125" s="67"/>
      <c r="O125" s="67"/>
    </row>
    <row r="126" spans="1:22" ht="14.25" customHeight="1" x14ac:dyDescent="0.3">
      <c r="A126" t="s">
        <v>754</v>
      </c>
      <c r="B126" t="s">
        <v>507</v>
      </c>
      <c r="C126">
        <v>67.8</v>
      </c>
      <c r="D126">
        <v>773.4</v>
      </c>
      <c r="E126">
        <v>5.2</v>
      </c>
      <c r="F126">
        <v>0.3</v>
      </c>
      <c r="G126">
        <v>0.3</v>
      </c>
      <c r="H126">
        <v>0</v>
      </c>
      <c r="I126">
        <v>0.3</v>
      </c>
      <c r="J126">
        <v>141.80000000000001</v>
      </c>
      <c r="K126" s="64">
        <f t="shared" si="2"/>
        <v>1.8592162554426705E-2</v>
      </c>
      <c r="L126" s="64">
        <f t="shared" si="3"/>
        <v>38.039020979020982</v>
      </c>
      <c r="M126" s="66">
        <f>C128*Scoring!$B$34+D128/Scoring!$C$34+E128*Scoring!$D$34+WR!F128*Scoring!$E$34+WR!G128/Scoring!$F$34+WR!H128*Scoring!$G$34+WR!I128*Scoring!$H$34+K128*Scoring!$I$34+WR!L128*Scoring!$J$34+U126</f>
        <v>126.03</v>
      </c>
      <c r="N126" s="66">
        <f>C126*Scoring!$B$34+D126/Scoring!$C$34+E126*Scoring!$D$34+WR!F126*Scoring!$E$34+WR!G126/Scoring!$F$34+WR!H126*Scoring!$G$34+WR!I126*Scoring!$H$34+K126*Scoring!$I$34+WR!L126*Scoring!$J$34+U126</f>
        <v>141.87</v>
      </c>
      <c r="O126" s="66">
        <f>C127*Scoring!$B$34+D127/Scoring!$C$34+E127*Scoring!$D$34+WR!F127*Scoring!$E$34+WR!G127/Scoring!$F$34+WR!H127*Scoring!$G$34+WR!I127*Scoring!$H$34+K127*Scoring!$I$34+WR!L127*Scoring!$J$34+U126</f>
        <v>157.69999999999999</v>
      </c>
      <c r="P126" s="20">
        <f>IF(COUNTIF(Rookies!$A:$A,A126)&gt;0,1,0)</f>
        <v>0</v>
      </c>
      <c r="S126" s="20">
        <f>V126/17</f>
        <v>8.3452941176470592</v>
      </c>
      <c r="T126" s="20">
        <f>IF(P126=1,MAX(0,0.28*(12-S126)),0)</f>
        <v>0</v>
      </c>
      <c r="U126" s="20">
        <f>T126*17</f>
        <v>0</v>
      </c>
      <c r="V126" s="20">
        <f>C126*Scoring!$B$34+D126/Scoring!$C$34+E126*Scoring!$D$34+WR!F126*Scoring!$E$34+WR!G126/Scoring!$F$34+WR!H126*Scoring!$G$34+WR!I126*Scoring!$H$34+K126*Scoring!$I$34+WR!L126*Scoring!$J$34</f>
        <v>141.87</v>
      </c>
    </row>
    <row r="127" spans="1:22" ht="14.25" customHeight="1" x14ac:dyDescent="0.3">
      <c r="B127" t="s">
        <v>472</v>
      </c>
      <c r="C127">
        <v>75</v>
      </c>
      <c r="D127">
        <v>841</v>
      </c>
      <c r="E127">
        <v>6</v>
      </c>
      <c r="F127">
        <v>1</v>
      </c>
      <c r="G127">
        <v>1</v>
      </c>
      <c r="H127">
        <v>0</v>
      </c>
      <c r="I127">
        <v>0</v>
      </c>
      <c r="J127">
        <v>175.8</v>
      </c>
      <c r="K127" s="64">
        <f t="shared" si="2"/>
        <v>6.1973875181422347E-2</v>
      </c>
      <c r="L127" s="64">
        <f t="shared" si="3"/>
        <v>41.363869463869463</v>
      </c>
      <c r="M127" s="67"/>
      <c r="N127" s="67"/>
      <c r="O127" s="67"/>
    </row>
    <row r="128" spans="1:22" ht="14.25" customHeight="1" x14ac:dyDescent="0.3">
      <c r="B128" t="s">
        <v>473</v>
      </c>
      <c r="C128">
        <v>60.4</v>
      </c>
      <c r="D128">
        <v>700.3</v>
      </c>
      <c r="E128">
        <v>4.5</v>
      </c>
      <c r="F128">
        <v>0</v>
      </c>
      <c r="G128">
        <v>0</v>
      </c>
      <c r="H128">
        <v>0</v>
      </c>
      <c r="I128">
        <v>0.6</v>
      </c>
      <c r="J128">
        <v>130.9</v>
      </c>
      <c r="K128" s="64">
        <f t="shared" si="2"/>
        <v>0</v>
      </c>
      <c r="L128" s="64">
        <f t="shared" si="3"/>
        <v>34.443659673659674</v>
      </c>
      <c r="M128" s="67"/>
      <c r="N128" s="67"/>
      <c r="O128" s="67"/>
    </row>
    <row r="129" spans="1:22" ht="14.25" customHeight="1" x14ac:dyDescent="0.3">
      <c r="A129" t="s">
        <v>755</v>
      </c>
      <c r="B129" t="s">
        <v>509</v>
      </c>
      <c r="C129">
        <v>55.3</v>
      </c>
      <c r="D129">
        <v>758.7</v>
      </c>
      <c r="E129">
        <v>5.4</v>
      </c>
      <c r="F129">
        <v>2.7</v>
      </c>
      <c r="G129">
        <v>37.200000000000003</v>
      </c>
      <c r="H129">
        <v>0.4</v>
      </c>
      <c r="I129">
        <v>0.2</v>
      </c>
      <c r="J129">
        <v>141.5</v>
      </c>
      <c r="K129" s="64">
        <f t="shared" si="2"/>
        <v>2.3054281567489117</v>
      </c>
      <c r="L129" s="64">
        <f t="shared" si="3"/>
        <v>37.316013986013992</v>
      </c>
      <c r="M129" s="66">
        <f>C131*Scoring!$B$34+D131/Scoring!$C$34+E131*Scoring!$D$34+WR!F131*Scoring!$E$34+WR!G131/Scoring!$F$34+WR!H131*Scoring!$G$34+WR!I131*Scoring!$H$34+K131*Scoring!$I$34+WR!L131*Scoring!$J$34+U129</f>
        <v>129.25</v>
      </c>
      <c r="N129" s="66">
        <f>C129*Scoring!$B$34+D129/Scoring!$C$34+E129*Scoring!$D$34+WR!F129*Scoring!$E$34+WR!G129/Scoring!$F$34+WR!H129*Scoring!$G$34+WR!I129*Scoring!$H$34+K129*Scoring!$I$34+WR!L129*Scoring!$J$34+U129</f>
        <v>141.64000000000001</v>
      </c>
      <c r="O129" s="66">
        <f>C130*Scoring!$B$34+D130/Scoring!$C$34+E130*Scoring!$D$34+WR!F130*Scoring!$E$34+WR!G130/Scoring!$F$34+WR!H130*Scoring!$G$34+WR!I130*Scoring!$H$34+K130*Scoring!$I$34+WR!L130*Scoring!$J$34+U129</f>
        <v>157.15000000000003</v>
      </c>
      <c r="P129" s="20">
        <f>IF(COUNTIF(Rookies!$A:$A,A129)&gt;0,1,0)</f>
        <v>0</v>
      </c>
      <c r="S129" s="20">
        <f>V129/17</f>
        <v>8.3317647058823532</v>
      </c>
      <c r="T129" s="20">
        <f>IF(P129=1,MAX(0,0.28*(12-S129)),0)</f>
        <v>0</v>
      </c>
      <c r="U129" s="20">
        <f>T129*17</f>
        <v>0</v>
      </c>
      <c r="V129" s="20">
        <f>C129*Scoring!$B$34+D129/Scoring!$C$34+E129*Scoring!$D$34+WR!F129*Scoring!$E$34+WR!G129/Scoring!$F$34+WR!H129*Scoring!$G$34+WR!I129*Scoring!$H$34+K129*Scoring!$I$34+WR!L129*Scoring!$J$34</f>
        <v>141.64000000000001</v>
      </c>
    </row>
    <row r="130" spans="1:22" ht="14.25" customHeight="1" x14ac:dyDescent="0.3">
      <c r="B130" t="s">
        <v>472</v>
      </c>
      <c r="C130">
        <v>60.9</v>
      </c>
      <c r="D130">
        <v>769</v>
      </c>
      <c r="E130">
        <v>6</v>
      </c>
      <c r="F130">
        <v>3</v>
      </c>
      <c r="G130">
        <v>78</v>
      </c>
      <c r="H130">
        <v>1</v>
      </c>
      <c r="I130">
        <v>0</v>
      </c>
      <c r="J130">
        <v>164</v>
      </c>
      <c r="K130" s="64">
        <f t="shared" si="2"/>
        <v>4.8339622641509434</v>
      </c>
      <c r="L130" s="64">
        <f t="shared" si="3"/>
        <v>37.822610722610726</v>
      </c>
      <c r="M130" s="67"/>
      <c r="N130" s="67"/>
      <c r="O130" s="67"/>
    </row>
    <row r="131" spans="1:22" ht="14.25" customHeight="1" x14ac:dyDescent="0.3">
      <c r="B131" t="s">
        <v>473</v>
      </c>
      <c r="C131">
        <v>50</v>
      </c>
      <c r="D131">
        <v>738</v>
      </c>
      <c r="E131">
        <v>5</v>
      </c>
      <c r="F131">
        <v>2</v>
      </c>
      <c r="G131">
        <v>14.5</v>
      </c>
      <c r="H131">
        <v>0</v>
      </c>
      <c r="I131">
        <v>0.5</v>
      </c>
      <c r="J131">
        <v>137.80000000000001</v>
      </c>
      <c r="K131" s="64">
        <f t="shared" ref="K131:K194" si="4">IFERROR(G131/F131/6.89*0.427*F131,0)</f>
        <v>0.89862119013062414</v>
      </c>
      <c r="L131" s="64">
        <f t="shared" ref="L131:L194" si="5">IFERROR(D131/C131/12.87*0.633*C131,0)</f>
        <v>36.297902097902103</v>
      </c>
      <c r="M131" s="67"/>
      <c r="N131" s="67"/>
      <c r="O131" s="67"/>
    </row>
    <row r="132" spans="1:22" ht="14.25" customHeight="1" x14ac:dyDescent="0.3">
      <c r="A132" t="s">
        <v>756</v>
      </c>
      <c r="B132" t="s">
        <v>493</v>
      </c>
      <c r="C132">
        <v>54.9</v>
      </c>
      <c r="D132">
        <v>715.1</v>
      </c>
      <c r="E132">
        <v>4.2</v>
      </c>
      <c r="F132">
        <v>15.8</v>
      </c>
      <c r="G132">
        <v>101.4</v>
      </c>
      <c r="H132">
        <v>0.9</v>
      </c>
      <c r="I132">
        <v>0.2</v>
      </c>
      <c r="J132">
        <v>139.1</v>
      </c>
      <c r="K132" s="64">
        <f t="shared" si="4"/>
        <v>6.2841509433962282</v>
      </c>
      <c r="L132" s="64">
        <f t="shared" si="5"/>
        <v>35.171585081585086</v>
      </c>
      <c r="M132" s="66">
        <f>C134*Scoring!$B$34+D134/Scoring!$C$34+E134*Scoring!$D$34+WR!F134*Scoring!$E$34+WR!G134/Scoring!$F$34+WR!H134*Scoring!$G$34+WR!I134*Scoring!$H$34+K134*Scoring!$I$34+WR!L134*Scoring!$J$34+U132</f>
        <v>125.3</v>
      </c>
      <c r="N132" s="66">
        <f>C132*Scoring!$B$34+D132/Scoring!$C$34+E132*Scoring!$D$34+WR!F132*Scoring!$E$34+WR!G132/Scoring!$F$34+WR!H132*Scoring!$G$34+WR!I132*Scoring!$H$34+K132*Scoring!$I$34+WR!L132*Scoring!$J$34+U132</f>
        <v>139.30000000000001</v>
      </c>
      <c r="O132" s="66">
        <f>C133*Scoring!$B$34+D133/Scoring!$C$34+E133*Scoring!$D$34+WR!F133*Scoring!$E$34+WR!G133/Scoring!$F$34+WR!H133*Scoring!$G$34+WR!I133*Scoring!$H$34+K133*Scoring!$I$34+WR!L133*Scoring!$J$34+U132</f>
        <v>155.63999999999999</v>
      </c>
      <c r="P132" s="20">
        <f>IF(COUNTIF(Rookies!$A:$A,A132)&gt;0,1,0)</f>
        <v>0</v>
      </c>
      <c r="S132" s="20">
        <f>V132/17</f>
        <v>8.1941176470588246</v>
      </c>
      <c r="T132" s="20">
        <f>IF(P132=1,MAX(0,0.28*(12-S132)),0)</f>
        <v>0</v>
      </c>
      <c r="U132" s="20">
        <f>T132*17</f>
        <v>0</v>
      </c>
      <c r="V132" s="20">
        <f>C132*Scoring!$B$34+D132/Scoring!$C$34+E132*Scoring!$D$34+WR!F132*Scoring!$E$34+WR!G132/Scoring!$F$34+WR!H132*Scoring!$G$34+WR!I132*Scoring!$H$34+K132*Scoring!$I$34+WR!L132*Scoring!$J$34</f>
        <v>139.30000000000001</v>
      </c>
    </row>
    <row r="133" spans="1:22" ht="14.25" customHeight="1" x14ac:dyDescent="0.3">
      <c r="B133" t="s">
        <v>472</v>
      </c>
      <c r="C133">
        <v>56</v>
      </c>
      <c r="D133">
        <v>788.4</v>
      </c>
      <c r="E133">
        <v>4.5999999999999996</v>
      </c>
      <c r="F133">
        <v>23</v>
      </c>
      <c r="G133">
        <v>152</v>
      </c>
      <c r="H133">
        <v>1</v>
      </c>
      <c r="I133">
        <v>0</v>
      </c>
      <c r="J133">
        <v>164.5</v>
      </c>
      <c r="K133" s="64">
        <f t="shared" si="4"/>
        <v>9.4200290275761986</v>
      </c>
      <c r="L133" s="64">
        <f t="shared" si="5"/>
        <v>38.776783216783215</v>
      </c>
      <c r="M133" s="67"/>
      <c r="N133" s="67"/>
      <c r="O133" s="67"/>
    </row>
    <row r="134" spans="1:22" ht="14.25" customHeight="1" x14ac:dyDescent="0.3">
      <c r="B134" t="s">
        <v>473</v>
      </c>
      <c r="C134">
        <v>53</v>
      </c>
      <c r="D134">
        <v>642</v>
      </c>
      <c r="E134">
        <v>4</v>
      </c>
      <c r="F134">
        <v>12</v>
      </c>
      <c r="G134">
        <v>76</v>
      </c>
      <c r="H134">
        <v>0.6</v>
      </c>
      <c r="I134">
        <v>0.3</v>
      </c>
      <c r="J134">
        <v>118.4</v>
      </c>
      <c r="K134" s="64">
        <f t="shared" si="4"/>
        <v>4.7100145137880984</v>
      </c>
      <c r="L134" s="64">
        <f t="shared" si="5"/>
        <v>31.576223776223781</v>
      </c>
      <c r="M134" s="67"/>
      <c r="N134" s="67"/>
      <c r="O134" s="67"/>
    </row>
    <row r="135" spans="1:22" ht="14.25" customHeight="1" x14ac:dyDescent="0.3">
      <c r="A135" t="s">
        <v>758</v>
      </c>
      <c r="B135" t="s">
        <v>525</v>
      </c>
      <c r="C135">
        <v>79.900000000000006</v>
      </c>
      <c r="D135">
        <v>805.1</v>
      </c>
      <c r="E135">
        <v>3</v>
      </c>
      <c r="F135">
        <v>2</v>
      </c>
      <c r="G135">
        <v>9.5</v>
      </c>
      <c r="H135">
        <v>0.1</v>
      </c>
      <c r="I135">
        <v>0.3</v>
      </c>
      <c r="J135">
        <v>139</v>
      </c>
      <c r="K135" s="64">
        <f t="shared" si="4"/>
        <v>0.58875181422351242</v>
      </c>
      <c r="L135" s="64">
        <f t="shared" si="5"/>
        <v>39.598158508158512</v>
      </c>
      <c r="M135" s="66">
        <f>C137*Scoring!$B$34+D137/Scoring!$C$34+E137*Scoring!$D$34+WR!F137*Scoring!$E$34+WR!G137/Scoring!$F$34+WR!H137*Scoring!$G$34+WR!I137*Scoring!$H$34+K137*Scoring!$I$34+WR!L137*Scoring!$J$34+U135</f>
        <v>128.30000000000001</v>
      </c>
      <c r="N135" s="66">
        <f>C135*Scoring!$B$34+D135/Scoring!$C$34+E135*Scoring!$D$34+WR!F135*Scoring!$E$34+WR!G135/Scoring!$F$34+WR!H135*Scoring!$G$34+WR!I135*Scoring!$H$34+K135*Scoring!$I$34+WR!L135*Scoring!$J$34+U135</f>
        <v>139.41</v>
      </c>
      <c r="O135" s="66">
        <f>C136*Scoring!$B$34+D136/Scoring!$C$34+E136*Scoring!$D$34+WR!F136*Scoring!$E$34+WR!G136/Scoring!$F$34+WR!H136*Scoring!$G$34+WR!I136*Scoring!$H$34+K136*Scoring!$I$34+WR!L136*Scoring!$J$34+U135</f>
        <v>151.77999999999997</v>
      </c>
      <c r="P135" s="20">
        <f>IF(COUNTIF(Rookies!$A:$A,A135)&gt;0,1,0)</f>
        <v>0</v>
      </c>
      <c r="S135" s="20">
        <f>V135/17</f>
        <v>8.2005882352941182</v>
      </c>
      <c r="T135" s="20">
        <f>IF(P135=1,MAX(0,0.28*(12-S135)),0)</f>
        <v>0</v>
      </c>
      <c r="U135" s="20">
        <f>T135*17</f>
        <v>0</v>
      </c>
      <c r="V135" s="20">
        <f>C135*Scoring!$B$34+D135/Scoring!$C$34+E135*Scoring!$D$34+WR!F135*Scoring!$E$34+WR!G135/Scoring!$F$34+WR!H135*Scoring!$G$34+WR!I135*Scoring!$H$34+K135*Scoring!$I$34+WR!L135*Scoring!$J$34</f>
        <v>139.41</v>
      </c>
    </row>
    <row r="136" spans="1:22" ht="14.25" customHeight="1" x14ac:dyDescent="0.3">
      <c r="B136" t="s">
        <v>472</v>
      </c>
      <c r="C136">
        <v>84</v>
      </c>
      <c r="D136">
        <v>823.3</v>
      </c>
      <c r="E136">
        <v>4</v>
      </c>
      <c r="F136">
        <v>4.0999999999999996</v>
      </c>
      <c r="G136">
        <v>22.5</v>
      </c>
      <c r="H136">
        <v>0.2</v>
      </c>
      <c r="I136">
        <v>0</v>
      </c>
      <c r="J136">
        <v>176.1</v>
      </c>
      <c r="K136" s="64">
        <f t="shared" si="4"/>
        <v>1.3944121915820029</v>
      </c>
      <c r="L136" s="64">
        <f t="shared" si="5"/>
        <v>40.493310023310023</v>
      </c>
      <c r="M136" s="67"/>
      <c r="N136" s="67"/>
      <c r="O136" s="67"/>
    </row>
    <row r="137" spans="1:22" ht="14.25" customHeight="1" x14ac:dyDescent="0.3">
      <c r="B137" t="s">
        <v>473</v>
      </c>
      <c r="C137">
        <v>77</v>
      </c>
      <c r="D137">
        <v>796</v>
      </c>
      <c r="E137">
        <v>1.9</v>
      </c>
      <c r="F137">
        <v>0</v>
      </c>
      <c r="G137">
        <v>0</v>
      </c>
      <c r="H137">
        <v>0</v>
      </c>
      <c r="I137">
        <v>0.6</v>
      </c>
      <c r="J137">
        <v>134</v>
      </c>
      <c r="K137" s="64">
        <f t="shared" si="4"/>
        <v>0</v>
      </c>
      <c r="L137" s="64">
        <f t="shared" si="5"/>
        <v>39.150582750582757</v>
      </c>
      <c r="M137" s="67"/>
      <c r="N137" s="67"/>
      <c r="O137" s="67"/>
    </row>
    <row r="138" spans="1:22" ht="14.25" customHeight="1" x14ac:dyDescent="0.3">
      <c r="A138" t="s">
        <v>767</v>
      </c>
      <c r="B138" t="s">
        <v>487</v>
      </c>
      <c r="C138">
        <v>56.1</v>
      </c>
      <c r="D138">
        <v>829.2</v>
      </c>
      <c r="E138">
        <v>4.9000000000000004</v>
      </c>
      <c r="F138">
        <v>1.5</v>
      </c>
      <c r="G138">
        <v>6.5</v>
      </c>
      <c r="H138">
        <v>0</v>
      </c>
      <c r="I138">
        <v>1.3</v>
      </c>
      <c r="J138">
        <v>138.4</v>
      </c>
      <c r="K138" s="64">
        <f t="shared" si="4"/>
        <v>0.40283018867924525</v>
      </c>
      <c r="L138" s="64">
        <f t="shared" si="5"/>
        <v>40.783496503496508</v>
      </c>
      <c r="M138" s="66">
        <f>C140*Scoring!$B$34+D140/Scoring!$C$34+E140*Scoring!$D$34+WR!F140*Scoring!$E$34+WR!G140/Scoring!$F$34+WR!H140*Scoring!$G$34+WR!I140*Scoring!$H$34+K140*Scoring!$I$34+WR!L140*Scoring!$J$34+U138</f>
        <v>149.16240000000002</v>
      </c>
      <c r="N138" s="66">
        <f>C138*Scoring!$B$34+D138/Scoring!$C$34+E138*Scoring!$D$34+WR!F138*Scoring!$E$34+WR!G138/Scoring!$F$34+WR!H138*Scoring!$G$34+WR!I138*Scoring!$H$34+K138*Scoring!$I$34+WR!L138*Scoring!$J$34+U138</f>
        <v>156.78240000000002</v>
      </c>
      <c r="O138" s="66">
        <f>C139*Scoring!$B$34+D139/Scoring!$C$34+E139*Scoring!$D$34+WR!F139*Scoring!$E$34+WR!G139/Scoring!$F$34+WR!H139*Scoring!$G$34+WR!I139*Scoring!$H$34+K139*Scoring!$I$34+WR!L139*Scoring!$J$34+U138</f>
        <v>164.66240000000002</v>
      </c>
      <c r="P138" s="20">
        <f>IF(COUNTIF(Rookies!$A:$A,A138)&gt;0,1,0)</f>
        <v>1</v>
      </c>
      <c r="S138" s="20">
        <f>V138/17</f>
        <v>8.1423529411764708</v>
      </c>
      <c r="T138" s="20">
        <f>IF(P138=1,MAX(0,0.28*(12-S138)),0)</f>
        <v>1.0801411764705884</v>
      </c>
      <c r="U138" s="20">
        <f>T138*17</f>
        <v>18.362400000000001</v>
      </c>
      <c r="V138" s="20">
        <f>C138*Scoring!$B$34+D138/Scoring!$C$34+E138*Scoring!$D$34+WR!F138*Scoring!$E$34+WR!G138/Scoring!$F$34+WR!H138*Scoring!$G$34+WR!I138*Scoring!$H$34+K138*Scoring!$I$34+WR!L138*Scoring!$J$34</f>
        <v>138.42000000000002</v>
      </c>
    </row>
    <row r="139" spans="1:22" ht="14.25" customHeight="1" x14ac:dyDescent="0.3">
      <c r="B139" t="s">
        <v>472</v>
      </c>
      <c r="C139">
        <v>60</v>
      </c>
      <c r="D139">
        <v>860</v>
      </c>
      <c r="E139">
        <v>5</v>
      </c>
      <c r="F139">
        <v>3</v>
      </c>
      <c r="G139">
        <v>13</v>
      </c>
      <c r="H139">
        <v>0</v>
      </c>
      <c r="I139">
        <v>0.5</v>
      </c>
      <c r="J139">
        <v>136</v>
      </c>
      <c r="K139" s="64">
        <f t="shared" si="4"/>
        <v>0.8056603773584905</v>
      </c>
      <c r="L139" s="64">
        <f t="shared" si="5"/>
        <v>42.29836829836831</v>
      </c>
      <c r="M139" s="67"/>
      <c r="N139" s="67"/>
      <c r="O139" s="67"/>
    </row>
    <row r="140" spans="1:22" ht="14.25" customHeight="1" x14ac:dyDescent="0.3">
      <c r="B140" t="s">
        <v>473</v>
      </c>
      <c r="C140">
        <v>52.3</v>
      </c>
      <c r="D140">
        <v>798.5</v>
      </c>
      <c r="E140">
        <v>4.8</v>
      </c>
      <c r="F140">
        <v>0</v>
      </c>
      <c r="G140">
        <v>0</v>
      </c>
      <c r="H140">
        <v>0</v>
      </c>
      <c r="I140">
        <v>2</v>
      </c>
      <c r="J140">
        <v>132.1</v>
      </c>
      <c r="K140" s="64">
        <f t="shared" si="4"/>
        <v>0</v>
      </c>
      <c r="L140" s="64">
        <f t="shared" si="5"/>
        <v>39.273543123543128</v>
      </c>
      <c r="M140" s="67"/>
      <c r="N140" s="67"/>
      <c r="O140" s="67"/>
    </row>
    <row r="141" spans="1:22" ht="14.25" customHeight="1" x14ac:dyDescent="0.3">
      <c r="A141" t="s">
        <v>759</v>
      </c>
      <c r="B141" t="s">
        <v>515</v>
      </c>
      <c r="C141">
        <v>58</v>
      </c>
      <c r="D141">
        <v>779.8</v>
      </c>
      <c r="E141">
        <v>4.5999999999999996</v>
      </c>
      <c r="F141">
        <v>6.1</v>
      </c>
      <c r="G141">
        <v>30.4</v>
      </c>
      <c r="H141">
        <v>0.1</v>
      </c>
      <c r="I141">
        <v>0.4</v>
      </c>
      <c r="J141">
        <v>137.30000000000001</v>
      </c>
      <c r="K141" s="64">
        <f t="shared" si="4"/>
        <v>1.8840058055152396</v>
      </c>
      <c r="L141" s="64">
        <f t="shared" si="5"/>
        <v>38.353799533799538</v>
      </c>
      <c r="M141" s="66">
        <f>C143*Scoring!$B$34+D143/Scoring!$C$34+E143*Scoring!$D$34+WR!F143*Scoring!$E$34+WR!G143/Scoring!$F$34+WR!H143*Scoring!$G$34+WR!I143*Scoring!$H$34+K143*Scoring!$I$34+WR!L143*Scoring!$J$34+U141</f>
        <v>118.8</v>
      </c>
      <c r="N141" s="66">
        <f>C141*Scoring!$B$34+D141/Scoring!$C$34+E141*Scoring!$D$34+WR!F141*Scoring!$E$34+WR!G141/Scoring!$F$34+WR!H141*Scoring!$G$34+WR!I141*Scoring!$H$34+K141*Scoring!$I$34+WR!L141*Scoring!$J$34+U141</f>
        <v>137.41999999999996</v>
      </c>
      <c r="O141" s="66">
        <f>C142*Scoring!$B$34+D142/Scoring!$C$34+E142*Scoring!$D$34+WR!F142*Scoring!$E$34+WR!G142/Scoring!$F$34+WR!H142*Scoring!$G$34+WR!I142*Scoring!$H$34+K142*Scoring!$I$34+WR!L142*Scoring!$J$34+U141</f>
        <v>160.62999999999997</v>
      </c>
      <c r="P141" s="20">
        <f>IF(COUNTIF(Rookies!$A:$A,A141)&gt;0,1,0)</f>
        <v>0</v>
      </c>
      <c r="S141" s="20">
        <f>V141/17</f>
        <v>8.0835294117647027</v>
      </c>
      <c r="T141" s="20">
        <f>IF(P141=1,MAX(0,0.28*(12-S141)),0)</f>
        <v>0</v>
      </c>
      <c r="U141" s="20">
        <f>T141*17</f>
        <v>0</v>
      </c>
      <c r="V141" s="20">
        <f>C141*Scoring!$B$34+D141/Scoring!$C$34+E141*Scoring!$D$34+WR!F141*Scoring!$E$34+WR!G141/Scoring!$F$34+WR!H141*Scoring!$G$34+WR!I141*Scoring!$H$34+K141*Scoring!$I$34+WR!L141*Scoring!$J$34</f>
        <v>137.41999999999996</v>
      </c>
    </row>
    <row r="142" spans="1:22" ht="14.25" customHeight="1" x14ac:dyDescent="0.3">
      <c r="B142" t="s">
        <v>472</v>
      </c>
      <c r="C142">
        <v>68</v>
      </c>
      <c r="D142">
        <v>887.3</v>
      </c>
      <c r="E142">
        <v>5</v>
      </c>
      <c r="F142">
        <v>14</v>
      </c>
      <c r="G142">
        <v>67</v>
      </c>
      <c r="H142">
        <v>0.2</v>
      </c>
      <c r="I142">
        <v>0</v>
      </c>
      <c r="J142">
        <v>156.19999999999999</v>
      </c>
      <c r="K142" s="64">
        <f t="shared" si="4"/>
        <v>4.1522496371552977</v>
      </c>
      <c r="L142" s="64">
        <f t="shared" si="5"/>
        <v>43.641095571095576</v>
      </c>
      <c r="M142" s="67"/>
      <c r="N142" s="67"/>
      <c r="O142" s="67"/>
    </row>
    <row r="143" spans="1:22" ht="14.25" customHeight="1" x14ac:dyDescent="0.3">
      <c r="B143" t="s">
        <v>473</v>
      </c>
      <c r="C143">
        <v>52</v>
      </c>
      <c r="D143">
        <v>702</v>
      </c>
      <c r="E143">
        <v>4</v>
      </c>
      <c r="F143">
        <v>0</v>
      </c>
      <c r="G143">
        <v>0</v>
      </c>
      <c r="H143">
        <v>0</v>
      </c>
      <c r="I143">
        <v>0.7</v>
      </c>
      <c r="J143">
        <v>122</v>
      </c>
      <c r="K143" s="64">
        <f t="shared" si="4"/>
        <v>0</v>
      </c>
      <c r="L143" s="64">
        <f t="shared" si="5"/>
        <v>34.527272727272724</v>
      </c>
      <c r="M143" s="67"/>
      <c r="N143" s="67"/>
      <c r="O143" s="67"/>
    </row>
    <row r="144" spans="1:22" ht="14.25" customHeight="1" x14ac:dyDescent="0.3">
      <c r="A144" t="s">
        <v>765</v>
      </c>
      <c r="B144" t="s">
        <v>477</v>
      </c>
      <c r="C144">
        <v>57.1</v>
      </c>
      <c r="D144">
        <v>746.1</v>
      </c>
      <c r="E144">
        <v>5.5</v>
      </c>
      <c r="F144">
        <v>0</v>
      </c>
      <c r="G144">
        <v>0</v>
      </c>
      <c r="H144">
        <v>0</v>
      </c>
      <c r="I144">
        <v>0.3</v>
      </c>
      <c r="J144">
        <v>135.4</v>
      </c>
      <c r="K144" s="64">
        <f t="shared" si="4"/>
        <v>0</v>
      </c>
      <c r="L144" s="64">
        <f t="shared" si="5"/>
        <v>36.696293706293709</v>
      </c>
      <c r="M144" s="66">
        <f>C146*Scoring!$B$34+D146/Scoring!$C$34+E146*Scoring!$D$34+WR!F146*Scoring!$E$34+WR!G146/Scoring!$F$34+WR!H146*Scoring!$G$34+WR!I146*Scoring!$H$34+K146*Scoring!$I$34+WR!L146*Scoring!$J$34+U144</f>
        <v>121.92</v>
      </c>
      <c r="N144" s="66">
        <f>C144*Scoring!$B$34+D144/Scoring!$C$34+E144*Scoring!$D$34+WR!F144*Scoring!$E$34+WR!G144/Scoring!$F$34+WR!H144*Scoring!$G$34+WR!I144*Scoring!$H$34+K144*Scoring!$I$34+WR!L144*Scoring!$J$34+U144</f>
        <v>135.56</v>
      </c>
      <c r="O144" s="66">
        <f>C145*Scoring!$B$34+D145/Scoring!$C$34+E145*Scoring!$D$34+WR!F145*Scoring!$E$34+WR!G145/Scoring!$F$34+WR!H145*Scoring!$G$34+WR!I145*Scoring!$H$34+K145*Scoring!$I$34+WR!L145*Scoring!$J$34+U144</f>
        <v>147.69999999999999</v>
      </c>
      <c r="P144" s="20">
        <f>IF(COUNTIF(Rookies!$A:$A,A144)&gt;0,1,0)</f>
        <v>0</v>
      </c>
      <c r="S144" s="20">
        <f>V144/17</f>
        <v>7.974117647058824</v>
      </c>
      <c r="T144" s="20">
        <f>IF(P144=1,MAX(0,0.28*(12-S144)),0)</f>
        <v>0</v>
      </c>
      <c r="U144" s="20">
        <f>T144*17</f>
        <v>0</v>
      </c>
      <c r="V144" s="20">
        <f>C144*Scoring!$B$34+D144/Scoring!$C$34+E144*Scoring!$D$34+WR!F144*Scoring!$E$34+WR!G144/Scoring!$F$34+WR!H144*Scoring!$G$34+WR!I144*Scoring!$H$34+K144*Scoring!$I$34+WR!L144*Scoring!$J$34</f>
        <v>135.56</v>
      </c>
    </row>
    <row r="145" spans="1:22" ht="14.25" customHeight="1" x14ac:dyDescent="0.3">
      <c r="B145" t="s">
        <v>472</v>
      </c>
      <c r="C145">
        <v>61</v>
      </c>
      <c r="D145">
        <v>812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163.5</v>
      </c>
      <c r="K145" s="64">
        <f t="shared" si="4"/>
        <v>0</v>
      </c>
      <c r="L145" s="64">
        <f t="shared" si="5"/>
        <v>39.937529137529147</v>
      </c>
      <c r="M145" s="67"/>
      <c r="N145" s="67"/>
      <c r="O145" s="67"/>
    </row>
    <row r="146" spans="1:22" ht="14.25" customHeight="1" x14ac:dyDescent="0.3">
      <c r="B146" t="s">
        <v>473</v>
      </c>
      <c r="C146">
        <v>52.4</v>
      </c>
      <c r="D146">
        <v>667.2</v>
      </c>
      <c r="E146">
        <v>5</v>
      </c>
      <c r="F146">
        <v>0</v>
      </c>
      <c r="G146">
        <v>0</v>
      </c>
      <c r="H146">
        <v>0</v>
      </c>
      <c r="I146">
        <v>0.5</v>
      </c>
      <c r="J146">
        <v>126.8</v>
      </c>
      <c r="K146" s="64">
        <f t="shared" si="4"/>
        <v>0</v>
      </c>
      <c r="L146" s="64">
        <f t="shared" si="5"/>
        <v>32.815664335664344</v>
      </c>
      <c r="M146" s="67"/>
      <c r="N146" s="67"/>
      <c r="O146" s="67"/>
    </row>
    <row r="147" spans="1:22" ht="14.25" customHeight="1" x14ac:dyDescent="0.3">
      <c r="A147" t="s">
        <v>760</v>
      </c>
      <c r="B147" t="s">
        <v>479</v>
      </c>
      <c r="C147">
        <v>68.3</v>
      </c>
      <c r="D147">
        <v>761.1</v>
      </c>
      <c r="E147">
        <v>4.2</v>
      </c>
      <c r="F147">
        <v>0.3</v>
      </c>
      <c r="G147">
        <v>0.7</v>
      </c>
      <c r="H147">
        <v>0</v>
      </c>
      <c r="I147">
        <v>0.3</v>
      </c>
      <c r="J147">
        <v>135.1</v>
      </c>
      <c r="K147" s="64">
        <f t="shared" si="4"/>
        <v>4.3381712626995646E-2</v>
      </c>
      <c r="L147" s="64">
        <f t="shared" si="5"/>
        <v>37.434055944055949</v>
      </c>
      <c r="M147" s="66">
        <f>C149*Scoring!$B$34+D149/Scoring!$C$34+E149*Scoring!$D$34+WR!F149*Scoring!$E$34+WR!G149/Scoring!$F$34+WR!H149*Scoring!$G$34+WR!I149*Scoring!$H$34+K149*Scoring!$I$34+WR!L149*Scoring!$J$34+U147</f>
        <v>126.4</v>
      </c>
      <c r="N147" s="66">
        <f>C147*Scoring!$B$34+D147/Scoring!$C$34+E147*Scoring!$D$34+WR!F147*Scoring!$E$34+WR!G147/Scoring!$F$34+WR!H147*Scoring!$G$34+WR!I147*Scoring!$H$34+K147*Scoring!$I$34+WR!L147*Scoring!$J$34+U147</f>
        <v>134.92999999999998</v>
      </c>
      <c r="O147" s="66">
        <f>C148*Scoring!$B$34+D148/Scoring!$C$34+E148*Scoring!$D$34+WR!F148*Scoring!$E$34+WR!G148/Scoring!$F$34+WR!H148*Scoring!$G$34+WR!I148*Scoring!$H$34+K148*Scoring!$I$34+WR!L148*Scoring!$J$34+U147</f>
        <v>144.54</v>
      </c>
      <c r="P147" s="20">
        <f>IF(COUNTIF(Rookies!$A:$A,A147)&gt;0,1,0)</f>
        <v>0</v>
      </c>
      <c r="S147" s="20">
        <f>V147/17</f>
        <v>7.9370588235294104</v>
      </c>
      <c r="T147" s="20">
        <f>IF(P147=1,MAX(0,0.28*(12-S147)),0)</f>
        <v>0</v>
      </c>
      <c r="U147" s="20">
        <f>T147*17</f>
        <v>0</v>
      </c>
      <c r="V147" s="20">
        <f>C147*Scoring!$B$34+D147/Scoring!$C$34+E147*Scoring!$D$34+WR!F147*Scoring!$E$34+WR!G147/Scoring!$F$34+WR!H147*Scoring!$G$34+WR!I147*Scoring!$H$34+K147*Scoring!$I$34+WR!L147*Scoring!$J$34</f>
        <v>134.92999999999998</v>
      </c>
    </row>
    <row r="148" spans="1:22" ht="14.25" customHeight="1" x14ac:dyDescent="0.3">
      <c r="B148" t="s">
        <v>472</v>
      </c>
      <c r="C148">
        <v>74.8</v>
      </c>
      <c r="D148">
        <v>769.4</v>
      </c>
      <c r="E148">
        <v>5</v>
      </c>
      <c r="F148">
        <v>1</v>
      </c>
      <c r="G148">
        <v>2</v>
      </c>
      <c r="H148">
        <v>0</v>
      </c>
      <c r="I148">
        <v>0</v>
      </c>
      <c r="J148">
        <v>171.7</v>
      </c>
      <c r="K148" s="64">
        <f t="shared" si="4"/>
        <v>0.12394775036284469</v>
      </c>
      <c r="L148" s="64">
        <f t="shared" si="5"/>
        <v>37.842284382284383</v>
      </c>
      <c r="M148" s="67"/>
      <c r="N148" s="67"/>
      <c r="O148" s="67"/>
    </row>
    <row r="149" spans="1:22" ht="14.25" customHeight="1" x14ac:dyDescent="0.3">
      <c r="B149" t="s">
        <v>473</v>
      </c>
      <c r="C149">
        <v>62</v>
      </c>
      <c r="D149">
        <v>748</v>
      </c>
      <c r="E149">
        <v>3.6</v>
      </c>
      <c r="F149">
        <v>0</v>
      </c>
      <c r="G149">
        <v>0</v>
      </c>
      <c r="H149">
        <v>0</v>
      </c>
      <c r="I149">
        <v>0.5</v>
      </c>
      <c r="J149">
        <v>125.1</v>
      </c>
      <c r="K149" s="64">
        <f t="shared" si="4"/>
        <v>0</v>
      </c>
      <c r="L149" s="64">
        <f t="shared" si="5"/>
        <v>36.789743589743594</v>
      </c>
      <c r="M149" s="67"/>
      <c r="N149" s="67"/>
      <c r="O149" s="67"/>
    </row>
    <row r="150" spans="1:22" ht="14.25" customHeight="1" x14ac:dyDescent="0.3">
      <c r="A150" t="s">
        <v>757</v>
      </c>
      <c r="B150" t="s">
        <v>487</v>
      </c>
      <c r="C150">
        <v>56.8</v>
      </c>
      <c r="D150">
        <v>639.29999999999995</v>
      </c>
      <c r="E150">
        <v>4.4000000000000004</v>
      </c>
      <c r="F150">
        <v>29.1</v>
      </c>
      <c r="G150">
        <v>112.1</v>
      </c>
      <c r="H150">
        <v>1.1000000000000001</v>
      </c>
      <c r="I150">
        <v>0.9</v>
      </c>
      <c r="J150">
        <v>134.4</v>
      </c>
      <c r="K150" s="64">
        <f t="shared" si="4"/>
        <v>6.9472714078374453</v>
      </c>
      <c r="L150" s="64">
        <f t="shared" si="5"/>
        <v>31.443426573426574</v>
      </c>
      <c r="M150" s="66">
        <f>C152*Scoring!$B$34+D152/Scoring!$C$34+E152*Scoring!$D$34+WR!F152*Scoring!$E$34+WR!G152/Scoring!$F$34+WR!H152*Scoring!$G$34+WR!I152*Scoring!$H$34+K152*Scoring!$I$34+WR!L152*Scoring!$J$34+U150</f>
        <v>123.44</v>
      </c>
      <c r="N150" s="66">
        <f>C150*Scoring!$B$34+D150/Scoring!$C$34+E150*Scoring!$D$34+WR!F150*Scoring!$E$34+WR!G150/Scoring!$F$34+WR!H150*Scoring!$G$34+WR!I150*Scoring!$H$34+K150*Scoring!$I$34+WR!L150*Scoring!$J$34+U150</f>
        <v>134.73999999999998</v>
      </c>
      <c r="O150" s="66">
        <f>C151*Scoring!$B$34+D151/Scoring!$C$34+E151*Scoring!$D$34+WR!F151*Scoring!$E$34+WR!G151/Scoring!$F$34+WR!H151*Scoring!$G$34+WR!I151*Scoring!$H$34+K151*Scoring!$I$34+WR!L151*Scoring!$J$34+U150</f>
        <v>145.1</v>
      </c>
      <c r="P150" s="20">
        <f>IF(COUNTIF(Rookies!$A:$A,A150)&gt;0,1,0)</f>
        <v>0</v>
      </c>
      <c r="S150" s="20">
        <f>V150/17</f>
        <v>7.9258823529411755</v>
      </c>
      <c r="T150" s="20">
        <f>IF(P150=1,MAX(0,0.28*(12-S150)),0)</f>
        <v>0</v>
      </c>
      <c r="U150" s="20">
        <f>T150*17</f>
        <v>0</v>
      </c>
      <c r="V150" s="20">
        <f>C150*Scoring!$B$34+D150/Scoring!$C$34+E150*Scoring!$D$34+WR!F150*Scoring!$E$34+WR!G150/Scoring!$F$34+WR!H150*Scoring!$G$34+WR!I150*Scoring!$H$34+K150*Scoring!$I$34+WR!L150*Scoring!$J$34</f>
        <v>134.73999999999998</v>
      </c>
    </row>
    <row r="151" spans="1:22" ht="14.25" customHeight="1" x14ac:dyDescent="0.3">
      <c r="B151" t="s">
        <v>472</v>
      </c>
      <c r="C151">
        <v>66</v>
      </c>
      <c r="D151">
        <v>654</v>
      </c>
      <c r="E151">
        <v>5</v>
      </c>
      <c r="F151">
        <v>36</v>
      </c>
      <c r="G151">
        <v>115</v>
      </c>
      <c r="H151">
        <v>1.1000000000000001</v>
      </c>
      <c r="I151">
        <v>0.7</v>
      </c>
      <c r="J151">
        <v>130.30000000000001</v>
      </c>
      <c r="K151" s="64">
        <f t="shared" si="4"/>
        <v>7.1269956458635715</v>
      </c>
      <c r="L151" s="64">
        <f t="shared" si="5"/>
        <v>32.166433566433568</v>
      </c>
      <c r="M151" s="67"/>
      <c r="N151" s="67"/>
      <c r="O151" s="67"/>
    </row>
    <row r="152" spans="1:22" ht="14.25" customHeight="1" x14ac:dyDescent="0.3">
      <c r="B152" t="s">
        <v>473</v>
      </c>
      <c r="C152">
        <v>47.7</v>
      </c>
      <c r="D152">
        <v>624.6</v>
      </c>
      <c r="E152">
        <v>3.7</v>
      </c>
      <c r="F152">
        <v>22.1</v>
      </c>
      <c r="G152">
        <v>109.3</v>
      </c>
      <c r="H152">
        <v>1</v>
      </c>
      <c r="I152">
        <v>1</v>
      </c>
      <c r="J152">
        <v>122.4</v>
      </c>
      <c r="K152" s="64">
        <f t="shared" si="4"/>
        <v>6.7737445573294632</v>
      </c>
      <c r="L152" s="64">
        <f t="shared" si="5"/>
        <v>30.720419580419588</v>
      </c>
      <c r="M152" s="67"/>
      <c r="N152" s="67"/>
      <c r="O152" s="67"/>
    </row>
    <row r="153" spans="1:22" ht="14.25" customHeight="1" x14ac:dyDescent="0.3">
      <c r="A153" t="s">
        <v>762</v>
      </c>
      <c r="B153" t="s">
        <v>535</v>
      </c>
      <c r="C153">
        <v>63.8</v>
      </c>
      <c r="D153">
        <v>792.5</v>
      </c>
      <c r="E153">
        <v>3.6</v>
      </c>
      <c r="F153">
        <v>4.2</v>
      </c>
      <c r="G153">
        <v>22.5</v>
      </c>
      <c r="H153">
        <v>0.1</v>
      </c>
      <c r="I153">
        <v>1.3</v>
      </c>
      <c r="J153">
        <v>132.80000000000001</v>
      </c>
      <c r="K153" s="64">
        <f t="shared" si="4"/>
        <v>1.3944121915820029</v>
      </c>
      <c r="L153" s="64">
        <f t="shared" si="5"/>
        <v>38.978438228438229</v>
      </c>
      <c r="M153" s="66">
        <f>C155*Scoring!$B$34+D155/Scoring!$C$34+E155*Scoring!$D$34+WR!F155*Scoring!$E$34+WR!G155/Scoring!$F$34+WR!H155*Scoring!$G$34+WR!I155*Scoring!$H$34+K155*Scoring!$I$34+WR!L155*Scoring!$J$34+U153</f>
        <v>138.63999999999999</v>
      </c>
      <c r="N153" s="66">
        <f>C153*Scoring!$B$34+D153/Scoring!$C$34+E153*Scoring!$D$34+WR!F153*Scoring!$E$34+WR!G153/Scoring!$F$34+WR!H153*Scoring!$G$34+WR!I153*Scoring!$H$34+K153*Scoring!$I$34+WR!L153*Scoring!$J$34+U153</f>
        <v>152.88</v>
      </c>
      <c r="O153" s="66">
        <f>C154*Scoring!$B$34+D154/Scoring!$C$34+E154*Scoring!$D$34+WR!F154*Scoring!$E$34+WR!G154/Scoring!$F$34+WR!H154*Scoring!$G$34+WR!I154*Scoring!$H$34+K154*Scoring!$I$34+WR!L154*Scoring!$J$34+U153</f>
        <v>166.36999999999998</v>
      </c>
      <c r="P153" s="20">
        <f>IF(COUNTIF(Rookies!$A:$A,A153)&gt;0,1,0)</f>
        <v>1</v>
      </c>
      <c r="S153" s="20">
        <f>V153/17</f>
        <v>7.8235294117647056</v>
      </c>
      <c r="T153" s="20">
        <f>IF(P153=1,MAX(0,0.28*(12-S153)),0)</f>
        <v>1.1694117647058826</v>
      </c>
      <c r="U153" s="20">
        <f>T153*17</f>
        <v>19.880000000000003</v>
      </c>
      <c r="V153" s="20">
        <f>C153*Scoring!$B$34+D153/Scoring!$C$34+E153*Scoring!$D$34+WR!F153*Scoring!$E$34+WR!G153/Scoring!$F$34+WR!H153*Scoring!$G$34+WR!I153*Scoring!$H$34+K153*Scoring!$I$34+WR!L153*Scoring!$J$34</f>
        <v>133</v>
      </c>
    </row>
    <row r="154" spans="1:22" ht="14.25" customHeight="1" x14ac:dyDescent="0.3">
      <c r="B154" t="s">
        <v>472</v>
      </c>
      <c r="C154">
        <v>69</v>
      </c>
      <c r="D154">
        <v>847</v>
      </c>
      <c r="E154">
        <v>4</v>
      </c>
      <c r="F154">
        <v>6.4</v>
      </c>
      <c r="G154">
        <v>34.9</v>
      </c>
      <c r="H154">
        <v>0.2</v>
      </c>
      <c r="I154">
        <v>0.7</v>
      </c>
      <c r="J154">
        <v>129.30000000000001</v>
      </c>
      <c r="K154" s="64">
        <f t="shared" si="4"/>
        <v>2.1628882438316399</v>
      </c>
      <c r="L154" s="64">
        <f t="shared" si="5"/>
        <v>41.658974358974362</v>
      </c>
      <c r="M154" s="67"/>
      <c r="N154" s="67"/>
      <c r="O154" s="67"/>
    </row>
    <row r="155" spans="1:22" ht="14.25" customHeight="1" x14ac:dyDescent="0.3">
      <c r="B155" t="s">
        <v>473</v>
      </c>
      <c r="C155">
        <v>58.7</v>
      </c>
      <c r="D155">
        <v>738.1</v>
      </c>
      <c r="E155">
        <v>3.1</v>
      </c>
      <c r="F155">
        <v>2</v>
      </c>
      <c r="G155">
        <v>10</v>
      </c>
      <c r="H155">
        <v>0</v>
      </c>
      <c r="I155">
        <v>2</v>
      </c>
      <c r="J155">
        <v>126.9</v>
      </c>
      <c r="K155" s="64">
        <f t="shared" si="4"/>
        <v>0.61973875181422355</v>
      </c>
      <c r="L155" s="64">
        <f t="shared" si="5"/>
        <v>36.302820512820517</v>
      </c>
      <c r="M155" s="67"/>
      <c r="N155" s="67"/>
      <c r="O155" s="67"/>
    </row>
    <row r="156" spans="1:22" ht="14.25" customHeight="1" x14ac:dyDescent="0.3">
      <c r="A156" t="s">
        <v>761</v>
      </c>
      <c r="B156" t="s">
        <v>517</v>
      </c>
      <c r="C156">
        <v>49.9</v>
      </c>
      <c r="D156">
        <v>753.2</v>
      </c>
      <c r="E156">
        <v>3.8</v>
      </c>
      <c r="F156">
        <v>13.4</v>
      </c>
      <c r="G156">
        <v>88.9</v>
      </c>
      <c r="H156">
        <v>0.3</v>
      </c>
      <c r="I156">
        <v>0.8</v>
      </c>
      <c r="J156">
        <v>131.6</v>
      </c>
      <c r="K156" s="64">
        <f t="shared" si="4"/>
        <v>5.5094775036284478</v>
      </c>
      <c r="L156" s="64">
        <f t="shared" si="5"/>
        <v>37.045501165501172</v>
      </c>
      <c r="M156" s="66">
        <f>C158*Scoring!$B$34+D158/Scoring!$C$34+E158*Scoring!$D$34+WR!F158*Scoring!$E$34+WR!G158/Scoring!$F$34+WR!H158*Scoring!$G$34+WR!I158*Scoring!$H$34+K158*Scoring!$I$34+WR!L158*Scoring!$J$34+U156</f>
        <v>113.71</v>
      </c>
      <c r="N156" s="66">
        <f>C156*Scoring!$B$34+D156/Scoring!$C$34+E156*Scoring!$D$34+WR!F156*Scoring!$E$34+WR!G156/Scoring!$F$34+WR!H156*Scoring!$G$34+WR!I156*Scoring!$H$34+K156*Scoring!$I$34+WR!L156*Scoring!$J$34+U156</f>
        <v>132.16000000000003</v>
      </c>
      <c r="O156" s="66">
        <f>C157*Scoring!$B$34+D157/Scoring!$C$34+E157*Scoring!$D$34+WR!F157*Scoring!$E$34+WR!G157/Scoring!$F$34+WR!H157*Scoring!$G$34+WR!I157*Scoring!$H$34+K157*Scoring!$I$34+WR!L157*Scoring!$J$34+U156</f>
        <v>149.4</v>
      </c>
      <c r="P156" s="20">
        <f>IF(COUNTIF(Rookies!$A:$A,A156)&gt;0,1,0)</f>
        <v>0</v>
      </c>
      <c r="S156" s="20">
        <f>V156/17</f>
        <v>7.7741176470588247</v>
      </c>
      <c r="T156" s="20">
        <f>IF(P156=1,MAX(0,0.28*(12-S156)),0)</f>
        <v>0</v>
      </c>
      <c r="U156" s="20">
        <f>T156*17</f>
        <v>0</v>
      </c>
      <c r="V156" s="20">
        <f>C156*Scoring!$B$34+D156/Scoring!$C$34+E156*Scoring!$D$34+WR!F156*Scoring!$E$34+WR!G156/Scoring!$F$34+WR!H156*Scoring!$G$34+WR!I156*Scoring!$H$34+K156*Scoring!$I$34+WR!L156*Scoring!$J$34</f>
        <v>132.16000000000003</v>
      </c>
    </row>
    <row r="157" spans="1:22" ht="14.25" customHeight="1" x14ac:dyDescent="0.3">
      <c r="B157" t="s">
        <v>472</v>
      </c>
      <c r="C157">
        <v>57</v>
      </c>
      <c r="D157">
        <v>860</v>
      </c>
      <c r="E157">
        <v>4</v>
      </c>
      <c r="F157">
        <v>13.8</v>
      </c>
      <c r="G157">
        <v>91</v>
      </c>
      <c r="H157">
        <v>0.5</v>
      </c>
      <c r="I157">
        <v>0.6</v>
      </c>
      <c r="J157">
        <v>129</v>
      </c>
      <c r="K157" s="64">
        <f t="shared" si="4"/>
        <v>5.6396226415094342</v>
      </c>
      <c r="L157" s="64">
        <f t="shared" si="5"/>
        <v>42.298368298368302</v>
      </c>
      <c r="M157" s="67"/>
      <c r="N157" s="67"/>
      <c r="O157" s="67"/>
    </row>
    <row r="158" spans="1:22" ht="14.25" customHeight="1" x14ac:dyDescent="0.3">
      <c r="B158" t="s">
        <v>473</v>
      </c>
      <c r="C158">
        <v>42.8</v>
      </c>
      <c r="D158">
        <v>646.4</v>
      </c>
      <c r="E158">
        <v>3.5</v>
      </c>
      <c r="F158">
        <v>13</v>
      </c>
      <c r="G158">
        <v>86.7</v>
      </c>
      <c r="H158">
        <v>0</v>
      </c>
      <c r="I158">
        <v>1</v>
      </c>
      <c r="J158">
        <v>126.6</v>
      </c>
      <c r="K158" s="64">
        <f t="shared" si="4"/>
        <v>5.3731349782293183</v>
      </c>
      <c r="L158" s="64">
        <f t="shared" si="5"/>
        <v>31.792634032634034</v>
      </c>
      <c r="M158" s="67"/>
      <c r="N158" s="67"/>
      <c r="O158" s="67"/>
    </row>
    <row r="159" spans="1:22" ht="14.25" customHeight="1" x14ac:dyDescent="0.3">
      <c r="A159" t="s">
        <v>763</v>
      </c>
      <c r="B159" t="s">
        <v>471</v>
      </c>
      <c r="C159">
        <v>69.7</v>
      </c>
      <c r="D159">
        <v>725.8</v>
      </c>
      <c r="E159">
        <v>3.9</v>
      </c>
      <c r="F159">
        <v>1.1000000000000001</v>
      </c>
      <c r="G159">
        <v>5.5</v>
      </c>
      <c r="H159">
        <v>0</v>
      </c>
      <c r="I159">
        <v>0.8</v>
      </c>
      <c r="J159">
        <v>130.1</v>
      </c>
      <c r="K159" s="64">
        <f t="shared" si="4"/>
        <v>0.34085631349782297</v>
      </c>
      <c r="L159" s="64">
        <f t="shared" si="5"/>
        <v>35.697855477855484</v>
      </c>
      <c r="M159" s="66">
        <f>C161*Scoring!$B$34+D161/Scoring!$C$34+E161*Scoring!$D$34+WR!F161*Scoring!$E$34+WR!G161/Scoring!$F$34+WR!H161*Scoring!$G$34+WR!I161*Scoring!$H$34+K161*Scoring!$I$34+WR!L161*Scoring!$J$34+U159</f>
        <v>118.3</v>
      </c>
      <c r="N159" s="66">
        <f>C159*Scoring!$B$34+D159/Scoring!$C$34+E159*Scoring!$D$34+WR!F159*Scoring!$E$34+WR!G159/Scoring!$F$34+WR!H159*Scoring!$G$34+WR!I159*Scoring!$H$34+K159*Scoring!$I$34+WR!L159*Scoring!$J$34+U159</f>
        <v>129.78000000000003</v>
      </c>
      <c r="O159" s="66">
        <f>C160*Scoring!$B$34+D160/Scoring!$C$34+E160*Scoring!$D$34+WR!F160*Scoring!$E$34+WR!G160/Scoring!$F$34+WR!H160*Scoring!$G$34+WR!I160*Scoring!$H$34+K160*Scoring!$I$34+WR!L160*Scoring!$J$34+U159</f>
        <v>137.25</v>
      </c>
      <c r="P159" s="20">
        <f>IF(COUNTIF(Rookies!$A:$A,A159)&gt;0,1,0)</f>
        <v>0</v>
      </c>
      <c r="S159" s="20">
        <f>V159/17</f>
        <v>7.634117647058825</v>
      </c>
      <c r="T159" s="20">
        <f>IF(P159=1,MAX(0,0.28*(12-S159)),0)</f>
        <v>0</v>
      </c>
      <c r="U159" s="20">
        <f>T159*17</f>
        <v>0</v>
      </c>
      <c r="V159" s="20">
        <f>C159*Scoring!$B$34+D159/Scoring!$C$34+E159*Scoring!$D$34+WR!F159*Scoring!$E$34+WR!G159/Scoring!$F$34+WR!H159*Scoring!$G$34+WR!I159*Scoring!$H$34+K159*Scoring!$I$34+WR!L159*Scoring!$J$34</f>
        <v>129.78000000000003</v>
      </c>
    </row>
    <row r="160" spans="1:22" ht="14.25" customHeight="1" x14ac:dyDescent="0.3">
      <c r="B160" t="s">
        <v>472</v>
      </c>
      <c r="C160">
        <v>72</v>
      </c>
      <c r="D160">
        <v>766</v>
      </c>
      <c r="E160">
        <v>4</v>
      </c>
      <c r="F160">
        <v>2.2999999999999998</v>
      </c>
      <c r="G160">
        <v>12.5</v>
      </c>
      <c r="H160">
        <v>0.1</v>
      </c>
      <c r="I160">
        <v>0.6</v>
      </c>
      <c r="J160">
        <v>171.4</v>
      </c>
      <c r="K160" s="64">
        <f t="shared" si="4"/>
        <v>0.77467343976777947</v>
      </c>
      <c r="L160" s="64">
        <f t="shared" si="5"/>
        <v>37.675058275058284</v>
      </c>
      <c r="M160" s="67"/>
      <c r="N160" s="67"/>
      <c r="O160" s="67"/>
    </row>
    <row r="161" spans="1:22" ht="14.25" customHeight="1" x14ac:dyDescent="0.3">
      <c r="B161" t="s">
        <v>473</v>
      </c>
      <c r="C161">
        <v>67</v>
      </c>
      <c r="D161">
        <v>646</v>
      </c>
      <c r="E161">
        <v>3.7</v>
      </c>
      <c r="F161">
        <v>0</v>
      </c>
      <c r="G161">
        <v>0</v>
      </c>
      <c r="H161">
        <v>0</v>
      </c>
      <c r="I161">
        <v>1</v>
      </c>
      <c r="J161">
        <v>112.8</v>
      </c>
      <c r="K161" s="64">
        <f t="shared" si="4"/>
        <v>0</v>
      </c>
      <c r="L161" s="64">
        <f t="shared" si="5"/>
        <v>31.772960372960377</v>
      </c>
      <c r="M161" s="67"/>
      <c r="N161" s="67"/>
      <c r="O161" s="67"/>
    </row>
    <row r="162" spans="1:22" ht="14.25" customHeight="1" x14ac:dyDescent="0.3">
      <c r="A162" t="s">
        <v>764</v>
      </c>
      <c r="B162" t="s">
        <v>511</v>
      </c>
      <c r="C162">
        <v>69</v>
      </c>
      <c r="D162">
        <v>704.3</v>
      </c>
      <c r="E162">
        <v>4.2</v>
      </c>
      <c r="F162">
        <v>1.4</v>
      </c>
      <c r="G162">
        <v>4.2</v>
      </c>
      <c r="H162">
        <v>0</v>
      </c>
      <c r="I162">
        <v>0.8</v>
      </c>
      <c r="J162">
        <v>129.4</v>
      </c>
      <c r="K162" s="64">
        <f t="shared" si="4"/>
        <v>0.26029027576197389</v>
      </c>
      <c r="L162" s="64">
        <f t="shared" si="5"/>
        <v>34.640396270396273</v>
      </c>
      <c r="M162" s="66">
        <f>C164*Scoring!$B$34+D164/Scoring!$C$34+E164*Scoring!$D$34+WR!F164*Scoring!$E$34+WR!G164/Scoring!$F$34+WR!H164*Scoring!$G$34+WR!I164*Scoring!$H$34+K164*Scoring!$I$34+WR!L164*Scoring!$J$34+U162</f>
        <v>117.79</v>
      </c>
      <c r="N162" s="66">
        <f>C162*Scoring!$B$34+D162/Scoring!$C$34+E162*Scoring!$D$34+WR!F162*Scoring!$E$34+WR!G162/Scoring!$F$34+WR!H162*Scoring!$G$34+WR!I162*Scoring!$H$34+K162*Scoring!$I$34+WR!L162*Scoring!$J$34+U162</f>
        <v>128.94999999999999</v>
      </c>
      <c r="O162" s="66">
        <f>C163*Scoring!$B$34+D163/Scoring!$C$34+E163*Scoring!$D$34+WR!F163*Scoring!$E$34+WR!G163/Scoring!$F$34+WR!H163*Scoring!$G$34+WR!I163*Scoring!$H$34+K163*Scoring!$I$34+WR!L163*Scoring!$J$34+U162</f>
        <v>142.52000000000001</v>
      </c>
      <c r="P162" s="20">
        <f>IF(COUNTIF(Rookies!$A:$A,A162)&gt;0,1,0)</f>
        <v>0</v>
      </c>
      <c r="S162" s="20">
        <f>V162/17</f>
        <v>7.5852941176470585</v>
      </c>
      <c r="T162" s="20">
        <f>IF(P162=1,MAX(0,0.28*(12-S162)),0)</f>
        <v>0</v>
      </c>
      <c r="U162" s="20">
        <f>T162*17</f>
        <v>0</v>
      </c>
      <c r="V162" s="20">
        <f>C162*Scoring!$B$34+D162/Scoring!$C$34+E162*Scoring!$D$34+WR!F162*Scoring!$E$34+WR!G162/Scoring!$F$34+WR!H162*Scoring!$G$34+WR!I162*Scoring!$H$34+K162*Scoring!$I$34+WR!L162*Scoring!$J$34</f>
        <v>128.94999999999999</v>
      </c>
    </row>
    <row r="163" spans="1:22" ht="14.25" customHeight="1" x14ac:dyDescent="0.3">
      <c r="B163" t="s">
        <v>472</v>
      </c>
      <c r="C163">
        <v>70.099999999999994</v>
      </c>
      <c r="D163">
        <v>710</v>
      </c>
      <c r="E163">
        <v>6</v>
      </c>
      <c r="F163">
        <v>2.1</v>
      </c>
      <c r="G163">
        <v>10.7</v>
      </c>
      <c r="H163">
        <v>0.1</v>
      </c>
      <c r="I163">
        <v>0.6</v>
      </c>
      <c r="J163">
        <v>163.19999999999999</v>
      </c>
      <c r="K163" s="64">
        <f t="shared" si="4"/>
        <v>0.66312046444121919</v>
      </c>
      <c r="L163" s="64">
        <f t="shared" si="5"/>
        <v>34.920745920745929</v>
      </c>
      <c r="M163" s="67"/>
      <c r="N163" s="67"/>
      <c r="O163" s="67"/>
    </row>
    <row r="164" spans="1:22" ht="14.25" customHeight="1" x14ac:dyDescent="0.3">
      <c r="B164" t="s">
        <v>473</v>
      </c>
      <c r="C164">
        <v>68</v>
      </c>
      <c r="D164">
        <v>695.9</v>
      </c>
      <c r="E164">
        <v>2.7</v>
      </c>
      <c r="F164">
        <v>0</v>
      </c>
      <c r="G164">
        <v>0</v>
      </c>
      <c r="H164">
        <v>0</v>
      </c>
      <c r="I164">
        <v>1</v>
      </c>
      <c r="J164">
        <v>122.1</v>
      </c>
      <c r="K164" s="64">
        <f t="shared" si="4"/>
        <v>0</v>
      </c>
      <c r="L164" s="64">
        <f t="shared" si="5"/>
        <v>34.227249417249418</v>
      </c>
      <c r="M164" s="67"/>
      <c r="N164" s="67"/>
      <c r="O164" s="67"/>
    </row>
    <row r="165" spans="1:22" ht="14.25" customHeight="1" x14ac:dyDescent="0.3">
      <c r="A165" t="s">
        <v>766</v>
      </c>
      <c r="B165" t="s">
        <v>521</v>
      </c>
      <c r="C165">
        <v>60.1</v>
      </c>
      <c r="D165">
        <v>716.8</v>
      </c>
      <c r="E165">
        <v>4.5</v>
      </c>
      <c r="F165">
        <v>0</v>
      </c>
      <c r="G165">
        <v>0</v>
      </c>
      <c r="H165">
        <v>0</v>
      </c>
      <c r="I165">
        <v>0.8</v>
      </c>
      <c r="J165">
        <v>127.1</v>
      </c>
      <c r="K165" s="64">
        <f t="shared" si="4"/>
        <v>0</v>
      </c>
      <c r="L165" s="64">
        <f t="shared" si="5"/>
        <v>35.255198135198135</v>
      </c>
      <c r="M165" s="66">
        <f>C167*Scoring!$B$34+D167/Scoring!$C$34+E167*Scoring!$D$34+WR!F167*Scoring!$E$34+WR!G167/Scoring!$F$34+WR!H167*Scoring!$G$34+WR!I167*Scoring!$H$34+K167*Scoring!$I$34+WR!L167*Scoring!$J$34+U165</f>
        <v>114.27000000000001</v>
      </c>
      <c r="N165" s="66">
        <f>C165*Scoring!$B$34+D165/Scoring!$C$34+E165*Scoring!$D$34+WR!F165*Scoring!$E$34+WR!G165/Scoring!$F$34+WR!H165*Scoring!$G$34+WR!I165*Scoring!$H$34+K165*Scoring!$I$34+WR!L165*Scoring!$J$34+U165</f>
        <v>127.13</v>
      </c>
      <c r="O165" s="66">
        <f>C166*Scoring!$B$34+D166/Scoring!$C$34+E166*Scoring!$D$34+WR!F166*Scoring!$E$34+WR!G166/Scoring!$F$34+WR!H166*Scoring!$G$34+WR!I166*Scoring!$H$34+K166*Scoring!$I$34+WR!L166*Scoring!$J$34+U165</f>
        <v>140</v>
      </c>
      <c r="P165" s="20">
        <f>IF(COUNTIF(Rookies!$A:$A,A165)&gt;0,1,0)</f>
        <v>0</v>
      </c>
      <c r="S165" s="20">
        <f>V165/17</f>
        <v>7.4782352941176464</v>
      </c>
      <c r="T165" s="20">
        <f>IF(P165=1,MAX(0,0.28*(12-S165)),0)</f>
        <v>0</v>
      </c>
      <c r="U165" s="20">
        <f>T165*17</f>
        <v>0</v>
      </c>
      <c r="V165" s="20">
        <f>C165*Scoring!$B$34+D165/Scoring!$C$34+E165*Scoring!$D$34+WR!F165*Scoring!$E$34+WR!G165/Scoring!$F$34+WR!H165*Scoring!$G$34+WR!I165*Scoring!$H$34+K165*Scoring!$I$34+WR!L165*Scoring!$J$34</f>
        <v>127.13</v>
      </c>
    </row>
    <row r="166" spans="1:22" ht="14.25" customHeight="1" x14ac:dyDescent="0.3">
      <c r="B166" t="s">
        <v>472</v>
      </c>
      <c r="C166">
        <v>61.2</v>
      </c>
      <c r="D166">
        <v>746</v>
      </c>
      <c r="E166">
        <v>6</v>
      </c>
      <c r="F166">
        <v>0</v>
      </c>
      <c r="G166">
        <v>0</v>
      </c>
      <c r="H166">
        <v>0</v>
      </c>
      <c r="I166">
        <v>0.6</v>
      </c>
      <c r="J166">
        <v>130</v>
      </c>
      <c r="K166" s="64">
        <f t="shared" si="4"/>
        <v>0</v>
      </c>
      <c r="L166" s="64">
        <f t="shared" si="5"/>
        <v>36.691375291375287</v>
      </c>
      <c r="M166" s="67"/>
      <c r="N166" s="67"/>
      <c r="O166" s="67"/>
    </row>
    <row r="167" spans="1:22" ht="14.25" customHeight="1" x14ac:dyDescent="0.3">
      <c r="B167" t="s">
        <v>473</v>
      </c>
      <c r="C167">
        <v>59</v>
      </c>
      <c r="D167">
        <v>687.7</v>
      </c>
      <c r="E167">
        <v>3</v>
      </c>
      <c r="F167">
        <v>0</v>
      </c>
      <c r="G167">
        <v>0</v>
      </c>
      <c r="H167">
        <v>0</v>
      </c>
      <c r="I167">
        <v>1</v>
      </c>
      <c r="J167">
        <v>115.9</v>
      </c>
      <c r="K167" s="64">
        <f t="shared" si="4"/>
        <v>0</v>
      </c>
      <c r="L167" s="64">
        <f t="shared" si="5"/>
        <v>33.823939393939398</v>
      </c>
      <c r="M167" s="67"/>
      <c r="N167" s="67"/>
      <c r="O167" s="67"/>
    </row>
    <row r="168" spans="1:22" ht="14.25" customHeight="1" x14ac:dyDescent="0.3">
      <c r="A168" t="s">
        <v>772</v>
      </c>
      <c r="B168" t="s">
        <v>535</v>
      </c>
      <c r="C168">
        <v>59</v>
      </c>
      <c r="D168">
        <v>775.4</v>
      </c>
      <c r="E168">
        <v>3.4</v>
      </c>
      <c r="F168">
        <v>0.5</v>
      </c>
      <c r="G168">
        <v>2</v>
      </c>
      <c r="H168">
        <v>0</v>
      </c>
      <c r="I168">
        <v>0.7</v>
      </c>
      <c r="J168">
        <v>125.9</v>
      </c>
      <c r="K168" s="64">
        <f t="shared" si="4"/>
        <v>0.12394775036284469</v>
      </c>
      <c r="L168" s="64">
        <f t="shared" si="5"/>
        <v>38.137389277389275</v>
      </c>
      <c r="M168" s="66">
        <f>C170*Scoring!$B$34+D170/Scoring!$C$34+E170*Scoring!$D$34+WR!F170*Scoring!$E$34+WR!G170/Scoring!$F$34+WR!H170*Scoring!$G$34+WR!I170*Scoring!$H$34+K170*Scoring!$I$34+WR!L170*Scoring!$J$34+U168</f>
        <v>112.22000000000001</v>
      </c>
      <c r="N168" s="66">
        <f>C168*Scoring!$B$34+D168/Scoring!$C$34+E168*Scoring!$D$34+WR!F168*Scoring!$E$34+WR!G168/Scoring!$F$34+WR!H168*Scoring!$G$34+WR!I168*Scoring!$H$34+K168*Scoring!$I$34+WR!L168*Scoring!$J$34+U168</f>
        <v>126.24</v>
      </c>
      <c r="O168" s="66">
        <f>C169*Scoring!$B$34+D169/Scoring!$C$34+E169*Scoring!$D$34+WR!F169*Scoring!$E$34+WR!G169/Scoring!$F$34+WR!H169*Scoring!$G$34+WR!I169*Scoring!$H$34+K169*Scoring!$I$34+WR!L169*Scoring!$J$34+U168</f>
        <v>139.4</v>
      </c>
      <c r="P168" s="20">
        <f>IF(COUNTIF(Rookies!$A:$A,A168)&gt;0,1,0)</f>
        <v>0</v>
      </c>
      <c r="S168" s="20">
        <f>V168/17</f>
        <v>7.4258823529411764</v>
      </c>
      <c r="T168" s="20">
        <f>IF(P168=1,MAX(0,0.28*(12-S168)),0)</f>
        <v>0</v>
      </c>
      <c r="U168" s="20">
        <f>T168*17</f>
        <v>0</v>
      </c>
      <c r="V168" s="20">
        <f>C168*Scoring!$B$34+D168/Scoring!$C$34+E168*Scoring!$D$34+WR!F168*Scoring!$E$34+WR!G168/Scoring!$F$34+WR!H168*Scoring!$G$34+WR!I168*Scoring!$H$34+K168*Scoring!$I$34+WR!L168*Scoring!$J$34</f>
        <v>126.24</v>
      </c>
    </row>
    <row r="169" spans="1:22" ht="14.25" customHeight="1" x14ac:dyDescent="0.3">
      <c r="B169" t="s">
        <v>472</v>
      </c>
      <c r="C169">
        <v>66</v>
      </c>
      <c r="D169">
        <v>830</v>
      </c>
      <c r="E169">
        <v>4</v>
      </c>
      <c r="F169">
        <v>1</v>
      </c>
      <c r="G169">
        <v>4</v>
      </c>
      <c r="H169">
        <v>0</v>
      </c>
      <c r="I169">
        <v>0.5</v>
      </c>
      <c r="J169">
        <v>124.5</v>
      </c>
      <c r="K169" s="64">
        <f t="shared" si="4"/>
        <v>0.24789550072568939</v>
      </c>
      <c r="L169" s="64">
        <f t="shared" si="5"/>
        <v>40.822843822843822</v>
      </c>
      <c r="M169" s="67"/>
      <c r="N169" s="67"/>
      <c r="O169" s="67"/>
    </row>
    <row r="170" spans="1:22" ht="14.25" customHeight="1" x14ac:dyDescent="0.3">
      <c r="B170" t="s">
        <v>473</v>
      </c>
      <c r="C170">
        <v>51.9</v>
      </c>
      <c r="D170">
        <v>720.7</v>
      </c>
      <c r="E170">
        <v>2.7</v>
      </c>
      <c r="F170">
        <v>0</v>
      </c>
      <c r="G170">
        <v>0</v>
      </c>
      <c r="H170">
        <v>0</v>
      </c>
      <c r="I170">
        <v>1</v>
      </c>
      <c r="J170">
        <v>117.4</v>
      </c>
      <c r="K170" s="64">
        <f t="shared" si="4"/>
        <v>0</v>
      </c>
      <c r="L170" s="64">
        <f t="shared" si="5"/>
        <v>35.447016317016327</v>
      </c>
      <c r="M170" s="67"/>
      <c r="N170" s="67"/>
      <c r="O170" s="67"/>
    </row>
    <row r="171" spans="1:22" ht="14.25" customHeight="1" x14ac:dyDescent="0.3">
      <c r="A171" t="s">
        <v>768</v>
      </c>
      <c r="B171" t="s">
        <v>525</v>
      </c>
      <c r="C171">
        <v>46.7</v>
      </c>
      <c r="D171">
        <v>761.7</v>
      </c>
      <c r="E171">
        <v>3.2</v>
      </c>
      <c r="F171">
        <v>4.5</v>
      </c>
      <c r="G171">
        <v>27.5</v>
      </c>
      <c r="H171">
        <v>0.6</v>
      </c>
      <c r="I171">
        <v>0.2</v>
      </c>
      <c r="J171">
        <v>124.7</v>
      </c>
      <c r="K171" s="64">
        <f t="shared" si="4"/>
        <v>1.7042815674891145</v>
      </c>
      <c r="L171" s="64">
        <f t="shared" si="5"/>
        <v>37.463566433566442</v>
      </c>
      <c r="M171" s="66">
        <f>C173*Scoring!$B$34+D173/Scoring!$C$34+E173*Scoring!$D$34+WR!F173*Scoring!$E$34+WR!G173/Scoring!$F$34+WR!H173*Scoring!$G$34+WR!I173*Scoring!$H$34+K173*Scoring!$I$34+WR!L173*Scoring!$J$34+U171</f>
        <v>110.7</v>
      </c>
      <c r="N171" s="66">
        <f>C171*Scoring!$B$34+D171/Scoring!$C$34+E171*Scoring!$D$34+WR!F171*Scoring!$E$34+WR!G171/Scoring!$F$34+WR!H171*Scoring!$G$34+WR!I171*Scoring!$H$34+K171*Scoring!$I$34+WR!L171*Scoring!$J$34+U171</f>
        <v>124.67</v>
      </c>
      <c r="O171" s="66">
        <f>C172*Scoring!$B$34+D172/Scoring!$C$34+E172*Scoring!$D$34+WR!F172*Scoring!$E$34+WR!G172/Scoring!$F$34+WR!H172*Scoring!$G$34+WR!I172*Scoring!$H$34+K172*Scoring!$I$34+WR!L172*Scoring!$J$34+U171</f>
        <v>139.21</v>
      </c>
      <c r="P171" s="20">
        <f>IF(COUNTIF(Rookies!$A:$A,A171)&gt;0,1,0)</f>
        <v>0</v>
      </c>
      <c r="S171" s="20">
        <f>V171/17</f>
        <v>7.3335294117647063</v>
      </c>
      <c r="T171" s="20">
        <f>IF(P171=1,MAX(0,0.28*(12-S171)),0)</f>
        <v>0</v>
      </c>
      <c r="U171" s="20">
        <f>T171*17</f>
        <v>0</v>
      </c>
      <c r="V171" s="20">
        <f>C171*Scoring!$B$34+D171/Scoring!$C$34+E171*Scoring!$D$34+WR!F171*Scoring!$E$34+WR!G171/Scoring!$F$34+WR!H171*Scoring!$G$34+WR!I171*Scoring!$H$34+K171*Scoring!$I$34+WR!L171*Scoring!$J$34</f>
        <v>124.67</v>
      </c>
    </row>
    <row r="172" spans="1:22" ht="14.25" customHeight="1" x14ac:dyDescent="0.3">
      <c r="B172" t="s">
        <v>472</v>
      </c>
      <c r="C172">
        <v>50</v>
      </c>
      <c r="D172">
        <v>846</v>
      </c>
      <c r="E172">
        <v>3.4</v>
      </c>
      <c r="F172">
        <v>6.1</v>
      </c>
      <c r="G172">
        <v>32.1</v>
      </c>
      <c r="H172">
        <v>1</v>
      </c>
      <c r="I172">
        <v>0</v>
      </c>
      <c r="J172">
        <v>123.3</v>
      </c>
      <c r="K172" s="64">
        <f t="shared" si="4"/>
        <v>1.9893613933236576</v>
      </c>
      <c r="L172" s="64">
        <f t="shared" si="5"/>
        <v>41.609790209790212</v>
      </c>
      <c r="M172" s="67"/>
      <c r="N172" s="67"/>
      <c r="O172" s="67"/>
    </row>
    <row r="173" spans="1:22" ht="14.25" customHeight="1" x14ac:dyDescent="0.3">
      <c r="B173" t="s">
        <v>473</v>
      </c>
      <c r="C173">
        <v>43.3</v>
      </c>
      <c r="D173">
        <v>677.5</v>
      </c>
      <c r="E173">
        <v>3</v>
      </c>
      <c r="F173">
        <v>3</v>
      </c>
      <c r="G173">
        <v>23</v>
      </c>
      <c r="H173">
        <v>0.3</v>
      </c>
      <c r="I173">
        <v>0.4</v>
      </c>
      <c r="J173">
        <v>115.3</v>
      </c>
      <c r="K173" s="64">
        <f t="shared" si="4"/>
        <v>1.4253991291727142</v>
      </c>
      <c r="L173" s="64">
        <f t="shared" si="5"/>
        <v>33.322261072261078</v>
      </c>
      <c r="M173" s="67"/>
      <c r="N173" s="67"/>
      <c r="O173" s="67"/>
    </row>
    <row r="174" spans="1:22" ht="14.25" customHeight="1" x14ac:dyDescent="0.3">
      <c r="A174" t="s">
        <v>769</v>
      </c>
      <c r="B174" t="s">
        <v>481</v>
      </c>
      <c r="C174">
        <v>52.6</v>
      </c>
      <c r="D174">
        <v>736.8</v>
      </c>
      <c r="E174">
        <v>4.3</v>
      </c>
      <c r="F174">
        <v>1.5</v>
      </c>
      <c r="G174">
        <v>6.5</v>
      </c>
      <c r="H174">
        <v>0</v>
      </c>
      <c r="I174">
        <v>1.3</v>
      </c>
      <c r="J174">
        <v>124.1</v>
      </c>
      <c r="K174" s="64">
        <f t="shared" si="4"/>
        <v>0.40283018867924525</v>
      </c>
      <c r="L174" s="64">
        <f t="shared" si="5"/>
        <v>36.238881118881125</v>
      </c>
      <c r="M174" s="66">
        <f>C176*Scoring!$B$34+D176/Scoring!$C$34+E176*Scoring!$D$34+WR!F176*Scoring!$E$34+WR!G176/Scoring!$F$34+WR!H176*Scoring!$G$34+WR!I176*Scoring!$H$34+K176*Scoring!$I$34+WR!L176*Scoring!$J$34+U174</f>
        <v>142.04759999999999</v>
      </c>
      <c r="N174" s="66">
        <f>C174*Scoring!$B$34+D174/Scoring!$C$34+E174*Scoring!$D$34+WR!F174*Scoring!$E$34+WR!G174/Scoring!$F$34+WR!H174*Scoring!$G$34+WR!I174*Scoring!$H$34+K174*Scoring!$I$34+WR!L174*Scoring!$J$34+U174</f>
        <v>146.27760000000001</v>
      </c>
      <c r="O174" s="66">
        <f>C175*Scoring!$B$34+D175/Scoring!$C$34+E175*Scoring!$D$34+WR!F175*Scoring!$E$34+WR!G175/Scoring!$F$34+WR!H175*Scoring!$G$34+WR!I175*Scoring!$H$34+K175*Scoring!$I$34+WR!L175*Scoring!$J$34+U174</f>
        <v>151.24760000000001</v>
      </c>
      <c r="P174" s="20">
        <f>IF(COUNTIF(Rookies!$A:$A,A174)&gt;0,1,0)</f>
        <v>1</v>
      </c>
      <c r="S174" s="20">
        <f>V174/17</f>
        <v>7.2841176470588236</v>
      </c>
      <c r="T174" s="20">
        <f>IF(P174=1,MAX(0,0.28*(12-S174)),0)</f>
        <v>1.3204470588235295</v>
      </c>
      <c r="U174" s="20">
        <f>T174*17</f>
        <v>22.447600000000001</v>
      </c>
      <c r="V174" s="20">
        <f>C174*Scoring!$B$34+D174/Scoring!$C$34+E174*Scoring!$D$34+WR!F174*Scoring!$E$34+WR!G174/Scoring!$F$34+WR!H174*Scoring!$G$34+WR!I174*Scoring!$H$34+K174*Scoring!$I$34+WR!L174*Scoring!$J$34</f>
        <v>123.83</v>
      </c>
    </row>
    <row r="175" spans="1:22" ht="14.25" customHeight="1" x14ac:dyDescent="0.3">
      <c r="B175" t="s">
        <v>472</v>
      </c>
      <c r="C175">
        <v>53</v>
      </c>
      <c r="D175">
        <v>738</v>
      </c>
      <c r="E175">
        <v>4.7</v>
      </c>
      <c r="F175">
        <v>3</v>
      </c>
      <c r="G175">
        <v>13</v>
      </c>
      <c r="H175">
        <v>0</v>
      </c>
      <c r="I175">
        <v>0.5</v>
      </c>
      <c r="J175">
        <v>129.30000000000001</v>
      </c>
      <c r="K175" s="64">
        <f t="shared" si="4"/>
        <v>0.8056603773584905</v>
      </c>
      <c r="L175" s="64">
        <f t="shared" si="5"/>
        <v>36.297902097902096</v>
      </c>
      <c r="M175" s="67"/>
      <c r="N175" s="67"/>
      <c r="O175" s="67"/>
    </row>
    <row r="176" spans="1:22" ht="14.25" customHeight="1" x14ac:dyDescent="0.3">
      <c r="B176" t="s">
        <v>473</v>
      </c>
      <c r="C176">
        <v>52.1</v>
      </c>
      <c r="D176">
        <v>735.5</v>
      </c>
      <c r="E176">
        <v>4</v>
      </c>
      <c r="F176">
        <v>0</v>
      </c>
      <c r="G176">
        <v>0</v>
      </c>
      <c r="H176">
        <v>0</v>
      </c>
      <c r="I176">
        <v>2</v>
      </c>
      <c r="J176">
        <v>112.3</v>
      </c>
      <c r="K176" s="64">
        <f t="shared" si="4"/>
        <v>0</v>
      </c>
      <c r="L176" s="64">
        <f t="shared" si="5"/>
        <v>36.174941724941725</v>
      </c>
      <c r="M176" s="67"/>
      <c r="N176" s="67"/>
      <c r="O176" s="67"/>
    </row>
    <row r="177" spans="1:22" ht="14.25" customHeight="1" x14ac:dyDescent="0.3">
      <c r="A177" t="s">
        <v>771</v>
      </c>
      <c r="B177" t="s">
        <v>535</v>
      </c>
      <c r="C177">
        <v>59.2</v>
      </c>
      <c r="D177">
        <v>737.6</v>
      </c>
      <c r="E177">
        <v>3.5</v>
      </c>
      <c r="F177">
        <v>1</v>
      </c>
      <c r="G177">
        <v>5</v>
      </c>
      <c r="H177">
        <v>0</v>
      </c>
      <c r="I177">
        <v>1.3</v>
      </c>
      <c r="J177">
        <v>122.1</v>
      </c>
      <c r="K177" s="64">
        <f t="shared" si="4"/>
        <v>0.30986937590711178</v>
      </c>
      <c r="L177" s="64">
        <f t="shared" si="5"/>
        <v>36.278228438228439</v>
      </c>
      <c r="M177" s="66">
        <f>C179*Scoring!$B$34+D179/Scoring!$C$34+E179*Scoring!$D$34+WR!F179*Scoring!$E$34+WR!G179/Scoring!$F$34+WR!H179*Scoring!$G$34+WR!I179*Scoring!$H$34+K179*Scoring!$I$34+WR!L179*Scoring!$J$34+U177</f>
        <v>133.91719999999998</v>
      </c>
      <c r="N177" s="66">
        <f>C177*Scoring!$B$34+D177/Scoring!$C$34+E177*Scoring!$D$34+WR!F177*Scoring!$E$34+WR!G177/Scoring!$F$34+WR!H177*Scoring!$G$34+WR!I177*Scoring!$H$34+K177*Scoring!$I$34+WR!L177*Scoring!$J$34+U177</f>
        <v>145.1472</v>
      </c>
      <c r="O177" s="66">
        <f>C178*Scoring!$B$34+D178/Scoring!$C$34+E178*Scoring!$D$34+WR!F178*Scoring!$E$34+WR!G178/Scoring!$F$34+WR!H178*Scoring!$G$34+WR!I178*Scoring!$H$34+K178*Scoring!$I$34+WR!L178*Scoring!$J$34+U177</f>
        <v>156.38720000000001</v>
      </c>
      <c r="P177" s="20">
        <f>IF(COUNTIF(Rookies!$A:$A,A177)&gt;0,1,0)</f>
        <v>1</v>
      </c>
      <c r="S177" s="20">
        <f>V177/17</f>
        <v>7.1917647058823544</v>
      </c>
      <c r="T177" s="20">
        <f>IF(P177=1,MAX(0,0.28*(12-S177)),0)</f>
        <v>1.3463058823529408</v>
      </c>
      <c r="U177" s="20">
        <f>T177*17</f>
        <v>22.887199999999993</v>
      </c>
      <c r="V177" s="20">
        <f>C177*Scoring!$B$34+D177/Scoring!$C$34+E177*Scoring!$D$34+WR!F177*Scoring!$E$34+WR!G177/Scoring!$F$34+WR!H177*Scoring!$G$34+WR!I177*Scoring!$H$34+K177*Scoring!$I$34+WR!L177*Scoring!$J$34</f>
        <v>122.26000000000002</v>
      </c>
    </row>
    <row r="178" spans="1:22" ht="14.25" customHeight="1" x14ac:dyDescent="0.3">
      <c r="B178" t="s">
        <v>472</v>
      </c>
      <c r="C178">
        <v>63</v>
      </c>
      <c r="D178">
        <v>782</v>
      </c>
      <c r="E178">
        <v>4</v>
      </c>
      <c r="F178">
        <v>2</v>
      </c>
      <c r="G178">
        <v>10</v>
      </c>
      <c r="H178">
        <v>0</v>
      </c>
      <c r="I178">
        <v>0.6</v>
      </c>
      <c r="J178">
        <v>119.6</v>
      </c>
      <c r="K178" s="64">
        <f t="shared" si="4"/>
        <v>0.61973875181422355</v>
      </c>
      <c r="L178" s="64">
        <f t="shared" si="5"/>
        <v>38.462004662004666</v>
      </c>
      <c r="M178" s="67"/>
      <c r="N178" s="67"/>
      <c r="O178" s="67"/>
    </row>
    <row r="179" spans="1:22" ht="14.25" customHeight="1" x14ac:dyDescent="0.3">
      <c r="B179" t="s">
        <v>473</v>
      </c>
      <c r="C179">
        <v>55.4</v>
      </c>
      <c r="D179">
        <v>693.3</v>
      </c>
      <c r="E179">
        <v>3</v>
      </c>
      <c r="F179">
        <v>0</v>
      </c>
      <c r="G179">
        <v>0</v>
      </c>
      <c r="H179">
        <v>0</v>
      </c>
      <c r="I179">
        <v>2</v>
      </c>
      <c r="J179">
        <v>116.5</v>
      </c>
      <c r="K179" s="64">
        <f t="shared" si="4"/>
        <v>0</v>
      </c>
      <c r="L179" s="64">
        <f t="shared" si="5"/>
        <v>34.099370629370632</v>
      </c>
      <c r="M179" s="67"/>
      <c r="N179" s="67"/>
      <c r="O179" s="67"/>
    </row>
    <row r="180" spans="1:22" ht="14.25" customHeight="1" x14ac:dyDescent="0.3">
      <c r="A180" t="s">
        <v>773</v>
      </c>
      <c r="B180" t="s">
        <v>531</v>
      </c>
      <c r="C180">
        <v>50.2</v>
      </c>
      <c r="D180">
        <v>631.79999999999995</v>
      </c>
      <c r="E180">
        <v>3.8</v>
      </c>
      <c r="F180">
        <v>11.2</v>
      </c>
      <c r="G180">
        <v>54.7</v>
      </c>
      <c r="H180">
        <v>0.2</v>
      </c>
      <c r="I180">
        <v>0.1</v>
      </c>
      <c r="J180">
        <v>117</v>
      </c>
      <c r="K180" s="64">
        <f t="shared" si="4"/>
        <v>3.3899709724238027</v>
      </c>
      <c r="L180" s="64">
        <f t="shared" si="5"/>
        <v>31.074545454545454</v>
      </c>
      <c r="M180" s="66">
        <f>C182*Scoring!$B$34+D182/Scoring!$C$34+E182*Scoring!$D$34+WR!F182*Scoring!$E$34+WR!G182/Scoring!$F$34+WR!H182*Scoring!$G$34+WR!I182*Scoring!$H$34+K182*Scoring!$I$34+WR!L182*Scoring!$J$34+U180</f>
        <v>104.25000000000001</v>
      </c>
      <c r="N180" s="66">
        <f>C180*Scoring!$B$34+D180/Scoring!$C$34+E180*Scoring!$D$34+WR!F180*Scoring!$E$34+WR!G180/Scoring!$F$34+WR!H180*Scoring!$G$34+WR!I180*Scoring!$H$34+K180*Scoring!$I$34+WR!L180*Scoring!$J$34+U180</f>
        <v>117.55</v>
      </c>
      <c r="O180" s="66">
        <f>C181*Scoring!$B$34+D181/Scoring!$C$34+E181*Scoring!$D$34+WR!F181*Scoring!$E$34+WR!G181/Scoring!$F$34+WR!H181*Scoring!$G$34+WR!I181*Scoring!$H$34+K181*Scoring!$I$34+WR!L181*Scoring!$J$34+U180</f>
        <v>129.39000000000001</v>
      </c>
      <c r="P180" s="20">
        <f>IF(COUNTIF(Rookies!$A:$A,A180)&gt;0,1,0)</f>
        <v>0</v>
      </c>
      <c r="S180" s="20">
        <f>V180/17</f>
        <v>6.9147058823529406</v>
      </c>
      <c r="T180" s="20">
        <f>IF(P180=1,MAX(0,0.28*(12-S180)),0)</f>
        <v>0</v>
      </c>
      <c r="U180" s="20">
        <f>T180*17</f>
        <v>0</v>
      </c>
      <c r="V180" s="20">
        <f>C180*Scoring!$B$34+D180/Scoring!$C$34+E180*Scoring!$D$34+WR!F180*Scoring!$E$34+WR!G180/Scoring!$F$34+WR!H180*Scoring!$G$34+WR!I180*Scoring!$H$34+K180*Scoring!$I$34+WR!L180*Scoring!$J$34</f>
        <v>117.55</v>
      </c>
    </row>
    <row r="181" spans="1:22" ht="14.25" customHeight="1" x14ac:dyDescent="0.3">
      <c r="B181" t="s">
        <v>472</v>
      </c>
      <c r="C181">
        <v>52</v>
      </c>
      <c r="D181">
        <v>658.6</v>
      </c>
      <c r="E181">
        <v>5</v>
      </c>
      <c r="F181">
        <v>12</v>
      </c>
      <c r="G181">
        <v>57.3</v>
      </c>
      <c r="H181">
        <v>0.3</v>
      </c>
      <c r="I181">
        <v>0</v>
      </c>
      <c r="J181">
        <v>114.7</v>
      </c>
      <c r="K181" s="64">
        <f t="shared" si="4"/>
        <v>3.5511030478955004</v>
      </c>
      <c r="L181" s="64">
        <f t="shared" si="5"/>
        <v>32.39268065268066</v>
      </c>
      <c r="M181" s="67"/>
      <c r="N181" s="67"/>
      <c r="O181" s="67"/>
    </row>
    <row r="182" spans="1:22" ht="14.25" customHeight="1" x14ac:dyDescent="0.3">
      <c r="B182" t="s">
        <v>473</v>
      </c>
      <c r="C182">
        <v>48.3</v>
      </c>
      <c r="D182">
        <v>605</v>
      </c>
      <c r="E182">
        <v>2.5</v>
      </c>
      <c r="F182">
        <v>10.4</v>
      </c>
      <c r="G182">
        <v>52</v>
      </c>
      <c r="H182">
        <v>0</v>
      </c>
      <c r="I182">
        <v>0.3</v>
      </c>
      <c r="J182">
        <v>109.1</v>
      </c>
      <c r="K182" s="64">
        <f t="shared" si="4"/>
        <v>3.2226415094339624</v>
      </c>
      <c r="L182" s="64">
        <f t="shared" si="5"/>
        <v>29.756410256410259</v>
      </c>
      <c r="M182" s="67"/>
      <c r="N182" s="67"/>
      <c r="O182" s="67"/>
    </row>
    <row r="183" spans="1:22" ht="14.25" customHeight="1" x14ac:dyDescent="0.3">
      <c r="A183" t="s">
        <v>774</v>
      </c>
      <c r="B183" t="s">
        <v>475</v>
      </c>
      <c r="C183">
        <v>38.799999999999997</v>
      </c>
      <c r="D183">
        <v>598.20000000000005</v>
      </c>
      <c r="E183">
        <v>6</v>
      </c>
      <c r="F183">
        <v>0</v>
      </c>
      <c r="G183">
        <v>0</v>
      </c>
      <c r="H183">
        <v>0</v>
      </c>
      <c r="I183">
        <v>0.2</v>
      </c>
      <c r="J183">
        <v>114.8</v>
      </c>
      <c r="K183" s="64">
        <f t="shared" si="4"/>
        <v>0</v>
      </c>
      <c r="L183" s="64">
        <f t="shared" si="5"/>
        <v>29.421958041958046</v>
      </c>
      <c r="M183" s="66">
        <f>C185*Scoring!$B$34+D185/Scoring!$C$34+E185*Scoring!$D$34+WR!F185*Scoring!$E$34+WR!G185/Scoring!$F$34+WR!H185*Scoring!$G$34+WR!I185*Scoring!$H$34+K185*Scoring!$I$34+WR!L185*Scoring!$J$34+U183</f>
        <v>100.55000000000001</v>
      </c>
      <c r="N183" s="66">
        <f>C183*Scoring!$B$34+D183/Scoring!$C$34+E183*Scoring!$D$34+WR!F183*Scoring!$E$34+WR!G183/Scoring!$F$34+WR!H183*Scoring!$G$34+WR!I183*Scoring!$H$34+K183*Scoring!$I$34+WR!L183*Scoring!$J$34+U183</f>
        <v>114.82</v>
      </c>
      <c r="O183" s="66">
        <f>C184*Scoring!$B$34+D184/Scoring!$C$34+E184*Scoring!$D$34+WR!F184*Scoring!$E$34+WR!G184/Scoring!$F$34+WR!H184*Scoring!$G$34+WR!I184*Scoring!$H$34+K184*Scoring!$I$34+WR!L184*Scoring!$J$34+U183</f>
        <v>129.34</v>
      </c>
      <c r="P183" s="20">
        <f>IF(COUNTIF(Rookies!$A:$A,A183)&gt;0,1,0)</f>
        <v>0</v>
      </c>
      <c r="S183" s="20">
        <f>V183/17</f>
        <v>6.7541176470588233</v>
      </c>
      <c r="T183" s="20">
        <f>IF(P183=1,MAX(0,0.28*(12-S183)),0)</f>
        <v>0</v>
      </c>
      <c r="U183" s="20">
        <f>T183*17</f>
        <v>0</v>
      </c>
      <c r="V183" s="20">
        <f>C183*Scoring!$B$34+D183/Scoring!$C$34+E183*Scoring!$D$34+WR!F183*Scoring!$E$34+WR!G183/Scoring!$F$34+WR!H183*Scoring!$G$34+WR!I183*Scoring!$H$34+K183*Scoring!$I$34+WR!L183*Scoring!$J$34</f>
        <v>114.82</v>
      </c>
    </row>
    <row r="184" spans="1:22" ht="14.25" customHeight="1" x14ac:dyDescent="0.3">
      <c r="B184" t="s">
        <v>472</v>
      </c>
      <c r="C184">
        <v>40</v>
      </c>
      <c r="D184">
        <v>613.4</v>
      </c>
      <c r="E184">
        <v>8</v>
      </c>
      <c r="F184">
        <v>0</v>
      </c>
      <c r="G184">
        <v>0</v>
      </c>
      <c r="H184">
        <v>0</v>
      </c>
      <c r="I184">
        <v>0</v>
      </c>
      <c r="J184">
        <v>117.4</v>
      </c>
      <c r="K184" s="64">
        <f t="shared" si="4"/>
        <v>0</v>
      </c>
      <c r="L184" s="64">
        <f t="shared" si="5"/>
        <v>30.169557109557111</v>
      </c>
      <c r="M184" s="67"/>
      <c r="N184" s="67"/>
      <c r="O184" s="67"/>
    </row>
    <row r="185" spans="1:22" ht="14.25" customHeight="1" x14ac:dyDescent="0.3">
      <c r="B185" t="s">
        <v>473</v>
      </c>
      <c r="C185">
        <v>37.700000000000003</v>
      </c>
      <c r="D185">
        <v>583</v>
      </c>
      <c r="E185">
        <v>4</v>
      </c>
      <c r="F185">
        <v>0</v>
      </c>
      <c r="G185">
        <v>0</v>
      </c>
      <c r="H185">
        <v>0</v>
      </c>
      <c r="I185">
        <v>0.3</v>
      </c>
      <c r="J185">
        <v>104.1</v>
      </c>
      <c r="K185" s="64">
        <f t="shared" si="4"/>
        <v>0</v>
      </c>
      <c r="L185" s="64">
        <f t="shared" si="5"/>
        <v>28.674358974358981</v>
      </c>
      <c r="M185" s="67"/>
      <c r="N185" s="67"/>
      <c r="O185" s="67"/>
    </row>
    <row r="186" spans="1:22" ht="14.25" customHeight="1" x14ac:dyDescent="0.3">
      <c r="A186" t="s">
        <v>784</v>
      </c>
      <c r="B186" t="s">
        <v>519</v>
      </c>
      <c r="C186">
        <v>45.1</v>
      </c>
      <c r="D186">
        <v>628.20000000000005</v>
      </c>
      <c r="E186">
        <v>4.8</v>
      </c>
      <c r="F186">
        <v>0</v>
      </c>
      <c r="G186">
        <v>0</v>
      </c>
      <c r="H186">
        <v>0</v>
      </c>
      <c r="I186">
        <v>0.2</v>
      </c>
      <c r="J186">
        <v>113.7</v>
      </c>
      <c r="K186" s="64">
        <f t="shared" si="4"/>
        <v>0</v>
      </c>
      <c r="L186" s="64">
        <f t="shared" si="5"/>
        <v>30.897482517482523</v>
      </c>
      <c r="M186" s="66">
        <f>C188*Scoring!$B$34+D188/Scoring!$C$34+E188*Scoring!$D$34+WR!F188*Scoring!$E$34+WR!G188/Scoring!$F$34+WR!H188*Scoring!$G$34+WR!I188*Scoring!$H$34+K188*Scoring!$I$34+WR!L188*Scoring!$J$34+U186</f>
        <v>99.3</v>
      </c>
      <c r="N186" s="66">
        <f>C186*Scoring!$B$34+D186/Scoring!$C$34+E186*Scoring!$D$34+WR!F186*Scoring!$E$34+WR!G186/Scoring!$F$34+WR!H186*Scoring!$G$34+WR!I186*Scoring!$H$34+K186*Scoring!$I$34+WR!L186*Scoring!$J$34+U186</f>
        <v>113.77</v>
      </c>
      <c r="O186" s="66">
        <f>C187*Scoring!$B$34+D187/Scoring!$C$34+E187*Scoring!$D$34+WR!F187*Scoring!$E$34+WR!G187/Scoring!$F$34+WR!H187*Scoring!$G$34+WR!I187*Scoring!$H$34+K187*Scoring!$I$34+WR!L187*Scoring!$J$34+U186</f>
        <v>128.19</v>
      </c>
      <c r="P186" s="20">
        <f>IF(COUNTIF(Rookies!$A:$A,A186)&gt;0,1,0)</f>
        <v>0</v>
      </c>
      <c r="S186" s="20">
        <f>V186/17</f>
        <v>6.6923529411764706</v>
      </c>
      <c r="T186" s="20">
        <f>IF(P186=1,MAX(0,0.28*(12-S186)),0)</f>
        <v>0</v>
      </c>
      <c r="U186" s="20">
        <f>T186*17</f>
        <v>0</v>
      </c>
      <c r="V186" s="20">
        <f>C186*Scoring!$B$34+D186/Scoring!$C$34+E186*Scoring!$D$34+WR!F186*Scoring!$E$34+WR!G186/Scoring!$F$34+WR!H186*Scoring!$G$34+WR!I186*Scoring!$H$34+K186*Scoring!$I$34+WR!L186*Scoring!$J$34</f>
        <v>113.77</v>
      </c>
    </row>
    <row r="187" spans="1:22" ht="14.25" customHeight="1" x14ac:dyDescent="0.3">
      <c r="B187" t="s">
        <v>472</v>
      </c>
      <c r="C187">
        <v>51.1</v>
      </c>
      <c r="D187">
        <v>666.4</v>
      </c>
      <c r="E187">
        <v>6</v>
      </c>
      <c r="F187">
        <v>0</v>
      </c>
      <c r="G187">
        <v>0</v>
      </c>
      <c r="H187">
        <v>0</v>
      </c>
      <c r="I187">
        <v>0</v>
      </c>
      <c r="J187">
        <v>110.4</v>
      </c>
      <c r="K187" s="64">
        <f t="shared" si="4"/>
        <v>0</v>
      </c>
      <c r="L187" s="64">
        <f t="shared" si="5"/>
        <v>32.776317016317023</v>
      </c>
      <c r="M187" s="67"/>
      <c r="N187" s="67"/>
      <c r="O187" s="67"/>
    </row>
    <row r="188" spans="1:22" ht="14.25" customHeight="1" x14ac:dyDescent="0.3">
      <c r="B188" t="s">
        <v>473</v>
      </c>
      <c r="C188">
        <v>39</v>
      </c>
      <c r="D188">
        <v>590</v>
      </c>
      <c r="E188">
        <v>3.6</v>
      </c>
      <c r="F188">
        <v>0</v>
      </c>
      <c r="G188">
        <v>0</v>
      </c>
      <c r="H188">
        <v>0</v>
      </c>
      <c r="I188">
        <v>0.4</v>
      </c>
      <c r="J188">
        <v>108.5</v>
      </c>
      <c r="K188" s="64">
        <f t="shared" si="4"/>
        <v>0</v>
      </c>
      <c r="L188" s="64">
        <f t="shared" si="5"/>
        <v>29.018648018648022</v>
      </c>
      <c r="M188" s="67"/>
      <c r="N188" s="67"/>
      <c r="O188" s="67"/>
    </row>
    <row r="189" spans="1:22" ht="14.25" customHeight="1" x14ac:dyDescent="0.3">
      <c r="A189" t="s">
        <v>775</v>
      </c>
      <c r="B189" t="s">
        <v>511</v>
      </c>
      <c r="C189">
        <v>58.4</v>
      </c>
      <c r="D189">
        <v>606.9</v>
      </c>
      <c r="E189">
        <v>3.9</v>
      </c>
      <c r="F189">
        <v>0</v>
      </c>
      <c r="G189">
        <v>0</v>
      </c>
      <c r="H189">
        <v>0</v>
      </c>
      <c r="I189">
        <v>0.3</v>
      </c>
      <c r="J189">
        <v>112.4</v>
      </c>
      <c r="K189" s="64">
        <f t="shared" si="4"/>
        <v>0</v>
      </c>
      <c r="L189" s="64">
        <f t="shared" si="5"/>
        <v>29.849860139860134</v>
      </c>
      <c r="M189" s="66">
        <f>C191*Scoring!$B$34+D191/Scoring!$C$34+E191*Scoring!$D$34+WR!F191*Scoring!$E$34+WR!G191/Scoring!$F$34+WR!H191*Scoring!$G$34+WR!I191*Scoring!$H$34+K191*Scoring!$I$34+WR!L191*Scoring!$J$34+U189</f>
        <v>96.28</v>
      </c>
      <c r="N189" s="66">
        <f>C189*Scoring!$B$34+D189/Scoring!$C$34+E189*Scoring!$D$34+WR!F189*Scoring!$E$34+WR!G189/Scoring!$F$34+WR!H189*Scoring!$G$34+WR!I189*Scoring!$H$34+K189*Scoring!$I$34+WR!L189*Scoring!$J$34+U189</f>
        <v>112.69</v>
      </c>
      <c r="O189" s="66">
        <f>C190*Scoring!$B$34+D190/Scoring!$C$34+E190*Scoring!$D$34+WR!F190*Scoring!$E$34+WR!G190/Scoring!$F$34+WR!H190*Scoring!$G$34+WR!I190*Scoring!$H$34+K190*Scoring!$I$34+WR!L190*Scoring!$J$34+U189</f>
        <v>128.5</v>
      </c>
      <c r="P189" s="20">
        <f>IF(COUNTIF(Rookies!$A:$A,A189)&gt;0,1,0)</f>
        <v>0</v>
      </c>
      <c r="S189" s="20">
        <f>V189/17</f>
        <v>6.6288235294117648</v>
      </c>
      <c r="T189" s="20">
        <f>IF(P189=1,MAX(0,0.28*(12-S189)),0)</f>
        <v>0</v>
      </c>
      <c r="U189" s="20">
        <f>T189*17</f>
        <v>0</v>
      </c>
      <c r="V189" s="20">
        <f>C189*Scoring!$B$34+D189/Scoring!$C$34+E189*Scoring!$D$34+WR!F189*Scoring!$E$34+WR!G189/Scoring!$F$34+WR!H189*Scoring!$G$34+WR!I189*Scoring!$H$34+K189*Scoring!$I$34+WR!L189*Scoring!$J$34</f>
        <v>112.69</v>
      </c>
    </row>
    <row r="190" spans="1:22" ht="14.25" customHeight="1" x14ac:dyDescent="0.3">
      <c r="B190" t="s">
        <v>472</v>
      </c>
      <c r="C190">
        <v>62</v>
      </c>
      <c r="D190">
        <v>675</v>
      </c>
      <c r="E190">
        <v>5</v>
      </c>
      <c r="F190">
        <v>0</v>
      </c>
      <c r="G190">
        <v>0</v>
      </c>
      <c r="H190">
        <v>0</v>
      </c>
      <c r="I190">
        <v>0</v>
      </c>
      <c r="J190">
        <v>117.2</v>
      </c>
      <c r="K190" s="64">
        <f t="shared" si="4"/>
        <v>0</v>
      </c>
      <c r="L190" s="64">
        <f t="shared" si="5"/>
        <v>33.1993006993007</v>
      </c>
      <c r="M190" s="67"/>
      <c r="N190" s="67"/>
      <c r="O190" s="67"/>
    </row>
    <row r="191" spans="1:22" ht="14.25" customHeight="1" x14ac:dyDescent="0.3">
      <c r="B191" t="s">
        <v>473</v>
      </c>
      <c r="C191">
        <v>54.8</v>
      </c>
      <c r="D191">
        <v>538.79999999999995</v>
      </c>
      <c r="E191">
        <v>2.7</v>
      </c>
      <c r="F191">
        <v>0</v>
      </c>
      <c r="G191">
        <v>0</v>
      </c>
      <c r="H191">
        <v>0</v>
      </c>
      <c r="I191">
        <v>0.6</v>
      </c>
      <c r="J191">
        <v>98.6</v>
      </c>
      <c r="K191" s="64">
        <f t="shared" si="4"/>
        <v>0</v>
      </c>
      <c r="L191" s="64">
        <f t="shared" si="5"/>
        <v>26.500419580419578</v>
      </c>
      <c r="M191" s="67"/>
      <c r="N191" s="67"/>
      <c r="O191" s="67"/>
    </row>
    <row r="192" spans="1:22" ht="14.25" customHeight="1" x14ac:dyDescent="0.3">
      <c r="A192" t="s">
        <v>778</v>
      </c>
      <c r="B192" t="s">
        <v>475</v>
      </c>
      <c r="C192">
        <v>39.200000000000003</v>
      </c>
      <c r="D192">
        <v>591.6</v>
      </c>
      <c r="E192">
        <v>5.4</v>
      </c>
      <c r="F192">
        <v>1.5</v>
      </c>
      <c r="G192">
        <v>8.5</v>
      </c>
      <c r="H192">
        <v>0</v>
      </c>
      <c r="I192">
        <v>0.7</v>
      </c>
      <c r="J192">
        <v>110.6</v>
      </c>
      <c r="K192" s="64">
        <f t="shared" si="4"/>
        <v>0.52677793904209003</v>
      </c>
      <c r="L192" s="64">
        <f t="shared" si="5"/>
        <v>29.097342657342658</v>
      </c>
      <c r="M192" s="66">
        <f>C194*Scoring!$B$34+D194/Scoring!$C$34+E194*Scoring!$D$34+WR!F194*Scoring!$E$34+WR!G194/Scoring!$F$34+WR!H194*Scoring!$G$34+WR!I194*Scoring!$H$34+K194*Scoring!$I$34+WR!L194*Scoring!$J$34+U192</f>
        <v>117.17919999999998</v>
      </c>
      <c r="N192" s="66">
        <f>C192*Scoring!$B$34+D192/Scoring!$C$34+E192*Scoring!$D$34+WR!F192*Scoring!$E$34+WR!G192/Scoring!$F$34+WR!H192*Scoring!$G$34+WR!I192*Scoring!$H$34+K192*Scoring!$I$34+WR!L192*Scoring!$J$34+U192</f>
        <v>136.75919999999999</v>
      </c>
      <c r="O192" s="66">
        <f>C193*Scoring!$B$34+D193/Scoring!$C$34+E193*Scoring!$D$34+WR!F193*Scoring!$E$34+WR!G193/Scoring!$F$34+WR!H193*Scoring!$G$34+WR!I193*Scoring!$H$34+K193*Scoring!$I$34+WR!L193*Scoring!$J$34+U192</f>
        <v>156.3492</v>
      </c>
      <c r="P192" s="20">
        <f>IF(COUNTIF(Rookies!$A:$A,A192)&gt;0,1,0)</f>
        <v>1</v>
      </c>
      <c r="S192" s="20">
        <f>V192/17</f>
        <v>6.5064705882352944</v>
      </c>
      <c r="T192" s="20">
        <f>IF(P192=1,MAX(0,0.28*(12-S192)),0)</f>
        <v>1.5381882352941176</v>
      </c>
      <c r="U192" s="20">
        <f>T192*17</f>
        <v>26.1492</v>
      </c>
      <c r="V192" s="20">
        <f>C192*Scoring!$B$34+D192/Scoring!$C$34+E192*Scoring!$D$34+WR!F192*Scoring!$E$34+WR!G192/Scoring!$F$34+WR!H192*Scoring!$G$34+WR!I192*Scoring!$H$34+K192*Scoring!$I$34+WR!L192*Scoring!$J$34</f>
        <v>110.61</v>
      </c>
    </row>
    <row r="193" spans="1:22" ht="14.25" customHeight="1" x14ac:dyDescent="0.3">
      <c r="B193" t="s">
        <v>472</v>
      </c>
      <c r="C193">
        <v>44</v>
      </c>
      <c r="D193">
        <v>653</v>
      </c>
      <c r="E193">
        <v>7</v>
      </c>
      <c r="F193">
        <v>3</v>
      </c>
      <c r="G193">
        <v>17</v>
      </c>
      <c r="H193">
        <v>0</v>
      </c>
      <c r="I193">
        <v>0.4</v>
      </c>
      <c r="J193">
        <v>116.6</v>
      </c>
      <c r="K193" s="64">
        <f t="shared" si="4"/>
        <v>1.0535558780841801</v>
      </c>
      <c r="L193" s="64">
        <f t="shared" si="5"/>
        <v>32.117249417249425</v>
      </c>
      <c r="M193" s="67"/>
      <c r="N193" s="67"/>
      <c r="O193" s="67"/>
    </row>
    <row r="194" spans="1:22" ht="14.25" customHeight="1" x14ac:dyDescent="0.3">
      <c r="B194" t="s">
        <v>473</v>
      </c>
      <c r="C194">
        <v>34.4</v>
      </c>
      <c r="D194">
        <v>530.29999999999995</v>
      </c>
      <c r="E194">
        <v>3.8</v>
      </c>
      <c r="F194">
        <v>0</v>
      </c>
      <c r="G194">
        <v>0</v>
      </c>
      <c r="H194">
        <v>0</v>
      </c>
      <c r="I194">
        <v>1</v>
      </c>
      <c r="J194">
        <v>94.9</v>
      </c>
      <c r="K194" s="64">
        <f t="shared" si="4"/>
        <v>0</v>
      </c>
      <c r="L194" s="64">
        <f t="shared" si="5"/>
        <v>26.082354312354312</v>
      </c>
      <c r="M194" s="67"/>
      <c r="N194" s="67"/>
      <c r="O194" s="67"/>
    </row>
    <row r="195" spans="1:22" ht="14.25" customHeight="1" x14ac:dyDescent="0.3">
      <c r="A195" t="s">
        <v>776</v>
      </c>
      <c r="B195" t="s">
        <v>507</v>
      </c>
      <c r="C195">
        <v>46.6</v>
      </c>
      <c r="D195">
        <v>606.1</v>
      </c>
      <c r="E195">
        <v>3.9</v>
      </c>
      <c r="F195">
        <v>4.7</v>
      </c>
      <c r="G195">
        <v>26.8</v>
      </c>
      <c r="H195">
        <v>0.1</v>
      </c>
      <c r="I195">
        <v>0.2</v>
      </c>
      <c r="J195">
        <v>110.4</v>
      </c>
      <c r="K195" s="64">
        <f t="shared" ref="K195:K258" si="6">IFERROR(G195/F195/6.89*0.427*F195,0)</f>
        <v>1.6608998548621192</v>
      </c>
      <c r="L195" s="64">
        <f t="shared" ref="L195:L258" si="7">IFERROR(D195/C195/12.87*0.633*C195,0)</f>
        <v>29.810512820512823</v>
      </c>
      <c r="M195" s="66">
        <f>C197*Scoring!$B$34+D197/Scoring!$C$34+E197*Scoring!$D$34+WR!F197*Scoring!$E$34+WR!G197/Scoring!$F$34+WR!H197*Scoring!$G$34+WR!I197*Scoring!$H$34+K197*Scoring!$I$34+WR!L197*Scoring!$J$34+U195</f>
        <v>106.88999999999999</v>
      </c>
      <c r="N195" s="66">
        <f>C195*Scoring!$B$34+D195/Scoring!$C$34+E195*Scoring!$D$34+WR!F195*Scoring!$E$34+WR!G195/Scoring!$F$34+WR!H195*Scoring!$G$34+WR!I195*Scoring!$H$34+K195*Scoring!$I$34+WR!L195*Scoring!$J$34+U195</f>
        <v>110.19</v>
      </c>
      <c r="O195" s="66">
        <f>C196*Scoring!$B$34+D196/Scoring!$C$34+E196*Scoring!$D$34+WR!F196*Scoring!$E$34+WR!G196/Scoring!$F$34+WR!H196*Scoring!$G$34+WR!I196*Scoring!$H$34+K196*Scoring!$I$34+WR!L196*Scoring!$J$34+U195</f>
        <v>114.15</v>
      </c>
      <c r="P195" s="20">
        <f>IF(COUNTIF(Rookies!$A:$A,A195)&gt;0,1,0)</f>
        <v>0</v>
      </c>
      <c r="S195" s="20">
        <f>V195/17</f>
        <v>6.4817647058823527</v>
      </c>
      <c r="T195" s="20">
        <f>IF(P195=1,MAX(0,0.28*(12-S195)),0)</f>
        <v>0</v>
      </c>
      <c r="U195" s="20">
        <f>T195*17</f>
        <v>0</v>
      </c>
      <c r="V195" s="20">
        <f>C195*Scoring!$B$34+D195/Scoring!$C$34+E195*Scoring!$D$34+WR!F195*Scoring!$E$34+WR!G195/Scoring!$F$34+WR!H195*Scoring!$G$34+WR!I195*Scoring!$H$34+K195*Scoring!$I$34+WR!L195*Scoring!$J$34</f>
        <v>110.19</v>
      </c>
    </row>
    <row r="196" spans="1:22" ht="14.25" customHeight="1" x14ac:dyDescent="0.3">
      <c r="B196" t="s">
        <v>472</v>
      </c>
      <c r="C196">
        <v>47.3</v>
      </c>
      <c r="D196">
        <v>624</v>
      </c>
      <c r="E196">
        <v>4</v>
      </c>
      <c r="F196">
        <v>5</v>
      </c>
      <c r="G196">
        <v>29</v>
      </c>
      <c r="H196">
        <v>0.2</v>
      </c>
      <c r="I196">
        <v>0</v>
      </c>
      <c r="J196">
        <v>108.9</v>
      </c>
      <c r="K196" s="64">
        <f t="shared" si="6"/>
        <v>1.7972423802612481</v>
      </c>
      <c r="L196" s="64">
        <f t="shared" si="7"/>
        <v>30.690909090909088</v>
      </c>
      <c r="M196" s="67"/>
      <c r="N196" s="67"/>
      <c r="O196" s="67"/>
    </row>
    <row r="197" spans="1:22" ht="14.25" customHeight="1" x14ac:dyDescent="0.3">
      <c r="B197" t="s">
        <v>473</v>
      </c>
      <c r="C197">
        <v>46</v>
      </c>
      <c r="D197">
        <v>588.29999999999995</v>
      </c>
      <c r="E197">
        <v>3.9</v>
      </c>
      <c r="F197">
        <v>4.4000000000000004</v>
      </c>
      <c r="G197">
        <v>24.6</v>
      </c>
      <c r="H197">
        <v>0</v>
      </c>
      <c r="I197">
        <v>0.4</v>
      </c>
      <c r="J197">
        <v>101.3</v>
      </c>
      <c r="K197" s="64">
        <f t="shared" si="6"/>
        <v>1.5245573294629899</v>
      </c>
      <c r="L197" s="64">
        <f t="shared" si="7"/>
        <v>28.935034965034962</v>
      </c>
      <c r="M197" s="67"/>
      <c r="N197" s="67"/>
      <c r="O197" s="67"/>
    </row>
    <row r="198" spans="1:22" ht="14.25" customHeight="1" x14ac:dyDescent="0.3">
      <c r="A198" t="s">
        <v>777</v>
      </c>
      <c r="B198" t="s">
        <v>509</v>
      </c>
      <c r="C198">
        <v>48.9</v>
      </c>
      <c r="D198">
        <v>558.20000000000005</v>
      </c>
      <c r="E198">
        <v>5.2</v>
      </c>
      <c r="F198">
        <v>0</v>
      </c>
      <c r="G198">
        <v>0</v>
      </c>
      <c r="H198">
        <v>0</v>
      </c>
      <c r="I198">
        <v>0.7</v>
      </c>
      <c r="J198">
        <v>109.9</v>
      </c>
      <c r="K198" s="64">
        <f t="shared" si="6"/>
        <v>0</v>
      </c>
      <c r="L198" s="64">
        <f t="shared" si="7"/>
        <v>27.454592074592078</v>
      </c>
      <c r="M198" s="66">
        <f>C200*Scoring!$B$34+D200/Scoring!$C$34+E200*Scoring!$D$34+WR!F200*Scoring!$E$34+WR!G200/Scoring!$F$34+WR!H200*Scoring!$G$34+WR!I200*Scoring!$H$34+K200*Scoring!$I$34+WR!L200*Scoring!$J$34+U198</f>
        <v>90.34</v>
      </c>
      <c r="N198" s="66">
        <f>C198*Scoring!$B$34+D198/Scoring!$C$34+E198*Scoring!$D$34+WR!F198*Scoring!$E$34+WR!G198/Scoring!$F$34+WR!H198*Scoring!$G$34+WR!I198*Scoring!$H$34+K198*Scoring!$I$34+WR!L198*Scoring!$J$34+U198</f>
        <v>110.07000000000001</v>
      </c>
      <c r="O198" s="66">
        <f>C199*Scoring!$B$34+D199/Scoring!$C$34+E199*Scoring!$D$34+WR!F199*Scoring!$E$34+WR!G199/Scoring!$F$34+WR!H199*Scoring!$G$34+WR!I199*Scoring!$H$34+K199*Scoring!$I$34+WR!L199*Scoring!$J$34+U198</f>
        <v>129.6</v>
      </c>
      <c r="P198" s="20">
        <f>IF(COUNTIF(Rookies!$A:$A,A198)&gt;0,1,0)</f>
        <v>0</v>
      </c>
      <c r="S198" s="20">
        <f>V198/17</f>
        <v>6.474705882352942</v>
      </c>
      <c r="T198" s="20">
        <f>IF(P198=1,MAX(0,0.28*(12-S198)),0)</f>
        <v>0</v>
      </c>
      <c r="U198" s="20">
        <f>T198*17</f>
        <v>0</v>
      </c>
      <c r="V198" s="20">
        <f>C198*Scoring!$B$34+D198/Scoring!$C$34+E198*Scoring!$D$34+WR!F198*Scoring!$E$34+WR!G198/Scoring!$F$34+WR!H198*Scoring!$G$34+WR!I198*Scoring!$H$34+K198*Scoring!$I$34+WR!L198*Scoring!$J$34</f>
        <v>110.07000000000001</v>
      </c>
    </row>
    <row r="199" spans="1:22" ht="14.25" customHeight="1" x14ac:dyDescent="0.3">
      <c r="B199" t="s">
        <v>472</v>
      </c>
      <c r="C199">
        <v>51</v>
      </c>
      <c r="D199">
        <v>631</v>
      </c>
      <c r="E199">
        <v>7</v>
      </c>
      <c r="F199">
        <v>0</v>
      </c>
      <c r="G199">
        <v>0</v>
      </c>
      <c r="H199">
        <v>0</v>
      </c>
      <c r="I199">
        <v>0.5</v>
      </c>
      <c r="J199">
        <v>119.5</v>
      </c>
      <c r="K199" s="64">
        <f t="shared" si="6"/>
        <v>0</v>
      </c>
      <c r="L199" s="64">
        <f t="shared" si="7"/>
        <v>31.035198135198137</v>
      </c>
      <c r="M199" s="67"/>
      <c r="N199" s="67"/>
      <c r="O199" s="67"/>
    </row>
    <row r="200" spans="1:22" ht="14.25" customHeight="1" x14ac:dyDescent="0.3">
      <c r="B200" t="s">
        <v>473</v>
      </c>
      <c r="C200">
        <v>46.8</v>
      </c>
      <c r="D200">
        <v>485.4</v>
      </c>
      <c r="E200">
        <v>3.4</v>
      </c>
      <c r="F200">
        <v>0</v>
      </c>
      <c r="G200">
        <v>0</v>
      </c>
      <c r="H200">
        <v>0</v>
      </c>
      <c r="I200">
        <v>1</v>
      </c>
      <c r="J200">
        <v>92.7</v>
      </c>
      <c r="K200" s="64">
        <f t="shared" si="6"/>
        <v>0</v>
      </c>
      <c r="L200" s="64">
        <f t="shared" si="7"/>
        <v>23.873986013986016</v>
      </c>
      <c r="M200" s="67"/>
      <c r="N200" s="67"/>
      <c r="O200" s="67"/>
    </row>
    <row r="201" spans="1:22" ht="14.25" customHeight="1" x14ac:dyDescent="0.3">
      <c r="A201" t="s">
        <v>779</v>
      </c>
      <c r="B201" t="s">
        <v>531</v>
      </c>
      <c r="C201">
        <v>43.6</v>
      </c>
      <c r="D201">
        <v>587.79999999999995</v>
      </c>
      <c r="E201">
        <v>4</v>
      </c>
      <c r="F201">
        <v>2</v>
      </c>
      <c r="G201">
        <v>9</v>
      </c>
      <c r="H201">
        <v>0</v>
      </c>
      <c r="I201">
        <v>0.2</v>
      </c>
      <c r="J201">
        <v>105.4</v>
      </c>
      <c r="K201" s="64">
        <f t="shared" si="6"/>
        <v>0.55776487663280117</v>
      </c>
      <c r="L201" s="64">
        <f t="shared" si="7"/>
        <v>28.910442890442891</v>
      </c>
      <c r="M201" s="66">
        <f>C203*Scoring!$B$34+D203/Scoring!$C$34+E203*Scoring!$D$34+WR!F203*Scoring!$E$34+WR!G203/Scoring!$F$34+WR!H203*Scoring!$G$34+WR!I203*Scoring!$H$34+K203*Scoring!$I$34+WR!L203*Scoring!$J$34+U201</f>
        <v>96.2</v>
      </c>
      <c r="N201" s="66">
        <f>C201*Scoring!$B$34+D201/Scoring!$C$34+E201*Scoring!$D$34+WR!F201*Scoring!$E$34+WR!G201/Scoring!$F$34+WR!H201*Scoring!$G$34+WR!I201*Scoring!$H$34+K201*Scoring!$I$34+WR!L201*Scoring!$J$34+U201</f>
        <v>105.08</v>
      </c>
      <c r="O201" s="66">
        <f>C202*Scoring!$B$34+D202/Scoring!$C$34+E202*Scoring!$D$34+WR!F202*Scoring!$E$34+WR!G202/Scoring!$F$34+WR!H202*Scoring!$G$34+WR!I202*Scoring!$H$34+K202*Scoring!$I$34+WR!L202*Scoring!$J$34+U201</f>
        <v>114.61999999999999</v>
      </c>
      <c r="P201" s="20">
        <f>IF(COUNTIF(Rookies!$A:$A,A201)&gt;0,1,0)</f>
        <v>0</v>
      </c>
      <c r="S201" s="20">
        <f>V201/17</f>
        <v>6.1811764705882348</v>
      </c>
      <c r="T201" s="20">
        <f>IF(P201=1,MAX(0,0.28*(12-S201)),0)</f>
        <v>0</v>
      </c>
      <c r="U201" s="20">
        <f>T201*17</f>
        <v>0</v>
      </c>
      <c r="V201" s="20">
        <f>C201*Scoring!$B$34+D201/Scoring!$C$34+E201*Scoring!$D$34+WR!F201*Scoring!$E$34+WR!G201/Scoring!$F$34+WR!H201*Scoring!$G$34+WR!I201*Scoring!$H$34+K201*Scoring!$I$34+WR!L201*Scoring!$J$34</f>
        <v>105.08</v>
      </c>
    </row>
    <row r="202" spans="1:22" ht="14.25" customHeight="1" x14ac:dyDescent="0.3">
      <c r="B202" t="s">
        <v>472</v>
      </c>
      <c r="C202">
        <v>44.3</v>
      </c>
      <c r="D202">
        <v>607.70000000000005</v>
      </c>
      <c r="E202">
        <v>5</v>
      </c>
      <c r="F202">
        <v>2.1</v>
      </c>
      <c r="G202">
        <v>11</v>
      </c>
      <c r="H202">
        <v>0.1</v>
      </c>
      <c r="I202">
        <v>0</v>
      </c>
      <c r="J202">
        <v>101.8</v>
      </c>
      <c r="K202" s="64">
        <f t="shared" si="6"/>
        <v>0.68171262699564583</v>
      </c>
      <c r="L202" s="64">
        <f t="shared" si="7"/>
        <v>29.889207459207459</v>
      </c>
      <c r="M202" s="67"/>
      <c r="N202" s="67"/>
      <c r="O202" s="67"/>
    </row>
    <row r="203" spans="1:22" ht="14.25" customHeight="1" x14ac:dyDescent="0.3">
      <c r="B203" t="s">
        <v>473</v>
      </c>
      <c r="C203">
        <v>43</v>
      </c>
      <c r="D203">
        <v>568</v>
      </c>
      <c r="E203">
        <v>3</v>
      </c>
      <c r="F203">
        <v>2</v>
      </c>
      <c r="G203">
        <v>7</v>
      </c>
      <c r="H203">
        <v>0</v>
      </c>
      <c r="I203">
        <v>0.4</v>
      </c>
      <c r="J203">
        <v>100.8</v>
      </c>
      <c r="K203" s="64">
        <f t="shared" si="6"/>
        <v>0.4338171262699565</v>
      </c>
      <c r="L203" s="64">
        <f t="shared" si="7"/>
        <v>27.936596736596734</v>
      </c>
      <c r="M203" s="67"/>
      <c r="N203" s="67"/>
      <c r="O203" s="67"/>
    </row>
    <row r="204" spans="1:22" ht="14.25" customHeight="1" x14ac:dyDescent="0.3">
      <c r="A204" t="s">
        <v>780</v>
      </c>
      <c r="B204" t="s">
        <v>505</v>
      </c>
      <c r="C204">
        <v>47.7</v>
      </c>
      <c r="D204">
        <v>567.4</v>
      </c>
      <c r="E204">
        <v>3.7</v>
      </c>
      <c r="F204">
        <v>0</v>
      </c>
      <c r="G204">
        <v>0</v>
      </c>
      <c r="H204">
        <v>0</v>
      </c>
      <c r="I204">
        <v>0.2</v>
      </c>
      <c r="J204">
        <v>102.3</v>
      </c>
      <c r="K204" s="64">
        <f t="shared" si="6"/>
        <v>0</v>
      </c>
      <c r="L204" s="64">
        <f t="shared" si="7"/>
        <v>27.907086247086248</v>
      </c>
      <c r="M204" s="66">
        <f>C206*Scoring!$B$34+D206/Scoring!$C$34+E206*Scoring!$D$34+WR!F206*Scoring!$E$34+WR!G206/Scoring!$F$34+WR!H206*Scoring!$G$34+WR!I206*Scoring!$H$34+K206*Scoring!$I$34+WR!L206*Scoring!$J$34+U204</f>
        <v>96.89</v>
      </c>
      <c r="N204" s="66">
        <f>C204*Scoring!$B$34+D204/Scoring!$C$34+E204*Scoring!$D$34+WR!F204*Scoring!$E$34+WR!G204/Scoring!$F$34+WR!H204*Scoring!$G$34+WR!I204*Scoring!$H$34+K204*Scoring!$I$34+WR!L204*Scoring!$J$34+U204</f>
        <v>102.39</v>
      </c>
      <c r="O204" s="66">
        <f>C205*Scoring!$B$34+D205/Scoring!$C$34+E205*Scoring!$D$34+WR!F205*Scoring!$E$34+WR!G205/Scoring!$F$34+WR!H205*Scoring!$G$34+WR!I205*Scoring!$H$34+K205*Scoring!$I$34+WR!L205*Scoring!$J$34+U204</f>
        <v>107.9</v>
      </c>
      <c r="P204" s="20">
        <f>IF(COUNTIF(Rookies!$A:$A,A204)&gt;0,1,0)</f>
        <v>0</v>
      </c>
      <c r="S204" s="20">
        <f>V204/17</f>
        <v>6.0229411764705887</v>
      </c>
      <c r="T204" s="20">
        <f>IF(P204=1,MAX(0,0.28*(12-S204)),0)</f>
        <v>0</v>
      </c>
      <c r="U204" s="20">
        <f>T204*17</f>
        <v>0</v>
      </c>
      <c r="V204" s="20">
        <f>C204*Scoring!$B$34+D204/Scoring!$C$34+E204*Scoring!$D$34+WR!F204*Scoring!$E$34+WR!G204/Scoring!$F$34+WR!H204*Scoring!$G$34+WR!I204*Scoring!$H$34+K204*Scoring!$I$34+WR!L204*Scoring!$J$34</f>
        <v>102.39</v>
      </c>
    </row>
    <row r="205" spans="1:22" ht="14.25" customHeight="1" x14ac:dyDescent="0.3">
      <c r="B205" t="s">
        <v>472</v>
      </c>
      <c r="C205">
        <v>49.4</v>
      </c>
      <c r="D205">
        <v>592</v>
      </c>
      <c r="E205">
        <v>4</v>
      </c>
      <c r="F205">
        <v>0</v>
      </c>
      <c r="G205">
        <v>0</v>
      </c>
      <c r="H205">
        <v>0</v>
      </c>
      <c r="I205">
        <v>0</v>
      </c>
      <c r="J205">
        <v>97.9</v>
      </c>
      <c r="K205" s="64">
        <f t="shared" si="6"/>
        <v>0</v>
      </c>
      <c r="L205" s="64">
        <f t="shared" si="7"/>
        <v>29.117016317016322</v>
      </c>
      <c r="M205" s="67"/>
      <c r="N205" s="67"/>
      <c r="O205" s="67"/>
    </row>
    <row r="206" spans="1:22" ht="14.25" customHeight="1" x14ac:dyDescent="0.3">
      <c r="B206" t="s">
        <v>473</v>
      </c>
      <c r="C206">
        <v>46</v>
      </c>
      <c r="D206">
        <v>542.9</v>
      </c>
      <c r="E206">
        <v>3.4</v>
      </c>
      <c r="F206">
        <v>0</v>
      </c>
      <c r="G206">
        <v>0</v>
      </c>
      <c r="H206">
        <v>0</v>
      </c>
      <c r="I206">
        <v>0.4</v>
      </c>
      <c r="J206">
        <v>97.8</v>
      </c>
      <c r="K206" s="64">
        <f t="shared" si="6"/>
        <v>0</v>
      </c>
      <c r="L206" s="64">
        <f t="shared" si="7"/>
        <v>26.702074592074592</v>
      </c>
      <c r="M206" s="67"/>
      <c r="N206" s="67"/>
      <c r="O206" s="67"/>
    </row>
    <row r="207" spans="1:22" ht="14.25" customHeight="1" x14ac:dyDescent="0.3">
      <c r="A207" t="s">
        <v>781</v>
      </c>
      <c r="B207" t="s">
        <v>517</v>
      </c>
      <c r="C207">
        <v>47.4</v>
      </c>
      <c r="D207">
        <v>582.79999999999995</v>
      </c>
      <c r="E207">
        <v>3.4</v>
      </c>
      <c r="F207">
        <v>0.5</v>
      </c>
      <c r="G207">
        <v>1.5</v>
      </c>
      <c r="H207">
        <v>0</v>
      </c>
      <c r="I207">
        <v>0.7</v>
      </c>
      <c r="J207">
        <v>101.3</v>
      </c>
      <c r="K207" s="64">
        <f t="shared" si="6"/>
        <v>9.2960812772133528E-2</v>
      </c>
      <c r="L207" s="64">
        <f t="shared" si="7"/>
        <v>28.664522144522145</v>
      </c>
      <c r="M207" s="66">
        <f>C209*Scoring!$B$34+D209/Scoring!$C$34+E209*Scoring!$D$34+WR!F209*Scoring!$E$34+WR!G209/Scoring!$F$34+WR!H209*Scoring!$G$34+WR!I209*Scoring!$H$34+K209*Scoring!$I$34+WR!L209*Scoring!$J$34+U207</f>
        <v>80.86</v>
      </c>
      <c r="N207" s="66">
        <f>C207*Scoring!$B$34+D207/Scoring!$C$34+E207*Scoring!$D$34+WR!F207*Scoring!$E$34+WR!G207/Scoring!$F$34+WR!H207*Scoring!$G$34+WR!I207*Scoring!$H$34+K207*Scoring!$I$34+WR!L207*Scoring!$J$34+U207</f>
        <v>101.13</v>
      </c>
      <c r="O207" s="66">
        <f>C208*Scoring!$B$34+D208/Scoring!$C$34+E208*Scoring!$D$34+WR!F208*Scoring!$E$34+WR!G208/Scoring!$F$34+WR!H208*Scoring!$G$34+WR!I208*Scoring!$H$34+K208*Scoring!$I$34+WR!L208*Scoring!$J$34+U207</f>
        <v>121.60000000000001</v>
      </c>
      <c r="P207" s="20">
        <f>IF(COUNTIF(Rookies!$A:$A,A207)&gt;0,1,0)</f>
        <v>0</v>
      </c>
      <c r="S207" s="20">
        <f>V207/17</f>
        <v>5.9488235294117642</v>
      </c>
      <c r="T207" s="20">
        <f>IF(P207=1,MAX(0,0.28*(12-S207)),0)</f>
        <v>0</v>
      </c>
      <c r="U207" s="20">
        <f>T207*17</f>
        <v>0</v>
      </c>
      <c r="V207" s="20">
        <f>C207*Scoring!$B$34+D207/Scoring!$C$34+E207*Scoring!$D$34+WR!F207*Scoring!$E$34+WR!G207/Scoring!$F$34+WR!H207*Scoring!$G$34+WR!I207*Scoring!$H$34+K207*Scoring!$I$34+WR!L207*Scoring!$J$34</f>
        <v>101.13</v>
      </c>
    </row>
    <row r="208" spans="1:22" ht="14.25" customHeight="1" x14ac:dyDescent="0.3">
      <c r="B208" t="s">
        <v>472</v>
      </c>
      <c r="C208">
        <v>57</v>
      </c>
      <c r="D208">
        <v>694</v>
      </c>
      <c r="E208">
        <v>4</v>
      </c>
      <c r="F208">
        <v>1</v>
      </c>
      <c r="G208">
        <v>3</v>
      </c>
      <c r="H208">
        <v>0</v>
      </c>
      <c r="I208">
        <v>0.3</v>
      </c>
      <c r="J208">
        <v>106.7</v>
      </c>
      <c r="K208" s="64">
        <f t="shared" si="6"/>
        <v>0.18592162554426706</v>
      </c>
      <c r="L208" s="64">
        <f t="shared" si="7"/>
        <v>34.133799533799532</v>
      </c>
      <c r="M208" s="67"/>
      <c r="N208" s="67"/>
      <c r="O208" s="67"/>
    </row>
    <row r="209" spans="1:22" ht="14.25" customHeight="1" x14ac:dyDescent="0.3">
      <c r="B209" t="s">
        <v>473</v>
      </c>
      <c r="C209">
        <v>37.799999999999997</v>
      </c>
      <c r="D209">
        <v>471.6</v>
      </c>
      <c r="E209">
        <v>2.8</v>
      </c>
      <c r="F209">
        <v>0</v>
      </c>
      <c r="G209">
        <v>0</v>
      </c>
      <c r="H209">
        <v>0</v>
      </c>
      <c r="I209">
        <v>1</v>
      </c>
      <c r="J209">
        <v>87.4</v>
      </c>
      <c r="K209" s="64">
        <f t="shared" si="6"/>
        <v>0</v>
      </c>
      <c r="L209" s="64">
        <f t="shared" si="7"/>
        <v>23.195244755244762</v>
      </c>
      <c r="M209" s="67"/>
      <c r="N209" s="67"/>
      <c r="O209" s="67"/>
    </row>
    <row r="210" spans="1:22" ht="14.25" customHeight="1" x14ac:dyDescent="0.3">
      <c r="A210" t="s">
        <v>785</v>
      </c>
      <c r="B210" t="s">
        <v>519</v>
      </c>
      <c r="C210">
        <v>45.3</v>
      </c>
      <c r="D210">
        <v>517</v>
      </c>
      <c r="E210">
        <v>3.6</v>
      </c>
      <c r="F210">
        <v>5.0999999999999996</v>
      </c>
      <c r="G210">
        <v>17.600000000000001</v>
      </c>
      <c r="H210">
        <v>0.1</v>
      </c>
      <c r="I210">
        <v>0.3</v>
      </c>
      <c r="J210">
        <v>97.5</v>
      </c>
      <c r="K210" s="64">
        <f t="shared" si="6"/>
        <v>1.0907402031930338</v>
      </c>
      <c r="L210" s="64">
        <f t="shared" si="7"/>
        <v>25.428205128205128</v>
      </c>
      <c r="M210" s="66">
        <f>C212*Scoring!$B$34+D212/Scoring!$C$34+E212*Scoring!$D$34+WR!F212*Scoring!$E$34+WR!G212/Scoring!$F$34+WR!H212*Scoring!$G$34+WR!I212*Scoring!$H$34+K212*Scoring!$I$34+WR!L212*Scoring!$J$34+U210</f>
        <v>84.899999999999991</v>
      </c>
      <c r="N210" s="66">
        <f>C210*Scoring!$B$34+D210/Scoring!$C$34+E210*Scoring!$D$34+WR!F210*Scoring!$E$34+WR!G210/Scoring!$F$34+WR!H210*Scoring!$G$34+WR!I210*Scoring!$H$34+K210*Scoring!$I$34+WR!L210*Scoring!$J$34+U210</f>
        <v>97.71</v>
      </c>
      <c r="O210" s="66">
        <f>C211*Scoring!$B$34+D211/Scoring!$C$34+E211*Scoring!$D$34+WR!F211*Scoring!$E$34+WR!G211/Scoring!$F$34+WR!H211*Scoring!$G$34+WR!I211*Scoring!$H$34+K211*Scoring!$I$34+WR!L211*Scoring!$J$34+U210</f>
        <v>109.86999999999999</v>
      </c>
      <c r="P210" s="20">
        <f>IF(COUNTIF(Rookies!$A:$A,A210)&gt;0,1,0)</f>
        <v>0</v>
      </c>
      <c r="S210" s="20">
        <f>V210/17</f>
        <v>5.7476470588235289</v>
      </c>
      <c r="T210" s="20">
        <f>IF(P210=1,MAX(0,0.28*(12-S210)),0)</f>
        <v>0</v>
      </c>
      <c r="U210" s="20">
        <f>T210*17</f>
        <v>0</v>
      </c>
      <c r="V210" s="20">
        <f>C210*Scoring!$B$34+D210/Scoring!$C$34+E210*Scoring!$D$34+WR!F210*Scoring!$E$34+WR!G210/Scoring!$F$34+WR!H210*Scoring!$G$34+WR!I210*Scoring!$H$34+K210*Scoring!$I$34+WR!L210*Scoring!$J$34</f>
        <v>97.71</v>
      </c>
    </row>
    <row r="211" spans="1:22" ht="14.25" customHeight="1" x14ac:dyDescent="0.3">
      <c r="B211" t="s">
        <v>472</v>
      </c>
      <c r="C211">
        <v>50.5</v>
      </c>
      <c r="D211">
        <v>578</v>
      </c>
      <c r="E211">
        <v>4</v>
      </c>
      <c r="F211">
        <v>6</v>
      </c>
      <c r="G211">
        <v>22.2</v>
      </c>
      <c r="H211">
        <v>0.1</v>
      </c>
      <c r="I211">
        <v>0</v>
      </c>
      <c r="J211">
        <v>103.7</v>
      </c>
      <c r="K211" s="64">
        <f t="shared" si="6"/>
        <v>1.3758200290275762</v>
      </c>
      <c r="L211" s="64">
        <f t="shared" si="7"/>
        <v>28.428438228438232</v>
      </c>
      <c r="M211" s="67"/>
      <c r="N211" s="67"/>
      <c r="O211" s="67"/>
    </row>
    <row r="212" spans="1:22" ht="14.25" customHeight="1" x14ac:dyDescent="0.3">
      <c r="B212" t="s">
        <v>473</v>
      </c>
      <c r="C212">
        <v>40</v>
      </c>
      <c r="D212">
        <v>456</v>
      </c>
      <c r="E212">
        <v>3.2</v>
      </c>
      <c r="F212">
        <v>4.2</v>
      </c>
      <c r="G212">
        <v>13</v>
      </c>
      <c r="H212">
        <v>0</v>
      </c>
      <c r="I212">
        <v>0.6</v>
      </c>
      <c r="J212">
        <v>82.6</v>
      </c>
      <c r="K212" s="64">
        <f t="shared" si="6"/>
        <v>0.8056603773584905</v>
      </c>
      <c r="L212" s="64">
        <f t="shared" si="7"/>
        <v>22.427972027972029</v>
      </c>
      <c r="M212" s="67"/>
      <c r="N212" s="67"/>
      <c r="O212" s="67"/>
    </row>
    <row r="213" spans="1:22" ht="14.25" customHeight="1" x14ac:dyDescent="0.3">
      <c r="A213" t="s">
        <v>782</v>
      </c>
      <c r="B213" t="s">
        <v>523</v>
      </c>
      <c r="C213">
        <v>40</v>
      </c>
      <c r="D213">
        <v>551.29999999999995</v>
      </c>
      <c r="E213">
        <v>3.3</v>
      </c>
      <c r="F213">
        <v>2.1</v>
      </c>
      <c r="G213">
        <v>5.0999999999999996</v>
      </c>
      <c r="H213">
        <v>0.1</v>
      </c>
      <c r="I213">
        <v>0.7</v>
      </c>
      <c r="J213">
        <v>94.4</v>
      </c>
      <c r="K213" s="64">
        <f t="shared" si="6"/>
        <v>0.31606676342525397</v>
      </c>
      <c r="L213" s="64">
        <f t="shared" si="7"/>
        <v>27.115221445221444</v>
      </c>
      <c r="M213" s="66">
        <f>C215*Scoring!$B$34+D215/Scoring!$C$34+E215*Scoring!$D$34+WR!F215*Scoring!$E$34+WR!G215/Scoring!$F$34+WR!H215*Scoring!$G$34+WR!I215*Scoring!$H$34+K215*Scoring!$I$34+WR!L215*Scoring!$J$34+U213</f>
        <v>82.9</v>
      </c>
      <c r="N213" s="66">
        <f>C213*Scoring!$B$34+D213/Scoring!$C$34+E213*Scoring!$D$34+WR!F213*Scoring!$E$34+WR!G213/Scoring!$F$34+WR!H213*Scoring!$G$34+WR!I213*Scoring!$H$34+K213*Scoring!$I$34+WR!L213*Scoring!$J$34+U213</f>
        <v>94.639999999999986</v>
      </c>
      <c r="O213" s="66">
        <f>C214*Scoring!$B$34+D214/Scoring!$C$34+E214*Scoring!$D$34+WR!F214*Scoring!$E$34+WR!G214/Scoring!$F$34+WR!H214*Scoring!$G$34+WR!I214*Scoring!$H$34+K214*Scoring!$I$34+WR!L214*Scoring!$J$34+U213</f>
        <v>106.18</v>
      </c>
      <c r="P213" s="20">
        <f>IF(COUNTIF(Rookies!$A:$A,A213)&gt;0,1,0)</f>
        <v>0</v>
      </c>
      <c r="S213" s="20">
        <f>V213/17</f>
        <v>5.5670588235294112</v>
      </c>
      <c r="T213" s="20">
        <f>IF(P213=1,MAX(0,0.28*(12-S213)),0)</f>
        <v>0</v>
      </c>
      <c r="U213" s="20">
        <f>T213*17</f>
        <v>0</v>
      </c>
      <c r="V213" s="20">
        <f>C213*Scoring!$B$34+D213/Scoring!$C$34+E213*Scoring!$D$34+WR!F213*Scoring!$E$34+WR!G213/Scoring!$F$34+WR!H213*Scoring!$G$34+WR!I213*Scoring!$H$34+K213*Scoring!$I$34+WR!L213*Scoring!$J$34</f>
        <v>94.639999999999986</v>
      </c>
    </row>
    <row r="214" spans="1:22" ht="14.25" customHeight="1" x14ac:dyDescent="0.3">
      <c r="B214" t="s">
        <v>472</v>
      </c>
      <c r="C214">
        <v>42</v>
      </c>
      <c r="D214">
        <v>622.6</v>
      </c>
      <c r="E214">
        <v>3.7</v>
      </c>
      <c r="F214">
        <v>2.2000000000000002</v>
      </c>
      <c r="G214">
        <v>11.2</v>
      </c>
      <c r="H214">
        <v>0.1</v>
      </c>
      <c r="I214">
        <v>0.5</v>
      </c>
      <c r="J214">
        <v>105.9</v>
      </c>
      <c r="K214" s="64">
        <f t="shared" si="6"/>
        <v>0.69410740203193022</v>
      </c>
      <c r="L214" s="64">
        <f t="shared" si="7"/>
        <v>30.622051282051288</v>
      </c>
      <c r="M214" s="67"/>
      <c r="N214" s="67"/>
      <c r="O214" s="67"/>
    </row>
    <row r="215" spans="1:22" ht="14.25" customHeight="1" x14ac:dyDescent="0.3">
      <c r="B215" t="s">
        <v>473</v>
      </c>
      <c r="C215">
        <v>38</v>
      </c>
      <c r="D215">
        <v>480</v>
      </c>
      <c r="E215">
        <v>3</v>
      </c>
      <c r="F215">
        <v>2</v>
      </c>
      <c r="G215">
        <v>-1</v>
      </c>
      <c r="H215">
        <v>0</v>
      </c>
      <c r="I215">
        <v>1</v>
      </c>
      <c r="J215">
        <v>75</v>
      </c>
      <c r="K215" s="64">
        <f t="shared" si="6"/>
        <v>-6.1973875181422347E-2</v>
      </c>
      <c r="L215" s="64">
        <f t="shared" si="7"/>
        <v>23.60839160839161</v>
      </c>
      <c r="M215" s="67"/>
      <c r="N215" s="67"/>
      <c r="O215" s="67"/>
    </row>
    <row r="216" spans="1:22" ht="14.25" customHeight="1" x14ac:dyDescent="0.3">
      <c r="A216" t="s">
        <v>790</v>
      </c>
      <c r="B216" t="s">
        <v>505</v>
      </c>
      <c r="C216">
        <v>38.799999999999997</v>
      </c>
      <c r="D216">
        <v>538.6</v>
      </c>
      <c r="E216">
        <v>2.9</v>
      </c>
      <c r="F216">
        <v>1</v>
      </c>
      <c r="G216">
        <v>4</v>
      </c>
      <c r="H216">
        <v>0</v>
      </c>
      <c r="I216">
        <v>0.7</v>
      </c>
      <c r="J216">
        <v>89.4</v>
      </c>
      <c r="K216" s="64">
        <f t="shared" si="6"/>
        <v>0.24789550072568939</v>
      </c>
      <c r="L216" s="64">
        <f t="shared" si="7"/>
        <v>26.490582750582757</v>
      </c>
      <c r="M216" s="66">
        <f>C218*Scoring!$B$34+D218/Scoring!$C$34+E218*Scoring!$D$34+WR!F218*Scoring!$E$34+WR!G218/Scoring!$F$34+WR!H218*Scoring!$G$34+WR!I218*Scoring!$H$34+K218*Scoring!$I$34+WR!L218*Scoring!$J$34+U216</f>
        <v>112.44520000000001</v>
      </c>
      <c r="N216" s="66">
        <f>C216*Scoring!$B$34+D216/Scoring!$C$34+E216*Scoring!$D$34+WR!F216*Scoring!$E$34+WR!G216/Scoring!$F$34+WR!H216*Scoring!$G$34+WR!I216*Scoring!$H$34+K216*Scoring!$I$34+WR!L216*Scoring!$J$34+U216</f>
        <v>121.6752</v>
      </c>
      <c r="O216" s="66">
        <f>C217*Scoring!$B$34+D217/Scoring!$C$34+E217*Scoring!$D$34+WR!F217*Scoring!$E$34+WR!G217/Scoring!$F$34+WR!H217*Scoring!$G$34+WR!I217*Scoring!$H$34+K217*Scoring!$I$34+WR!L217*Scoring!$J$34+U216</f>
        <v>130.3152</v>
      </c>
      <c r="P216" s="20">
        <f>IF(COUNTIF(Rookies!$A:$A,A216)&gt;0,1,0)</f>
        <v>1</v>
      </c>
      <c r="S216" s="20">
        <f>V216/17</f>
        <v>5.2741176470588229</v>
      </c>
      <c r="T216" s="20">
        <f>IF(P216=1,MAX(0,0.28*(12-S216)),0)</f>
        <v>1.8832470588235297</v>
      </c>
      <c r="U216" s="20">
        <f>T216*17</f>
        <v>32.015200000000007</v>
      </c>
      <c r="V216" s="20">
        <f>C216*Scoring!$B$34+D216/Scoring!$C$34+E216*Scoring!$D$34+WR!F216*Scoring!$E$34+WR!G216/Scoring!$F$34+WR!H216*Scoring!$G$34+WR!I216*Scoring!$H$34+K216*Scoring!$I$34+WR!L216*Scoring!$J$34</f>
        <v>89.66</v>
      </c>
    </row>
    <row r="217" spans="1:22" ht="14.25" customHeight="1" x14ac:dyDescent="0.3">
      <c r="B217" t="s">
        <v>472</v>
      </c>
      <c r="C217">
        <v>42</v>
      </c>
      <c r="D217">
        <v>593</v>
      </c>
      <c r="E217">
        <v>3</v>
      </c>
      <c r="F217">
        <v>2</v>
      </c>
      <c r="G217">
        <v>8</v>
      </c>
      <c r="H217">
        <v>0</v>
      </c>
      <c r="I217">
        <v>0.4</v>
      </c>
      <c r="J217">
        <v>85.4</v>
      </c>
      <c r="K217" s="64">
        <f t="shared" si="6"/>
        <v>0.49579100145137878</v>
      </c>
      <c r="L217" s="64">
        <f t="shared" si="7"/>
        <v>29.166200466200468</v>
      </c>
      <c r="M217" s="67"/>
      <c r="N217" s="67"/>
      <c r="O217" s="67"/>
    </row>
    <row r="218" spans="1:22" ht="14.25" customHeight="1" x14ac:dyDescent="0.3">
      <c r="B218" t="s">
        <v>473</v>
      </c>
      <c r="C218">
        <v>35.6</v>
      </c>
      <c r="D218">
        <v>484.3</v>
      </c>
      <c r="E218">
        <v>2.7</v>
      </c>
      <c r="F218">
        <v>0</v>
      </c>
      <c r="G218">
        <v>0</v>
      </c>
      <c r="H218">
        <v>0</v>
      </c>
      <c r="I218">
        <v>1</v>
      </c>
      <c r="J218">
        <v>83.6</v>
      </c>
      <c r="K218" s="64">
        <f t="shared" si="6"/>
        <v>0</v>
      </c>
      <c r="L218" s="64">
        <f t="shared" si="7"/>
        <v>23.819883449883449</v>
      </c>
      <c r="M218" s="67"/>
      <c r="N218" s="67"/>
      <c r="O218" s="67"/>
    </row>
    <row r="219" spans="1:22" ht="14.25" customHeight="1" x14ac:dyDescent="0.3">
      <c r="A219" t="s">
        <v>788</v>
      </c>
      <c r="B219" t="s">
        <v>529</v>
      </c>
      <c r="C219">
        <v>41.2</v>
      </c>
      <c r="D219">
        <v>507.6</v>
      </c>
      <c r="E219">
        <v>2.9</v>
      </c>
      <c r="F219">
        <v>2.1</v>
      </c>
      <c r="G219">
        <v>10.8</v>
      </c>
      <c r="H219">
        <v>0</v>
      </c>
      <c r="I219">
        <v>0.7</v>
      </c>
      <c r="J219">
        <v>88.5</v>
      </c>
      <c r="K219" s="64">
        <f t="shared" si="6"/>
        <v>0.66931785195936155</v>
      </c>
      <c r="L219" s="64">
        <f t="shared" si="7"/>
        <v>24.965874125874127</v>
      </c>
      <c r="M219" s="66">
        <f>C221*Scoring!$B$34+D221/Scoring!$C$34+E221*Scoring!$D$34+WR!F221*Scoring!$E$34+WR!G221/Scoring!$F$34+WR!H221*Scoring!$G$34+WR!I221*Scoring!$H$34+K221*Scoring!$I$34+WR!L221*Scoring!$J$34+U219</f>
        <v>118.76679999999999</v>
      </c>
      <c r="N219" s="66">
        <f>C219*Scoring!$B$34+D219/Scoring!$C$34+E219*Scoring!$D$34+WR!F219*Scoring!$E$34+WR!G219/Scoring!$F$34+WR!H219*Scoring!$G$34+WR!I219*Scoring!$H$34+K219*Scoring!$I$34+WR!L219*Scoring!$J$34+U219</f>
        <v>120.79680000000002</v>
      </c>
      <c r="O219" s="66">
        <f>C220*Scoring!$B$34+D220/Scoring!$C$34+E220*Scoring!$D$34+WR!F220*Scoring!$E$34+WR!G220/Scoring!$F$34+WR!H220*Scoring!$G$34+WR!I220*Scoring!$H$34+K220*Scoring!$I$34+WR!L220*Scoring!$J$34+U219</f>
        <v>123.42679999999999</v>
      </c>
      <c r="P219" s="20">
        <f>IF(COUNTIF(Rookies!$A:$A,A219)&gt;0,1,0)</f>
        <v>1</v>
      </c>
      <c r="S219" s="20">
        <f>V219/17</f>
        <v>5.2023529411764713</v>
      </c>
      <c r="T219" s="20">
        <f>IF(P219=1,MAX(0,0.28*(12-S219)),0)</f>
        <v>1.9033411764705883</v>
      </c>
      <c r="U219" s="20">
        <f>T219*17</f>
        <v>32.3568</v>
      </c>
      <c r="V219" s="20">
        <f>C219*Scoring!$B$34+D219/Scoring!$C$34+E219*Scoring!$D$34+WR!F219*Scoring!$E$34+WR!G219/Scoring!$F$34+WR!H219*Scoring!$G$34+WR!I219*Scoring!$H$34+K219*Scoring!$I$34+WR!L219*Scoring!$J$34</f>
        <v>88.440000000000012</v>
      </c>
    </row>
    <row r="220" spans="1:22" ht="14.25" customHeight="1" x14ac:dyDescent="0.3">
      <c r="B220" t="s">
        <v>472</v>
      </c>
      <c r="C220">
        <v>42</v>
      </c>
      <c r="D220">
        <v>511</v>
      </c>
      <c r="E220">
        <v>3</v>
      </c>
      <c r="F220">
        <v>2.1</v>
      </c>
      <c r="G220">
        <v>11.7</v>
      </c>
      <c r="H220">
        <v>0.1</v>
      </c>
      <c r="I220">
        <v>0.4</v>
      </c>
      <c r="J220">
        <v>88.9</v>
      </c>
      <c r="K220" s="64">
        <f t="shared" si="6"/>
        <v>0.72509433962264147</v>
      </c>
      <c r="L220" s="64">
        <f t="shared" si="7"/>
        <v>25.133100233100233</v>
      </c>
      <c r="M220" s="67"/>
      <c r="N220" s="67"/>
      <c r="O220" s="67"/>
    </row>
    <row r="221" spans="1:22" ht="14.25" customHeight="1" x14ac:dyDescent="0.3">
      <c r="B221" t="s">
        <v>473</v>
      </c>
      <c r="C221">
        <v>40.4</v>
      </c>
      <c r="D221">
        <v>504.1</v>
      </c>
      <c r="E221">
        <v>2.8</v>
      </c>
      <c r="F221">
        <v>2</v>
      </c>
      <c r="G221">
        <v>10</v>
      </c>
      <c r="H221">
        <v>0</v>
      </c>
      <c r="I221">
        <v>1</v>
      </c>
      <c r="J221">
        <v>80.599999999999994</v>
      </c>
      <c r="K221" s="64">
        <f t="shared" si="6"/>
        <v>0.61973875181422355</v>
      </c>
      <c r="L221" s="64">
        <f t="shared" si="7"/>
        <v>24.793729603729609</v>
      </c>
      <c r="M221" s="67"/>
      <c r="N221" s="67"/>
      <c r="O221" s="67"/>
    </row>
    <row r="222" spans="1:22" ht="14.25" customHeight="1" x14ac:dyDescent="0.3">
      <c r="A222" t="s">
        <v>787</v>
      </c>
      <c r="B222" t="s">
        <v>513</v>
      </c>
      <c r="C222">
        <v>45.1</v>
      </c>
      <c r="D222">
        <v>410.2</v>
      </c>
      <c r="E222">
        <v>2.2999999999999998</v>
      </c>
      <c r="F222">
        <v>13.5</v>
      </c>
      <c r="G222">
        <v>80.400000000000006</v>
      </c>
      <c r="H222">
        <v>0.7</v>
      </c>
      <c r="I222">
        <v>0.8</v>
      </c>
      <c r="J222">
        <v>88.4</v>
      </c>
      <c r="K222" s="64">
        <f t="shared" si="6"/>
        <v>4.9826995645863574</v>
      </c>
      <c r="L222" s="64">
        <f t="shared" si="7"/>
        <v>20.175337995337998</v>
      </c>
      <c r="M222" s="66">
        <f>C224*Scoring!$B$34+D224/Scoring!$C$34+E224*Scoring!$D$34+WR!F224*Scoring!$E$34+WR!G224/Scoring!$F$34+WR!H224*Scoring!$G$34+WR!I224*Scoring!$H$34+K224*Scoring!$I$34+WR!L224*Scoring!$J$34+U222</f>
        <v>75.430000000000007</v>
      </c>
      <c r="N222" s="66">
        <f>C222*Scoring!$B$34+D222/Scoring!$C$34+E222*Scoring!$D$34+WR!F222*Scoring!$E$34+WR!G222/Scoring!$F$34+WR!H222*Scoring!$G$34+WR!I222*Scoring!$H$34+K222*Scoring!$I$34+WR!L222*Scoring!$J$34+U222</f>
        <v>88.01</v>
      </c>
      <c r="O222" s="66">
        <f>C223*Scoring!$B$34+D223/Scoring!$C$34+E223*Scoring!$D$34+WR!F223*Scoring!$E$34+WR!G223/Scoring!$F$34+WR!H223*Scoring!$G$34+WR!I223*Scoring!$H$34+K223*Scoring!$I$34+WR!L223*Scoring!$J$34+U222</f>
        <v>101.24</v>
      </c>
      <c r="P222" s="20">
        <f>IF(COUNTIF(Rookies!$A:$A,A222)&gt;0,1,0)</f>
        <v>0</v>
      </c>
      <c r="S222" s="20">
        <f>V222/17</f>
        <v>5.1770588235294124</v>
      </c>
      <c r="T222" s="20">
        <f>IF(P222=1,MAX(0,0.28*(12-S222)),0)</f>
        <v>0</v>
      </c>
      <c r="U222" s="20">
        <f>T222*17</f>
        <v>0</v>
      </c>
      <c r="V222" s="20">
        <f>C222*Scoring!$B$34+D222/Scoring!$C$34+E222*Scoring!$D$34+WR!F222*Scoring!$E$34+WR!G222/Scoring!$F$34+WR!H222*Scoring!$G$34+WR!I222*Scoring!$H$34+K222*Scoring!$I$34+WR!L222*Scoring!$J$34</f>
        <v>88.01</v>
      </c>
    </row>
    <row r="223" spans="1:22" ht="14.25" customHeight="1" x14ac:dyDescent="0.3">
      <c r="B223" t="s">
        <v>472</v>
      </c>
      <c r="C223">
        <v>46</v>
      </c>
      <c r="D223">
        <v>471.4</v>
      </c>
      <c r="E223">
        <v>3</v>
      </c>
      <c r="F223">
        <v>14</v>
      </c>
      <c r="G223">
        <v>83</v>
      </c>
      <c r="H223">
        <v>1</v>
      </c>
      <c r="I223">
        <v>0.6</v>
      </c>
      <c r="J223">
        <v>92.1</v>
      </c>
      <c r="K223" s="64">
        <f t="shared" si="6"/>
        <v>5.143831640058055</v>
      </c>
      <c r="L223" s="64">
        <f t="shared" si="7"/>
        <v>23.185407925407929</v>
      </c>
      <c r="M223" s="67"/>
      <c r="N223" s="67"/>
      <c r="O223" s="67"/>
    </row>
    <row r="224" spans="1:22" ht="14.25" customHeight="1" x14ac:dyDescent="0.3">
      <c r="B224" t="s">
        <v>473</v>
      </c>
      <c r="C224">
        <v>44.3</v>
      </c>
      <c r="D224">
        <v>349</v>
      </c>
      <c r="E224">
        <v>1.7</v>
      </c>
      <c r="F224">
        <v>12.9</v>
      </c>
      <c r="G224">
        <v>77.8</v>
      </c>
      <c r="H224">
        <v>0.4</v>
      </c>
      <c r="I224">
        <v>1</v>
      </c>
      <c r="J224">
        <v>74.599999999999994</v>
      </c>
      <c r="K224" s="64">
        <f t="shared" si="6"/>
        <v>4.8215674891146589</v>
      </c>
      <c r="L224" s="64">
        <f t="shared" si="7"/>
        <v>17.165268065268066</v>
      </c>
      <c r="M224" s="67"/>
      <c r="N224" s="67"/>
      <c r="O224" s="67"/>
    </row>
    <row r="225" spans="1:22" ht="14.25" customHeight="1" x14ac:dyDescent="0.3">
      <c r="A225" t="s">
        <v>797</v>
      </c>
      <c r="B225" t="s">
        <v>513</v>
      </c>
      <c r="C225">
        <v>40.6</v>
      </c>
      <c r="D225">
        <v>516.1</v>
      </c>
      <c r="E225">
        <v>2.8</v>
      </c>
      <c r="F225">
        <v>1</v>
      </c>
      <c r="G225">
        <v>5.5</v>
      </c>
      <c r="H225">
        <v>0</v>
      </c>
      <c r="I225">
        <v>0.7</v>
      </c>
      <c r="J225">
        <v>88</v>
      </c>
      <c r="K225" s="64">
        <f t="shared" si="6"/>
        <v>0.34085631349782292</v>
      </c>
      <c r="L225" s="64">
        <f t="shared" si="7"/>
        <v>25.383939393939396</v>
      </c>
      <c r="M225" s="66">
        <f>C227*Scoring!$B$34+D227/Scoring!$C$34+E227*Scoring!$D$34+WR!F227*Scoring!$E$34+WR!G227/Scoring!$F$34+WR!H227*Scoring!$G$34+WR!I227*Scoring!$H$34+K227*Scoring!$I$34+WR!L227*Scoring!$J$34+U225</f>
        <v>102.08920000000001</v>
      </c>
      <c r="N225" s="66">
        <f>C225*Scoring!$B$34+D225/Scoring!$C$34+E225*Scoring!$D$34+WR!F225*Scoring!$E$34+WR!G225/Scoring!$F$34+WR!H225*Scoring!$G$34+WR!I225*Scoring!$H$34+K225*Scoring!$I$34+WR!L225*Scoring!$J$34+U225</f>
        <v>120.3792</v>
      </c>
      <c r="O225" s="66">
        <f>C226*Scoring!$B$34+D226/Scoring!$C$34+E226*Scoring!$D$34+WR!F226*Scoring!$E$34+WR!G226/Scoring!$F$34+WR!H226*Scoring!$G$34+WR!I226*Scoring!$H$34+K226*Scoring!$I$34+WR!L226*Scoring!$J$34+U225</f>
        <v>138.61920000000001</v>
      </c>
      <c r="P225" s="20">
        <f>IF(COUNTIF(Rookies!$A:$A,A225)&gt;0,1,0)</f>
        <v>1</v>
      </c>
      <c r="S225" s="20">
        <f>V225/17</f>
        <v>5.1682352941176459</v>
      </c>
      <c r="T225" s="20">
        <f>IF(P225=1,MAX(0,0.28*(12-S225)),0)</f>
        <v>1.9128941176470593</v>
      </c>
      <c r="U225" s="20">
        <f>T225*17</f>
        <v>32.519200000000005</v>
      </c>
      <c r="V225" s="20">
        <f>C225*Scoring!$B$34+D225/Scoring!$C$34+E225*Scoring!$D$34+WR!F225*Scoring!$E$34+WR!G225/Scoring!$F$34+WR!H225*Scoring!$G$34+WR!I225*Scoring!$H$34+K225*Scoring!$I$34+WR!L225*Scoring!$J$34</f>
        <v>87.859999999999985</v>
      </c>
    </row>
    <row r="226" spans="1:22" ht="14.25" customHeight="1" x14ac:dyDescent="0.3">
      <c r="B226" t="s">
        <v>472</v>
      </c>
      <c r="C226">
        <v>47</v>
      </c>
      <c r="D226">
        <v>583</v>
      </c>
      <c r="E226">
        <v>4</v>
      </c>
      <c r="F226">
        <v>2</v>
      </c>
      <c r="G226">
        <v>11</v>
      </c>
      <c r="H226">
        <v>0</v>
      </c>
      <c r="I226">
        <v>0.4</v>
      </c>
      <c r="J226">
        <v>92.3</v>
      </c>
      <c r="K226" s="64">
        <f t="shared" si="6"/>
        <v>0.68171262699564583</v>
      </c>
      <c r="L226" s="64">
        <f t="shared" si="7"/>
        <v>28.674358974358974</v>
      </c>
      <c r="M226" s="67"/>
      <c r="N226" s="67"/>
      <c r="O226" s="67"/>
    </row>
    <row r="227" spans="1:22" ht="14.25" customHeight="1" x14ac:dyDescent="0.3">
      <c r="B227" t="s">
        <v>473</v>
      </c>
      <c r="C227">
        <v>34.1</v>
      </c>
      <c r="D227">
        <v>449.2</v>
      </c>
      <c r="E227">
        <v>1.6</v>
      </c>
      <c r="F227">
        <v>0</v>
      </c>
      <c r="G227">
        <v>0</v>
      </c>
      <c r="H227">
        <v>0</v>
      </c>
      <c r="I227">
        <v>1</v>
      </c>
      <c r="J227">
        <v>74.5</v>
      </c>
      <c r="K227" s="64">
        <f t="shared" si="6"/>
        <v>0</v>
      </c>
      <c r="L227" s="64">
        <f t="shared" si="7"/>
        <v>22.093519813519812</v>
      </c>
      <c r="M227" s="67"/>
      <c r="N227" s="67"/>
      <c r="O227" s="67"/>
    </row>
    <row r="228" spans="1:22" ht="14.25" customHeight="1" x14ac:dyDescent="0.3">
      <c r="A228" t="s">
        <v>792</v>
      </c>
      <c r="B228" t="s">
        <v>479</v>
      </c>
      <c r="C228">
        <v>35.4</v>
      </c>
      <c r="D228">
        <v>495.9</v>
      </c>
      <c r="E228">
        <v>3.1</v>
      </c>
      <c r="F228">
        <v>3.5</v>
      </c>
      <c r="G228">
        <v>18.7</v>
      </c>
      <c r="H228">
        <v>0.1</v>
      </c>
      <c r="I228">
        <v>1.2</v>
      </c>
      <c r="J228">
        <v>86.3</v>
      </c>
      <c r="K228" s="64">
        <f t="shared" si="6"/>
        <v>1.1589114658925979</v>
      </c>
      <c r="L228" s="64">
        <f t="shared" si="7"/>
        <v>24.390419580419582</v>
      </c>
      <c r="M228" s="66">
        <f>C230*Scoring!$B$34+D230/Scoring!$C$34+E230*Scoring!$D$34+WR!F230*Scoring!$E$34+WR!G230/Scoring!$F$34+WR!H230*Scoring!$G$34+WR!I230*Scoring!$H$34+K230*Scoring!$I$34+WR!L230*Scoring!$J$34+U228</f>
        <v>91.671199999999999</v>
      </c>
      <c r="N228" s="66">
        <f>C228*Scoring!$B$34+D228/Scoring!$C$34+E228*Scoring!$D$34+WR!F228*Scoring!$E$34+WR!G228/Scoring!$F$34+WR!H228*Scoring!$G$34+WR!I228*Scoring!$H$34+K228*Scoring!$I$34+WR!L228*Scoring!$J$34+U228</f>
        <v>119.01119999999999</v>
      </c>
      <c r="O228" s="66">
        <f>C229*Scoring!$B$34+D229/Scoring!$C$34+E229*Scoring!$D$34+WR!F229*Scoring!$E$34+WR!G229/Scoring!$F$34+WR!H229*Scoring!$G$34+WR!I229*Scoring!$H$34+K229*Scoring!$I$34+WR!L229*Scoring!$J$34+U228</f>
        <v>147.18120000000002</v>
      </c>
      <c r="P228" s="20">
        <f>IF(COUNTIF(Rookies!$A:$A,A228)&gt;0,1,0)</f>
        <v>1</v>
      </c>
      <c r="S228" s="20">
        <f>V228/17</f>
        <v>5.0564705882352925</v>
      </c>
      <c r="T228" s="20">
        <f>IF(P228=1,MAX(0,0.28*(12-S228)),0)</f>
        <v>1.9441882352941182</v>
      </c>
      <c r="U228" s="20">
        <f>T228*17</f>
        <v>33.051200000000009</v>
      </c>
      <c r="V228" s="20">
        <f>C228*Scoring!$B$34+D228/Scoring!$C$34+E228*Scoring!$D$34+WR!F228*Scoring!$E$34+WR!G228/Scoring!$F$34+WR!H228*Scoring!$G$34+WR!I228*Scoring!$H$34+K228*Scoring!$I$34+WR!L228*Scoring!$J$34</f>
        <v>85.95999999999998</v>
      </c>
    </row>
    <row r="229" spans="1:22" ht="14.25" customHeight="1" x14ac:dyDescent="0.3">
      <c r="B229" t="s">
        <v>472</v>
      </c>
      <c r="C229">
        <v>45</v>
      </c>
      <c r="D229">
        <v>648</v>
      </c>
      <c r="E229">
        <v>4</v>
      </c>
      <c r="F229">
        <v>4.0999999999999996</v>
      </c>
      <c r="G229">
        <v>22.3</v>
      </c>
      <c r="H229">
        <v>0.2</v>
      </c>
      <c r="I229">
        <v>0.3</v>
      </c>
      <c r="J229">
        <v>93.7</v>
      </c>
      <c r="K229" s="64">
        <f t="shared" si="6"/>
        <v>1.3820174165457184</v>
      </c>
      <c r="L229" s="64">
        <f t="shared" si="7"/>
        <v>31.871328671328673</v>
      </c>
      <c r="M229" s="67"/>
      <c r="N229" s="67"/>
      <c r="O229" s="67"/>
    </row>
    <row r="230" spans="1:22" ht="14.25" customHeight="1" x14ac:dyDescent="0.3">
      <c r="B230" t="s">
        <v>473</v>
      </c>
      <c r="C230">
        <v>25.9</v>
      </c>
      <c r="D230">
        <v>343.7</v>
      </c>
      <c r="E230">
        <v>2.2999999999999998</v>
      </c>
      <c r="F230">
        <v>3</v>
      </c>
      <c r="G230">
        <v>15</v>
      </c>
      <c r="H230">
        <v>0</v>
      </c>
      <c r="I230">
        <v>2</v>
      </c>
      <c r="J230">
        <v>69.5</v>
      </c>
      <c r="K230" s="64">
        <f t="shared" si="6"/>
        <v>0.92960812772133528</v>
      </c>
      <c r="L230" s="64">
        <f t="shared" si="7"/>
        <v>16.904592074592074</v>
      </c>
      <c r="M230" s="67"/>
      <c r="N230" s="67"/>
      <c r="O230" s="67"/>
    </row>
    <row r="231" spans="1:22" ht="14.25" customHeight="1" x14ac:dyDescent="0.3">
      <c r="A231" t="s">
        <v>783</v>
      </c>
      <c r="B231" t="s">
        <v>513</v>
      </c>
      <c r="C231">
        <v>39.200000000000003</v>
      </c>
      <c r="D231">
        <v>507.4</v>
      </c>
      <c r="E231">
        <v>2.5</v>
      </c>
      <c r="F231">
        <v>1</v>
      </c>
      <c r="G231">
        <v>5.5</v>
      </c>
      <c r="H231">
        <v>0</v>
      </c>
      <c r="I231">
        <v>0.7</v>
      </c>
      <c r="J231">
        <v>84.7</v>
      </c>
      <c r="K231" s="64">
        <f t="shared" si="6"/>
        <v>0.34085631349782292</v>
      </c>
      <c r="L231" s="64">
        <f t="shared" si="7"/>
        <v>24.956037296037298</v>
      </c>
      <c r="M231" s="66">
        <f>C233*Scoring!$B$34+D233/Scoring!$C$34+E233*Scoring!$D$34+WR!F233*Scoring!$E$34+WR!G233/Scoring!$F$34+WR!H233*Scoring!$G$34+WR!I233*Scoring!$H$34+K233*Scoring!$I$34+WR!L233*Scoring!$J$34+U231</f>
        <v>104.9628</v>
      </c>
      <c r="N231" s="66">
        <f>C231*Scoring!$B$34+D231/Scoring!$C$34+E231*Scoring!$D$34+WR!F231*Scoring!$E$34+WR!G231/Scoring!$F$34+WR!H231*Scoring!$G$34+WR!I231*Scoring!$H$34+K231*Scoring!$I$34+WR!L231*Scoring!$J$34+U231</f>
        <v>117.9528</v>
      </c>
      <c r="O231" s="66">
        <f>C232*Scoring!$B$34+D232/Scoring!$C$34+E232*Scoring!$D$34+WR!F232*Scoring!$E$34+WR!G232/Scoring!$F$34+WR!H232*Scoring!$G$34+WR!I232*Scoring!$H$34+K232*Scoring!$I$34+WR!L232*Scoring!$J$34+U231</f>
        <v>131.53280000000001</v>
      </c>
      <c r="P231" s="20">
        <f>IF(COUNTIF(Rookies!$A:$A,A231)&gt;0,1,0)</f>
        <v>1</v>
      </c>
      <c r="S231" s="20">
        <f>V231/17</f>
        <v>4.97</v>
      </c>
      <c r="T231" s="20">
        <f>IF(P231=1,MAX(0,0.28*(12-S231)),0)</f>
        <v>1.9684000000000001</v>
      </c>
      <c r="U231" s="20">
        <f>T231*17</f>
        <v>33.462800000000001</v>
      </c>
      <c r="V231" s="20">
        <f>C231*Scoring!$B$34+D231/Scoring!$C$34+E231*Scoring!$D$34+WR!F231*Scoring!$E$34+WR!G231/Scoring!$F$34+WR!H231*Scoring!$G$34+WR!I231*Scoring!$H$34+K231*Scoring!$I$34+WR!L231*Scoring!$J$34</f>
        <v>84.49</v>
      </c>
    </row>
    <row r="232" spans="1:22" ht="14.25" customHeight="1" x14ac:dyDescent="0.3">
      <c r="B232" t="s">
        <v>472</v>
      </c>
      <c r="C232">
        <v>43.4</v>
      </c>
      <c r="D232">
        <v>580.70000000000005</v>
      </c>
      <c r="E232">
        <v>3</v>
      </c>
      <c r="F232">
        <v>2</v>
      </c>
      <c r="G232">
        <v>11</v>
      </c>
      <c r="H232">
        <v>0</v>
      </c>
      <c r="I232">
        <v>0.4</v>
      </c>
      <c r="J232">
        <v>89.6</v>
      </c>
      <c r="K232" s="64">
        <f t="shared" si="6"/>
        <v>0.68171262699564583</v>
      </c>
      <c r="L232" s="64">
        <f t="shared" si="7"/>
        <v>28.561235431235435</v>
      </c>
      <c r="M232" s="67"/>
      <c r="N232" s="67"/>
      <c r="O232" s="67"/>
    </row>
    <row r="233" spans="1:22" ht="14.25" customHeight="1" x14ac:dyDescent="0.3">
      <c r="B233" t="s">
        <v>473</v>
      </c>
      <c r="C233">
        <v>35</v>
      </c>
      <c r="D233">
        <v>434</v>
      </c>
      <c r="E233">
        <v>2.1</v>
      </c>
      <c r="F233">
        <v>0</v>
      </c>
      <c r="G233">
        <v>0</v>
      </c>
      <c r="H233">
        <v>0</v>
      </c>
      <c r="I233">
        <v>1</v>
      </c>
      <c r="J233">
        <v>70.599999999999994</v>
      </c>
      <c r="K233" s="64">
        <f t="shared" si="6"/>
        <v>0</v>
      </c>
      <c r="L233" s="64">
        <f t="shared" si="7"/>
        <v>21.345920745920751</v>
      </c>
      <c r="M233" s="67"/>
      <c r="N233" s="67"/>
      <c r="O233" s="67"/>
    </row>
    <row r="234" spans="1:22" ht="14.25" customHeight="1" x14ac:dyDescent="0.3">
      <c r="A234" t="s">
        <v>801</v>
      </c>
      <c r="B234" t="s">
        <v>523</v>
      </c>
      <c r="C234">
        <v>38.5</v>
      </c>
      <c r="D234">
        <v>458</v>
      </c>
      <c r="E234">
        <v>3.1</v>
      </c>
      <c r="F234">
        <v>2.1</v>
      </c>
      <c r="G234">
        <v>12.5</v>
      </c>
      <c r="H234">
        <v>0.1</v>
      </c>
      <c r="I234">
        <v>0.7</v>
      </c>
      <c r="J234">
        <v>84</v>
      </c>
      <c r="K234" s="64">
        <f t="shared" si="6"/>
        <v>0.77467343976777947</v>
      </c>
      <c r="L234" s="64">
        <f t="shared" si="7"/>
        <v>22.526340326340332</v>
      </c>
      <c r="M234" s="66">
        <f>C236*Scoring!$B$34+D236/Scoring!$C$34+E236*Scoring!$D$34+WR!F236*Scoring!$E$34+WR!G236/Scoring!$F$34+WR!H236*Scoring!$G$34+WR!I236*Scoring!$H$34+K236*Scoring!$I$34+WR!L236*Scoring!$J$34+U234</f>
        <v>102.072</v>
      </c>
      <c r="N234" s="66">
        <f>C234*Scoring!$B$34+D234/Scoring!$C$34+E234*Scoring!$D$34+WR!F234*Scoring!$E$34+WR!G234/Scoring!$F$34+WR!H234*Scoring!$G$34+WR!I234*Scoring!$H$34+K234*Scoring!$I$34+WR!L234*Scoring!$J$34+U234</f>
        <v>117.672</v>
      </c>
      <c r="O234" s="66">
        <f>C235*Scoring!$B$34+D235/Scoring!$C$34+E235*Scoring!$D$34+WR!F235*Scoring!$E$34+WR!G235/Scoring!$F$34+WR!H235*Scoring!$G$34+WR!I235*Scoring!$H$34+K235*Scoring!$I$34+WR!L235*Scoring!$J$34+U234</f>
        <v>132.672</v>
      </c>
      <c r="P234" s="20">
        <f>IF(COUNTIF(Rookies!$A:$A,A234)&gt;0,1,0)</f>
        <v>1</v>
      </c>
      <c r="S234" s="20">
        <f>V234/17</f>
        <v>4.9470588235294111</v>
      </c>
      <c r="T234" s="20">
        <f>IF(P234=1,MAX(0,0.28*(12-S234)),0)</f>
        <v>1.9748235294117651</v>
      </c>
      <c r="U234" s="20">
        <f>T234*17</f>
        <v>33.57200000000001</v>
      </c>
      <c r="V234" s="20">
        <f>C234*Scoring!$B$34+D234/Scoring!$C$34+E234*Scoring!$D$34+WR!F234*Scoring!$E$34+WR!G234/Scoring!$F$34+WR!H234*Scoring!$G$34+WR!I234*Scoring!$H$34+K234*Scoring!$I$34+WR!L234*Scoring!$J$34</f>
        <v>84.1</v>
      </c>
    </row>
    <row r="235" spans="1:22" ht="14.25" customHeight="1" x14ac:dyDescent="0.3">
      <c r="B235" t="s">
        <v>472</v>
      </c>
      <c r="C235">
        <v>44</v>
      </c>
      <c r="D235">
        <v>520</v>
      </c>
      <c r="E235">
        <v>4</v>
      </c>
      <c r="F235">
        <v>2.2000000000000002</v>
      </c>
      <c r="G235">
        <v>13</v>
      </c>
      <c r="H235">
        <v>0.1</v>
      </c>
      <c r="I235">
        <v>0.4</v>
      </c>
      <c r="J235">
        <v>85.2</v>
      </c>
      <c r="K235" s="64">
        <f t="shared" si="6"/>
        <v>0.80566037735849061</v>
      </c>
      <c r="L235" s="64">
        <f t="shared" si="7"/>
        <v>25.575757575757581</v>
      </c>
      <c r="M235" s="67"/>
      <c r="N235" s="67"/>
      <c r="O235" s="67"/>
    </row>
    <row r="236" spans="1:22" ht="14.25" customHeight="1" x14ac:dyDescent="0.3">
      <c r="B236" t="s">
        <v>473</v>
      </c>
      <c r="C236">
        <v>33</v>
      </c>
      <c r="D236">
        <v>396</v>
      </c>
      <c r="E236">
        <v>2.2000000000000002</v>
      </c>
      <c r="F236">
        <v>2</v>
      </c>
      <c r="G236">
        <v>12</v>
      </c>
      <c r="H236">
        <v>0</v>
      </c>
      <c r="I236">
        <v>1</v>
      </c>
      <c r="J236">
        <v>74</v>
      </c>
      <c r="K236" s="64">
        <f t="shared" si="6"/>
        <v>0.74368650217706822</v>
      </c>
      <c r="L236" s="64">
        <f t="shared" si="7"/>
        <v>19.476923076923079</v>
      </c>
      <c r="M236" s="67"/>
      <c r="N236" s="67"/>
      <c r="O236" s="67"/>
    </row>
    <row r="237" spans="1:22" ht="14.25" customHeight="1" x14ac:dyDescent="0.3">
      <c r="A237" t="s">
        <v>786</v>
      </c>
      <c r="B237" t="s">
        <v>489</v>
      </c>
      <c r="C237">
        <v>38.1</v>
      </c>
      <c r="D237">
        <v>451.6</v>
      </c>
      <c r="E237">
        <v>3.1</v>
      </c>
      <c r="F237">
        <v>2</v>
      </c>
      <c r="G237">
        <v>10.8</v>
      </c>
      <c r="H237">
        <v>0.1</v>
      </c>
      <c r="I237">
        <v>0.4</v>
      </c>
      <c r="J237">
        <v>83.2</v>
      </c>
      <c r="K237" s="64">
        <f t="shared" si="6"/>
        <v>0.66931785195936155</v>
      </c>
      <c r="L237" s="64">
        <f t="shared" si="7"/>
        <v>22.211561771561776</v>
      </c>
      <c r="M237" s="66">
        <f>C239*Scoring!$B$34+D239/Scoring!$C$34+E239*Scoring!$D$34+WR!F239*Scoring!$E$34+WR!G239/Scoring!$F$34+WR!H239*Scoring!$G$34+WR!I239*Scoring!$H$34+K239*Scoring!$I$34+WR!L239*Scoring!$J$34+U237</f>
        <v>83.69</v>
      </c>
      <c r="N237" s="66">
        <f>C237*Scoring!$B$34+D237/Scoring!$C$34+E237*Scoring!$D$34+WR!F237*Scoring!$E$34+WR!G237/Scoring!$F$34+WR!H237*Scoring!$G$34+WR!I237*Scoring!$H$34+K237*Scoring!$I$34+WR!L237*Scoring!$J$34+U237</f>
        <v>83.69</v>
      </c>
      <c r="O237" s="66">
        <f>C238*Scoring!$B$34+D238/Scoring!$C$34+E238*Scoring!$D$34+WR!F238*Scoring!$E$34+WR!G238/Scoring!$F$34+WR!H238*Scoring!$G$34+WR!I238*Scoring!$H$34+K238*Scoring!$I$34+WR!L238*Scoring!$J$34+U237</f>
        <v>83.69</v>
      </c>
      <c r="P237" s="20">
        <f>IF(COUNTIF(Rookies!$A:$A,A237)&gt;0,1,0)</f>
        <v>0</v>
      </c>
      <c r="S237" s="20">
        <f>V237/17</f>
        <v>4.9229411764705882</v>
      </c>
      <c r="T237" s="20">
        <f>IF(P237=1,MAX(0,0.28*(12-S237)),0)</f>
        <v>0</v>
      </c>
      <c r="U237" s="20">
        <f>T237*17</f>
        <v>0</v>
      </c>
      <c r="V237" s="20">
        <f>C237*Scoring!$B$34+D237/Scoring!$C$34+E237*Scoring!$D$34+WR!F237*Scoring!$E$34+WR!G237/Scoring!$F$34+WR!H237*Scoring!$G$34+WR!I237*Scoring!$H$34+K237*Scoring!$I$34+WR!L237*Scoring!$J$34</f>
        <v>83.69</v>
      </c>
    </row>
    <row r="238" spans="1:22" ht="14.25" customHeight="1" x14ac:dyDescent="0.3">
      <c r="B238" t="s">
        <v>472</v>
      </c>
      <c r="C238">
        <v>38.1</v>
      </c>
      <c r="D238">
        <v>451.6</v>
      </c>
      <c r="E238">
        <v>3.1</v>
      </c>
      <c r="F238">
        <v>2</v>
      </c>
      <c r="G238">
        <v>10.8</v>
      </c>
      <c r="H238">
        <v>0.1</v>
      </c>
      <c r="I238">
        <v>0.4</v>
      </c>
      <c r="J238">
        <v>84.5</v>
      </c>
      <c r="K238" s="64">
        <f t="shared" si="6"/>
        <v>0.66931785195936155</v>
      </c>
      <c r="L238" s="64">
        <f t="shared" si="7"/>
        <v>22.211561771561776</v>
      </c>
      <c r="M238" s="67"/>
      <c r="N238" s="67"/>
      <c r="O238" s="67"/>
    </row>
    <row r="239" spans="1:22" ht="14.25" customHeight="1" x14ac:dyDescent="0.3">
      <c r="B239" t="s">
        <v>473</v>
      </c>
      <c r="C239">
        <v>38.1</v>
      </c>
      <c r="D239">
        <v>451.6</v>
      </c>
      <c r="E239">
        <v>3.1</v>
      </c>
      <c r="F239">
        <v>2</v>
      </c>
      <c r="G239">
        <v>10.8</v>
      </c>
      <c r="H239">
        <v>0.1</v>
      </c>
      <c r="I239">
        <v>0.4</v>
      </c>
      <c r="J239">
        <v>84.5</v>
      </c>
      <c r="K239" s="64">
        <f t="shared" si="6"/>
        <v>0.66931785195936155</v>
      </c>
      <c r="L239" s="64">
        <f t="shared" si="7"/>
        <v>22.211561771561776</v>
      </c>
      <c r="M239" s="67"/>
      <c r="N239" s="67"/>
      <c r="O239" s="67"/>
    </row>
    <row r="240" spans="1:22" ht="14.25" customHeight="1" x14ac:dyDescent="0.3">
      <c r="A240" t="s">
        <v>800</v>
      </c>
      <c r="B240" t="s">
        <v>519</v>
      </c>
      <c r="C240">
        <v>38.700000000000003</v>
      </c>
      <c r="D240">
        <v>473.4</v>
      </c>
      <c r="E240">
        <v>2.5</v>
      </c>
      <c r="F240">
        <v>2.1</v>
      </c>
      <c r="G240">
        <v>14.2</v>
      </c>
      <c r="H240">
        <v>0</v>
      </c>
      <c r="I240">
        <v>0.2</v>
      </c>
      <c r="J240">
        <v>83.1</v>
      </c>
      <c r="K240" s="64">
        <f t="shared" si="6"/>
        <v>0.88002902757619739</v>
      </c>
      <c r="L240" s="64">
        <f t="shared" si="7"/>
        <v>23.283776223776226</v>
      </c>
      <c r="M240" s="66">
        <f>C242*Scoring!$B$34+D242/Scoring!$C$34+E242*Scoring!$D$34+WR!F242*Scoring!$E$34+WR!G242/Scoring!$F$34+WR!H242*Scoring!$G$34+WR!I242*Scoring!$H$34+K242*Scoring!$I$34+WR!L242*Scoring!$J$34+U240</f>
        <v>73.010000000000005</v>
      </c>
      <c r="N240" s="66">
        <f>C240*Scoring!$B$34+D240/Scoring!$C$34+E240*Scoring!$D$34+WR!F240*Scoring!$E$34+WR!G240/Scoring!$F$34+WR!H240*Scoring!$G$34+WR!I240*Scoring!$H$34+K240*Scoring!$I$34+WR!L240*Scoring!$J$34+U240</f>
        <v>82.71</v>
      </c>
      <c r="O240" s="66">
        <f>C241*Scoring!$B$34+D241/Scoring!$C$34+E241*Scoring!$D$34+WR!F241*Scoring!$E$34+WR!G241/Scoring!$F$34+WR!H241*Scoring!$G$34+WR!I241*Scoring!$H$34+K241*Scoring!$I$34+WR!L241*Scoring!$J$34+U240</f>
        <v>93.199999999999989</v>
      </c>
      <c r="P240" s="20">
        <f>IF(COUNTIF(Rookies!$A:$A,A240)&gt;0,1,0)</f>
        <v>0</v>
      </c>
      <c r="S240" s="20">
        <f>V240/17</f>
        <v>4.8652941176470588</v>
      </c>
      <c r="T240" s="20">
        <f>IF(P240=1,MAX(0,0.28*(12-S240)),0)</f>
        <v>0</v>
      </c>
      <c r="U240" s="20">
        <f>T240*17</f>
        <v>0</v>
      </c>
      <c r="V240" s="20">
        <f>C240*Scoring!$B$34+D240/Scoring!$C$34+E240*Scoring!$D$34+WR!F240*Scoring!$E$34+WR!G240/Scoring!$F$34+WR!H240*Scoring!$G$34+WR!I240*Scoring!$H$34+K240*Scoring!$I$34+WR!L240*Scoring!$J$34</f>
        <v>82.71</v>
      </c>
    </row>
    <row r="241" spans="1:22" ht="14.25" customHeight="1" x14ac:dyDescent="0.3">
      <c r="B241" t="s">
        <v>472</v>
      </c>
      <c r="C241">
        <v>43</v>
      </c>
      <c r="D241">
        <v>515</v>
      </c>
      <c r="E241">
        <v>3</v>
      </c>
      <c r="F241">
        <v>2.1</v>
      </c>
      <c r="G241">
        <v>16</v>
      </c>
      <c r="H241">
        <v>0.1</v>
      </c>
      <c r="I241">
        <v>0</v>
      </c>
      <c r="J241">
        <v>81.3</v>
      </c>
      <c r="K241" s="64">
        <f t="shared" si="6"/>
        <v>0.99158200290275778</v>
      </c>
      <c r="L241" s="64">
        <f t="shared" si="7"/>
        <v>25.329836829836832</v>
      </c>
      <c r="M241" s="67"/>
      <c r="N241" s="67"/>
      <c r="O241" s="67"/>
    </row>
    <row r="242" spans="1:22" ht="14.25" customHeight="1" x14ac:dyDescent="0.3">
      <c r="B242" t="s">
        <v>473</v>
      </c>
      <c r="C242">
        <v>34.4</v>
      </c>
      <c r="D242">
        <v>431.7</v>
      </c>
      <c r="E242">
        <v>2</v>
      </c>
      <c r="F242">
        <v>2</v>
      </c>
      <c r="G242">
        <v>12.4</v>
      </c>
      <c r="H242">
        <v>0</v>
      </c>
      <c r="I242">
        <v>0.3</v>
      </c>
      <c r="J242">
        <v>76.099999999999994</v>
      </c>
      <c r="K242" s="64">
        <f t="shared" si="6"/>
        <v>0.76847605224963722</v>
      </c>
      <c r="L242" s="64">
        <f t="shared" si="7"/>
        <v>21.232797202797201</v>
      </c>
      <c r="M242" s="67"/>
      <c r="N242" s="67"/>
      <c r="O242" s="67"/>
    </row>
    <row r="243" spans="1:22" ht="14.25" customHeight="1" x14ac:dyDescent="0.3">
      <c r="A243" t="s">
        <v>789</v>
      </c>
      <c r="B243" t="s">
        <v>481</v>
      </c>
      <c r="C243">
        <v>38.799999999999997</v>
      </c>
      <c r="D243">
        <v>460.6</v>
      </c>
      <c r="E243">
        <v>3</v>
      </c>
      <c r="F243">
        <v>0.5</v>
      </c>
      <c r="G243">
        <v>2.5</v>
      </c>
      <c r="H243">
        <v>0</v>
      </c>
      <c r="I243">
        <v>0.2</v>
      </c>
      <c r="J243">
        <v>83.1</v>
      </c>
      <c r="K243" s="64">
        <f t="shared" si="6"/>
        <v>0.15493468795355589</v>
      </c>
      <c r="L243" s="64">
        <f t="shared" si="7"/>
        <v>22.654219114219117</v>
      </c>
      <c r="M243" s="66">
        <f>C245*Scoring!$B$34+D245/Scoring!$C$34+E245*Scoring!$D$34+WR!F245*Scoring!$E$34+WR!G245/Scoring!$F$34+WR!H245*Scoring!$G$34+WR!I245*Scoring!$H$34+K245*Scoring!$I$34+WR!L245*Scoring!$J$34+U243</f>
        <v>75.7</v>
      </c>
      <c r="N243" s="66">
        <f>C243*Scoring!$B$34+D243/Scoring!$C$34+E243*Scoring!$D$34+WR!F243*Scoring!$E$34+WR!G243/Scoring!$F$34+WR!H243*Scoring!$G$34+WR!I243*Scoring!$H$34+K243*Scoring!$I$34+WR!L243*Scoring!$J$34+U243</f>
        <v>83.31</v>
      </c>
      <c r="O243" s="66">
        <f>C244*Scoring!$B$34+D244/Scoring!$C$34+E244*Scoring!$D$34+WR!F244*Scoring!$E$34+WR!G244/Scoring!$F$34+WR!H244*Scoring!$G$34+WR!I244*Scoring!$H$34+K244*Scoring!$I$34+WR!L244*Scoring!$J$34+U243</f>
        <v>90.360000000000014</v>
      </c>
      <c r="P243" s="20">
        <f>IF(COUNTIF(Rookies!$A:$A,A243)&gt;0,1,0)</f>
        <v>0</v>
      </c>
      <c r="S243" s="20">
        <f>V243/17</f>
        <v>4.9005882352941175</v>
      </c>
      <c r="T243" s="20">
        <f>IF(P243=1,MAX(0,0.28*(12-S243)),0)</f>
        <v>0</v>
      </c>
      <c r="U243" s="20">
        <f>T243*17</f>
        <v>0</v>
      </c>
      <c r="V243" s="20">
        <f>C243*Scoring!$B$34+D243/Scoring!$C$34+E243*Scoring!$D$34+WR!F243*Scoring!$E$34+WR!G243/Scoring!$F$34+WR!H243*Scoring!$G$34+WR!I243*Scoring!$H$34+K243*Scoring!$I$34+WR!L243*Scoring!$J$34</f>
        <v>83.31</v>
      </c>
    </row>
    <row r="244" spans="1:22" ht="14.25" customHeight="1" x14ac:dyDescent="0.3">
      <c r="B244" t="s">
        <v>472</v>
      </c>
      <c r="C244">
        <v>39.700000000000003</v>
      </c>
      <c r="D244">
        <v>520.1</v>
      </c>
      <c r="E244">
        <v>3</v>
      </c>
      <c r="F244">
        <v>1</v>
      </c>
      <c r="G244">
        <v>5</v>
      </c>
      <c r="H244">
        <v>0</v>
      </c>
      <c r="I244">
        <v>0</v>
      </c>
      <c r="J244">
        <v>88.4</v>
      </c>
      <c r="K244" s="64">
        <f t="shared" si="6"/>
        <v>0.30986937590711178</v>
      </c>
      <c r="L244" s="64">
        <f t="shared" si="7"/>
        <v>25.580675990675992</v>
      </c>
      <c r="M244" s="67"/>
      <c r="N244" s="67"/>
      <c r="O244" s="67"/>
    </row>
    <row r="245" spans="1:22" ht="14.25" customHeight="1" x14ac:dyDescent="0.3">
      <c r="B245" t="s">
        <v>473</v>
      </c>
      <c r="C245">
        <v>38</v>
      </c>
      <c r="D245">
        <v>401</v>
      </c>
      <c r="E245">
        <v>2.9</v>
      </c>
      <c r="F245">
        <v>0</v>
      </c>
      <c r="G245">
        <v>0</v>
      </c>
      <c r="H245">
        <v>0</v>
      </c>
      <c r="I245">
        <v>0.4</v>
      </c>
      <c r="J245">
        <v>69.400000000000006</v>
      </c>
      <c r="K245" s="64">
        <f t="shared" si="6"/>
        <v>0</v>
      </c>
      <c r="L245" s="64">
        <f t="shared" si="7"/>
        <v>19.722843822843824</v>
      </c>
      <c r="M245" s="67"/>
      <c r="N245" s="67"/>
      <c r="O245" s="67"/>
    </row>
    <row r="246" spans="1:22" ht="14.25" customHeight="1" x14ac:dyDescent="0.3">
      <c r="A246" t="s">
        <v>796</v>
      </c>
      <c r="B246" t="s">
        <v>493</v>
      </c>
      <c r="C246">
        <v>25.4</v>
      </c>
      <c r="D246">
        <v>466</v>
      </c>
      <c r="E246">
        <v>3.5</v>
      </c>
      <c r="F246">
        <v>0</v>
      </c>
      <c r="G246">
        <v>0</v>
      </c>
      <c r="H246">
        <v>0</v>
      </c>
      <c r="I246">
        <v>0.1</v>
      </c>
      <c r="J246">
        <v>80</v>
      </c>
      <c r="K246" s="64">
        <f t="shared" si="6"/>
        <v>0</v>
      </c>
      <c r="L246" s="64">
        <f t="shared" si="7"/>
        <v>22.919813519813516</v>
      </c>
      <c r="M246" s="66">
        <f>C248*Scoring!$B$34+D248/Scoring!$C$34+E248*Scoring!$D$34+WR!F248*Scoring!$E$34+WR!G248/Scoring!$F$34+WR!H248*Scoring!$G$34+WR!I248*Scoring!$H$34+K248*Scoring!$I$34+WR!L248*Scoring!$J$34+U246</f>
        <v>65.389999999999986</v>
      </c>
      <c r="N246" s="66">
        <f>C246*Scoring!$B$34+D246/Scoring!$C$34+E246*Scoring!$D$34+WR!F246*Scoring!$E$34+WR!G246/Scoring!$F$34+WR!H246*Scoring!$G$34+WR!I246*Scoring!$H$34+K246*Scoring!$I$34+WR!L246*Scoring!$J$34+U246</f>
        <v>80.099999999999994</v>
      </c>
      <c r="O246" s="66">
        <f>C247*Scoring!$B$34+D247/Scoring!$C$34+E247*Scoring!$D$34+WR!F247*Scoring!$E$34+WR!G247/Scoring!$F$34+WR!H247*Scoring!$G$34+WR!I247*Scoring!$H$34+K247*Scoring!$I$34+WR!L247*Scoring!$J$34+U246</f>
        <v>94.8</v>
      </c>
      <c r="P246" s="20">
        <f>IF(COUNTIF(Rookies!$A:$A,A246)&gt;0,1,0)</f>
        <v>0</v>
      </c>
      <c r="S246" s="20">
        <f>V246/17</f>
        <v>4.7117647058823522</v>
      </c>
      <c r="T246" s="20">
        <f>IF(P246=1,MAX(0,0.28*(12-S246)),0)</f>
        <v>0</v>
      </c>
      <c r="U246" s="20">
        <f>T246*17</f>
        <v>0</v>
      </c>
      <c r="V246" s="20">
        <f>C246*Scoring!$B$34+D246/Scoring!$C$34+E246*Scoring!$D$34+WR!F246*Scoring!$E$34+WR!G246/Scoring!$F$34+WR!H246*Scoring!$G$34+WR!I246*Scoring!$H$34+K246*Scoring!$I$34+WR!L246*Scoring!$J$34</f>
        <v>80.099999999999994</v>
      </c>
    </row>
    <row r="247" spans="1:22" ht="14.25" customHeight="1" x14ac:dyDescent="0.3">
      <c r="B247" t="s">
        <v>472</v>
      </c>
      <c r="C247">
        <v>27</v>
      </c>
      <c r="D247">
        <v>573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85.7</v>
      </c>
      <c r="K247" s="64">
        <f t="shared" si="6"/>
        <v>0</v>
      </c>
      <c r="L247" s="64">
        <f t="shared" si="7"/>
        <v>28.182517482517486</v>
      </c>
      <c r="M247" s="67"/>
      <c r="N247" s="67"/>
      <c r="O247" s="67"/>
    </row>
    <row r="248" spans="1:22" ht="14.25" customHeight="1" x14ac:dyDescent="0.3">
      <c r="B248" t="s">
        <v>473</v>
      </c>
      <c r="C248">
        <v>23.8</v>
      </c>
      <c r="D248">
        <v>358.9</v>
      </c>
      <c r="E248">
        <v>3</v>
      </c>
      <c r="F248">
        <v>0</v>
      </c>
      <c r="G248">
        <v>0</v>
      </c>
      <c r="H248">
        <v>0</v>
      </c>
      <c r="I248">
        <v>0.2</v>
      </c>
      <c r="J248">
        <v>66.2</v>
      </c>
      <c r="K248" s="64">
        <f t="shared" si="6"/>
        <v>0</v>
      </c>
      <c r="L248" s="64">
        <f t="shared" si="7"/>
        <v>17.652191142191143</v>
      </c>
      <c r="M248" s="67"/>
      <c r="N248" s="67"/>
      <c r="O248" s="67"/>
    </row>
    <row r="249" spans="1:22" ht="14.25" customHeight="1" x14ac:dyDescent="0.3">
      <c r="A249" t="s">
        <v>794</v>
      </c>
      <c r="B249" t="s">
        <v>485</v>
      </c>
      <c r="C249">
        <v>35.200000000000003</v>
      </c>
      <c r="D249">
        <v>503.4</v>
      </c>
      <c r="E249">
        <v>1.9</v>
      </c>
      <c r="F249">
        <v>1.6</v>
      </c>
      <c r="G249">
        <v>8.6</v>
      </c>
      <c r="H249">
        <v>0</v>
      </c>
      <c r="I249">
        <v>0.7</v>
      </c>
      <c r="J249">
        <v>79.2</v>
      </c>
      <c r="K249" s="64">
        <f t="shared" si="6"/>
        <v>0.53297532656023217</v>
      </c>
      <c r="L249" s="64">
        <f t="shared" si="7"/>
        <v>24.759300699300702</v>
      </c>
      <c r="M249" s="66">
        <f>C251*Scoring!$B$34+D251/Scoring!$C$34+E251*Scoring!$D$34+WR!F251*Scoring!$E$34+WR!G251/Scoring!$F$34+WR!H251*Scoring!$G$34+WR!I251*Scoring!$H$34+K251*Scoring!$I$34+WR!L251*Scoring!$J$34+U249</f>
        <v>63.08</v>
      </c>
      <c r="N249" s="66">
        <f>C249*Scoring!$B$34+D249/Scoring!$C$34+E249*Scoring!$D$34+WR!F249*Scoring!$E$34+WR!G249/Scoring!$F$34+WR!H249*Scoring!$G$34+WR!I249*Scoring!$H$34+K249*Scoring!$I$34+WR!L249*Scoring!$J$34+U249</f>
        <v>78.8</v>
      </c>
      <c r="O249" s="66">
        <f>C250*Scoring!$B$34+D250/Scoring!$C$34+E250*Scoring!$D$34+WR!F250*Scoring!$E$34+WR!G250/Scoring!$F$34+WR!H250*Scoring!$G$34+WR!I250*Scoring!$H$34+K250*Scoring!$I$34+WR!L250*Scoring!$J$34+U249</f>
        <v>95.33</v>
      </c>
      <c r="P249" s="20">
        <f>IF(COUNTIF(Rookies!$A:$A,A249)&gt;0,1,0)</f>
        <v>0</v>
      </c>
      <c r="S249" s="20">
        <f>V249/17</f>
        <v>4.6352941176470583</v>
      </c>
      <c r="T249" s="20">
        <f>IF(P249=1,MAX(0,0.28*(12-S249)),0)</f>
        <v>0</v>
      </c>
      <c r="U249" s="20">
        <f>T249*17</f>
        <v>0</v>
      </c>
      <c r="V249" s="20">
        <f>C249*Scoring!$B$34+D249/Scoring!$C$34+E249*Scoring!$D$34+WR!F249*Scoring!$E$34+WR!G249/Scoring!$F$34+WR!H249*Scoring!$G$34+WR!I249*Scoring!$H$34+K249*Scoring!$I$34+WR!L249*Scoring!$J$34</f>
        <v>78.8</v>
      </c>
    </row>
    <row r="250" spans="1:22" ht="14.25" customHeight="1" x14ac:dyDescent="0.3">
      <c r="B250" t="s">
        <v>472</v>
      </c>
      <c r="C250">
        <v>42</v>
      </c>
      <c r="D250">
        <v>611</v>
      </c>
      <c r="E250">
        <v>2</v>
      </c>
      <c r="F250">
        <v>2.2000000000000002</v>
      </c>
      <c r="G250">
        <v>12.3</v>
      </c>
      <c r="H250">
        <v>0.1</v>
      </c>
      <c r="I250">
        <v>0.3</v>
      </c>
      <c r="J250">
        <v>79.599999999999994</v>
      </c>
      <c r="K250" s="64">
        <f t="shared" si="6"/>
        <v>0.76227866473149497</v>
      </c>
      <c r="L250" s="64">
        <f t="shared" si="7"/>
        <v>30.051515151515154</v>
      </c>
      <c r="M250" s="67"/>
      <c r="N250" s="67"/>
      <c r="O250" s="67"/>
    </row>
    <row r="251" spans="1:22" ht="14.25" customHeight="1" x14ac:dyDescent="0.3">
      <c r="B251" t="s">
        <v>473</v>
      </c>
      <c r="C251">
        <v>28.4</v>
      </c>
      <c r="D251">
        <v>395.8</v>
      </c>
      <c r="E251">
        <v>1.8</v>
      </c>
      <c r="F251">
        <v>1</v>
      </c>
      <c r="G251">
        <v>5</v>
      </c>
      <c r="H251">
        <v>0</v>
      </c>
      <c r="I251">
        <v>1</v>
      </c>
      <c r="J251">
        <v>69.3</v>
      </c>
      <c r="K251" s="64">
        <f t="shared" si="6"/>
        <v>0.30986937590711178</v>
      </c>
      <c r="L251" s="64">
        <f t="shared" si="7"/>
        <v>19.467086247086247</v>
      </c>
      <c r="M251" s="67"/>
      <c r="N251" s="67"/>
      <c r="O251" s="67"/>
    </row>
    <row r="252" spans="1:22" ht="14.25" customHeight="1" x14ac:dyDescent="0.3">
      <c r="A252" t="s">
        <v>795</v>
      </c>
      <c r="B252" t="s">
        <v>499</v>
      </c>
      <c r="C252">
        <v>36.5</v>
      </c>
      <c r="D252">
        <v>403.1</v>
      </c>
      <c r="E252">
        <v>3.4</v>
      </c>
      <c r="F252">
        <v>3</v>
      </c>
      <c r="G252">
        <v>10.8</v>
      </c>
      <c r="H252">
        <v>0</v>
      </c>
      <c r="I252">
        <v>0.6</v>
      </c>
      <c r="J252">
        <v>79</v>
      </c>
      <c r="K252" s="64">
        <f t="shared" si="6"/>
        <v>0.66931785195936144</v>
      </c>
      <c r="L252" s="64">
        <f t="shared" si="7"/>
        <v>19.826130536130538</v>
      </c>
      <c r="M252" s="66">
        <f>C254*Scoring!$B$34+D254/Scoring!$C$34+E254*Scoring!$D$34+WR!F254*Scoring!$E$34+WR!G254/Scoring!$F$34+WR!H254*Scoring!$G$34+WR!I254*Scoring!$H$34+K254*Scoring!$I$34+WR!L254*Scoring!$J$34+U252</f>
        <v>39.980000000000004</v>
      </c>
      <c r="N252" s="66">
        <f>C252*Scoring!$B$34+D252/Scoring!$C$34+E252*Scoring!$D$34+WR!F252*Scoring!$E$34+WR!G252/Scoring!$F$34+WR!H252*Scoring!$G$34+WR!I252*Scoring!$H$34+K252*Scoring!$I$34+WR!L252*Scoring!$J$34+U252</f>
        <v>78.84</v>
      </c>
      <c r="O252" s="66">
        <f>C253*Scoring!$B$34+D253/Scoring!$C$34+E253*Scoring!$D$34+WR!F253*Scoring!$E$34+WR!G253/Scoring!$F$34+WR!H253*Scoring!$G$34+WR!I253*Scoring!$H$34+K253*Scoring!$I$34+WR!L253*Scoring!$J$34+U252</f>
        <v>118.29999999999998</v>
      </c>
      <c r="P252" s="20">
        <f>IF(COUNTIF(Rookies!$A:$A,A252)&gt;0,1,0)</f>
        <v>0</v>
      </c>
      <c r="S252" s="20">
        <f>V252/17</f>
        <v>4.6376470588235295</v>
      </c>
      <c r="T252" s="20">
        <f>IF(P252=1,MAX(0,0.28*(12-S252)),0)</f>
        <v>0</v>
      </c>
      <c r="U252" s="20">
        <f>T252*17</f>
        <v>0</v>
      </c>
      <c r="V252" s="20">
        <f>C252*Scoring!$B$34+D252/Scoring!$C$34+E252*Scoring!$D$34+WR!F252*Scoring!$E$34+WR!G252/Scoring!$F$34+WR!H252*Scoring!$G$34+WR!I252*Scoring!$H$34+K252*Scoring!$I$34+WR!L252*Scoring!$J$34</f>
        <v>78.84</v>
      </c>
    </row>
    <row r="253" spans="1:22" ht="14.25" customHeight="1" x14ac:dyDescent="0.3">
      <c r="B253" t="s">
        <v>472</v>
      </c>
      <c r="C253">
        <v>56</v>
      </c>
      <c r="D253">
        <v>590</v>
      </c>
      <c r="E253">
        <v>5</v>
      </c>
      <c r="F253">
        <v>4</v>
      </c>
      <c r="G253">
        <v>11</v>
      </c>
      <c r="H253">
        <v>0.1</v>
      </c>
      <c r="I253">
        <v>0.2</v>
      </c>
      <c r="J253">
        <v>96.2</v>
      </c>
      <c r="K253" s="64">
        <f t="shared" si="6"/>
        <v>0.68171262699564583</v>
      </c>
      <c r="L253" s="64">
        <f t="shared" si="7"/>
        <v>29.018648018648022</v>
      </c>
      <c r="M253" s="67"/>
      <c r="N253" s="67"/>
      <c r="O253" s="67"/>
    </row>
    <row r="254" spans="1:22" ht="14.25" customHeight="1" x14ac:dyDescent="0.3">
      <c r="B254" t="s">
        <v>473</v>
      </c>
      <c r="C254">
        <v>17</v>
      </c>
      <c r="D254">
        <v>216.2</v>
      </c>
      <c r="E254">
        <v>1.8</v>
      </c>
      <c r="F254">
        <v>2.1</v>
      </c>
      <c r="G254">
        <v>10.6</v>
      </c>
      <c r="H254">
        <v>0</v>
      </c>
      <c r="I254">
        <v>1</v>
      </c>
      <c r="J254">
        <v>52</v>
      </c>
      <c r="K254" s="64">
        <f t="shared" si="6"/>
        <v>0.65692307692307694</v>
      </c>
      <c r="L254" s="64">
        <f t="shared" si="7"/>
        <v>10.633613053613054</v>
      </c>
      <c r="M254" s="67"/>
      <c r="N254" s="67"/>
      <c r="O254" s="67"/>
    </row>
    <row r="255" spans="1:22" ht="14.25" customHeight="1" x14ac:dyDescent="0.3">
      <c r="A255" t="s">
        <v>793</v>
      </c>
      <c r="B255" t="s">
        <v>517</v>
      </c>
      <c r="C255">
        <v>29.8</v>
      </c>
      <c r="D255">
        <v>400</v>
      </c>
      <c r="E255">
        <v>4.2</v>
      </c>
      <c r="F255">
        <v>0.5</v>
      </c>
      <c r="G255">
        <v>3</v>
      </c>
      <c r="H255">
        <v>0</v>
      </c>
      <c r="I255">
        <v>0.6</v>
      </c>
      <c r="J255">
        <v>78.900000000000006</v>
      </c>
      <c r="K255" s="64">
        <f t="shared" si="6"/>
        <v>0.18592162554426706</v>
      </c>
      <c r="L255" s="64">
        <f t="shared" si="7"/>
        <v>19.673659673659678</v>
      </c>
      <c r="M255" s="66">
        <f>C257*Scoring!$B$34+D257/Scoring!$C$34+E257*Scoring!$D$34+WR!F257*Scoring!$E$34+WR!G257/Scoring!$F$34+WR!H257*Scoring!$G$34+WR!I257*Scoring!$H$34+K257*Scoring!$I$34+WR!L257*Scoring!$J$34+U255</f>
        <v>52.489999999999995</v>
      </c>
      <c r="N255" s="66">
        <f>C255*Scoring!$B$34+D255/Scoring!$C$34+E255*Scoring!$D$34+WR!F255*Scoring!$E$34+WR!G255/Scoring!$F$34+WR!H255*Scoring!$G$34+WR!I255*Scoring!$H$34+K255*Scoring!$I$34+WR!L255*Scoring!$J$34+U255</f>
        <v>79.199999999999989</v>
      </c>
      <c r="O255" s="66">
        <f>C256*Scoring!$B$34+D256/Scoring!$C$34+E256*Scoring!$D$34+WR!F256*Scoring!$E$34+WR!G256/Scoring!$F$34+WR!H256*Scoring!$G$34+WR!I256*Scoring!$H$34+K256*Scoring!$I$34+WR!L256*Scoring!$J$34+U255</f>
        <v>105.29999999999998</v>
      </c>
      <c r="P255" s="20">
        <f>IF(COUNTIF(Rookies!$A:$A,A255)&gt;0,1,0)</f>
        <v>0</v>
      </c>
      <c r="S255" s="20">
        <f>V255/17</f>
        <v>4.6588235294117641</v>
      </c>
      <c r="T255" s="20">
        <f>IF(P255=1,MAX(0,0.28*(12-S255)),0)</f>
        <v>0</v>
      </c>
      <c r="U255" s="20">
        <f>T255*17</f>
        <v>0</v>
      </c>
      <c r="V255" s="20">
        <f>C255*Scoring!$B$34+D255/Scoring!$C$34+E255*Scoring!$D$34+WR!F255*Scoring!$E$34+WR!G255/Scoring!$F$34+WR!H255*Scoring!$G$34+WR!I255*Scoring!$H$34+K255*Scoring!$I$34+WR!L255*Scoring!$J$34</f>
        <v>79.199999999999989</v>
      </c>
    </row>
    <row r="256" spans="1:22" ht="14.25" customHeight="1" x14ac:dyDescent="0.3">
      <c r="B256" t="s">
        <v>472</v>
      </c>
      <c r="C256">
        <v>38</v>
      </c>
      <c r="D256">
        <v>501</v>
      </c>
      <c r="E256">
        <v>6</v>
      </c>
      <c r="F256">
        <v>1</v>
      </c>
      <c r="G256">
        <v>6</v>
      </c>
      <c r="H256">
        <v>0</v>
      </c>
      <c r="I256">
        <v>0.2</v>
      </c>
      <c r="J256">
        <v>89.9</v>
      </c>
      <c r="K256" s="64">
        <f t="shared" si="6"/>
        <v>0.37184325108853411</v>
      </c>
      <c r="L256" s="64">
        <f t="shared" si="7"/>
        <v>24.641258741258742</v>
      </c>
      <c r="M256" s="67"/>
      <c r="N256" s="67"/>
      <c r="O256" s="67"/>
    </row>
    <row r="257" spans="1:22" ht="14.25" customHeight="1" x14ac:dyDescent="0.3">
      <c r="B257" t="s">
        <v>473</v>
      </c>
      <c r="C257">
        <v>21.6</v>
      </c>
      <c r="D257">
        <v>298.89999999999998</v>
      </c>
      <c r="E257">
        <v>2.2999999999999998</v>
      </c>
      <c r="F257">
        <v>0</v>
      </c>
      <c r="G257">
        <v>0</v>
      </c>
      <c r="H257">
        <v>0</v>
      </c>
      <c r="I257">
        <v>1</v>
      </c>
      <c r="J257">
        <v>58.8</v>
      </c>
      <c r="K257" s="64">
        <f t="shared" si="6"/>
        <v>0</v>
      </c>
      <c r="L257" s="64">
        <f t="shared" si="7"/>
        <v>14.701142191142187</v>
      </c>
      <c r="M257" s="67"/>
      <c r="N257" s="67"/>
      <c r="O257" s="67"/>
    </row>
    <row r="258" spans="1:22" ht="14.25" customHeight="1" x14ac:dyDescent="0.3">
      <c r="A258" t="s">
        <v>798</v>
      </c>
      <c r="B258" t="s">
        <v>521</v>
      </c>
      <c r="C258">
        <v>35.700000000000003</v>
      </c>
      <c r="D258">
        <v>416.9</v>
      </c>
      <c r="E258">
        <v>2.6</v>
      </c>
      <c r="F258">
        <v>2.1</v>
      </c>
      <c r="G258">
        <v>10.9</v>
      </c>
      <c r="H258">
        <v>0.1</v>
      </c>
      <c r="I258">
        <v>0.4</v>
      </c>
      <c r="J258">
        <v>75.8</v>
      </c>
      <c r="K258" s="64">
        <f t="shared" si="6"/>
        <v>0.67551523947750358</v>
      </c>
      <c r="L258" s="64">
        <f t="shared" si="7"/>
        <v>20.504871794871796</v>
      </c>
      <c r="M258" s="66">
        <f>C260*Scoring!$B$34+D260/Scoring!$C$34+E260*Scoring!$D$34+WR!F260*Scoring!$E$34+WR!G260/Scoring!$F$34+WR!H260*Scoring!$G$34+WR!I260*Scoring!$H$34+K260*Scoring!$I$34+WR!L260*Scoring!$J$34+U258</f>
        <v>76.03</v>
      </c>
      <c r="N258" s="66">
        <f>C258*Scoring!$B$34+D258/Scoring!$C$34+E258*Scoring!$D$34+WR!F258*Scoring!$E$34+WR!G258/Scoring!$F$34+WR!H258*Scoring!$G$34+WR!I258*Scoring!$H$34+K258*Scoring!$I$34+WR!L258*Scoring!$J$34+U258</f>
        <v>76.03</v>
      </c>
      <c r="O258" s="66">
        <f>C259*Scoring!$B$34+D259/Scoring!$C$34+E259*Scoring!$D$34+WR!F259*Scoring!$E$34+WR!G259/Scoring!$F$34+WR!H259*Scoring!$G$34+WR!I259*Scoring!$H$34+K259*Scoring!$I$34+WR!L259*Scoring!$J$34+U258</f>
        <v>76.03</v>
      </c>
      <c r="P258" s="20">
        <f>IF(COUNTIF(Rookies!$A:$A,A258)&gt;0,1,0)</f>
        <v>0</v>
      </c>
      <c r="S258" s="20">
        <f>V258/17</f>
        <v>4.4723529411764709</v>
      </c>
      <c r="T258" s="20">
        <f>IF(P258=1,MAX(0,0.28*(12-S258)),0)</f>
        <v>0</v>
      </c>
      <c r="U258" s="20">
        <f>T258*17</f>
        <v>0</v>
      </c>
      <c r="V258" s="20">
        <f>C258*Scoring!$B$34+D258/Scoring!$C$34+E258*Scoring!$D$34+WR!F258*Scoring!$E$34+WR!G258/Scoring!$F$34+WR!H258*Scoring!$G$34+WR!I258*Scoring!$H$34+K258*Scoring!$I$34+WR!L258*Scoring!$J$34</f>
        <v>76.03</v>
      </c>
    </row>
    <row r="259" spans="1:22" ht="14.25" customHeight="1" x14ac:dyDescent="0.3">
      <c r="B259" t="s">
        <v>472</v>
      </c>
      <c r="C259">
        <v>35.700000000000003</v>
      </c>
      <c r="D259">
        <v>416.9</v>
      </c>
      <c r="E259">
        <v>2.6</v>
      </c>
      <c r="F259">
        <v>2.1</v>
      </c>
      <c r="G259">
        <v>10.9</v>
      </c>
      <c r="H259">
        <v>0.1</v>
      </c>
      <c r="I259">
        <v>0.4</v>
      </c>
      <c r="J259">
        <v>76.2</v>
      </c>
      <c r="K259" s="64">
        <f t="shared" ref="K259:K322" si="8">IFERROR(G259/F259/6.89*0.427*F259,0)</f>
        <v>0.67551523947750358</v>
      </c>
      <c r="L259" s="64">
        <f t="shared" ref="L259:L322" si="9">IFERROR(D259/C259/12.87*0.633*C259,0)</f>
        <v>20.504871794871796</v>
      </c>
      <c r="M259" s="67"/>
      <c r="N259" s="67"/>
      <c r="O259" s="67"/>
    </row>
    <row r="260" spans="1:22" ht="14.25" customHeight="1" x14ac:dyDescent="0.3">
      <c r="B260" t="s">
        <v>473</v>
      </c>
      <c r="C260">
        <v>35.700000000000003</v>
      </c>
      <c r="D260">
        <v>416.9</v>
      </c>
      <c r="E260">
        <v>2.6</v>
      </c>
      <c r="F260">
        <v>2.1</v>
      </c>
      <c r="G260">
        <v>10.9</v>
      </c>
      <c r="H260">
        <v>0.1</v>
      </c>
      <c r="I260">
        <v>0.4</v>
      </c>
      <c r="J260">
        <v>76.2</v>
      </c>
      <c r="K260" s="64">
        <f t="shared" si="8"/>
        <v>0.67551523947750358</v>
      </c>
      <c r="L260" s="64">
        <f t="shared" si="9"/>
        <v>20.504871794871796</v>
      </c>
      <c r="M260" s="67"/>
      <c r="N260" s="67"/>
      <c r="O260" s="67"/>
    </row>
    <row r="261" spans="1:22" ht="14.25" customHeight="1" x14ac:dyDescent="0.3">
      <c r="A261" t="s">
        <v>799</v>
      </c>
      <c r="B261" t="s">
        <v>533</v>
      </c>
      <c r="C261">
        <v>35.200000000000003</v>
      </c>
      <c r="D261">
        <v>443.3</v>
      </c>
      <c r="E261">
        <v>2.2999999999999998</v>
      </c>
      <c r="F261">
        <v>0</v>
      </c>
      <c r="G261">
        <v>0</v>
      </c>
      <c r="H261">
        <v>0</v>
      </c>
      <c r="I261">
        <v>0.3</v>
      </c>
      <c r="J261">
        <v>74.900000000000006</v>
      </c>
      <c r="K261" s="64">
        <f t="shared" si="8"/>
        <v>0</v>
      </c>
      <c r="L261" s="64">
        <f t="shared" si="9"/>
        <v>21.803333333333338</v>
      </c>
      <c r="M261" s="66">
        <f>C263*Scoring!$B$34+D263/Scoring!$C$34+E263*Scoring!$D$34+WR!F263*Scoring!$E$34+WR!G263/Scoring!$F$34+WR!H263*Scoring!$G$34+WR!I263*Scoring!$H$34+K263*Scoring!$I$34+WR!L263*Scoring!$J$34+U261</f>
        <v>75.13000000000001</v>
      </c>
      <c r="N261" s="66">
        <f>C261*Scoring!$B$34+D261/Scoring!$C$34+E261*Scoring!$D$34+WR!F261*Scoring!$E$34+WR!G261/Scoring!$F$34+WR!H261*Scoring!$G$34+WR!I261*Scoring!$H$34+K261*Scoring!$I$34+WR!L261*Scoring!$J$34+U261</f>
        <v>75.13000000000001</v>
      </c>
      <c r="O261" s="66">
        <f>C262*Scoring!$B$34+D262/Scoring!$C$34+E262*Scoring!$D$34+WR!F262*Scoring!$E$34+WR!G262/Scoring!$F$34+WR!H262*Scoring!$G$34+WR!I262*Scoring!$H$34+K262*Scoring!$I$34+WR!L262*Scoring!$J$34+U261</f>
        <v>75.13000000000001</v>
      </c>
      <c r="P261" s="20">
        <f>IF(COUNTIF(Rookies!$A:$A,A261)&gt;0,1,0)</f>
        <v>0</v>
      </c>
      <c r="S261" s="20">
        <f>V261/17</f>
        <v>4.4194117647058828</v>
      </c>
      <c r="T261" s="20">
        <f>IF(P261=1,MAX(0,0.28*(12-S261)),0)</f>
        <v>0</v>
      </c>
      <c r="U261" s="20">
        <f>T261*17</f>
        <v>0</v>
      </c>
      <c r="V261" s="20">
        <f>C261*Scoring!$B$34+D261/Scoring!$C$34+E261*Scoring!$D$34+WR!F261*Scoring!$E$34+WR!G261/Scoring!$F$34+WR!H261*Scoring!$G$34+WR!I261*Scoring!$H$34+K261*Scoring!$I$34+WR!L261*Scoring!$J$34</f>
        <v>75.13000000000001</v>
      </c>
    </row>
    <row r="262" spans="1:22" ht="14.25" customHeight="1" x14ac:dyDescent="0.3">
      <c r="B262" t="s">
        <v>472</v>
      </c>
      <c r="C262">
        <v>35.200000000000003</v>
      </c>
      <c r="D262">
        <v>443.3</v>
      </c>
      <c r="E262">
        <v>2.2999999999999998</v>
      </c>
      <c r="F262">
        <v>0</v>
      </c>
      <c r="G262">
        <v>0</v>
      </c>
      <c r="H262">
        <v>0</v>
      </c>
      <c r="I262">
        <v>0.3</v>
      </c>
      <c r="J262">
        <v>75.2</v>
      </c>
      <c r="K262" s="64">
        <f t="shared" si="8"/>
        <v>0</v>
      </c>
      <c r="L262" s="64">
        <f t="shared" si="9"/>
        <v>21.803333333333338</v>
      </c>
      <c r="M262" s="67"/>
      <c r="N262" s="67"/>
      <c r="O262" s="67"/>
    </row>
    <row r="263" spans="1:22" ht="14.25" customHeight="1" x14ac:dyDescent="0.3">
      <c r="B263" t="s">
        <v>473</v>
      </c>
      <c r="C263">
        <v>35.200000000000003</v>
      </c>
      <c r="D263">
        <v>443.3</v>
      </c>
      <c r="E263">
        <v>2.2999999999999998</v>
      </c>
      <c r="F263">
        <v>0</v>
      </c>
      <c r="G263">
        <v>0</v>
      </c>
      <c r="H263">
        <v>0</v>
      </c>
      <c r="I263">
        <v>0.3</v>
      </c>
      <c r="J263">
        <v>75.2</v>
      </c>
      <c r="K263" s="64">
        <f t="shared" si="8"/>
        <v>0</v>
      </c>
      <c r="L263" s="64">
        <f t="shared" si="9"/>
        <v>21.803333333333338</v>
      </c>
      <c r="M263" s="67"/>
      <c r="N263" s="67"/>
      <c r="O263" s="67"/>
    </row>
    <row r="264" spans="1:22" ht="14.25" customHeight="1" x14ac:dyDescent="0.3">
      <c r="A264" t="s">
        <v>839</v>
      </c>
      <c r="B264" t="s">
        <v>505</v>
      </c>
      <c r="C264">
        <v>34.700000000000003</v>
      </c>
      <c r="D264">
        <v>460.8</v>
      </c>
      <c r="E264">
        <v>2</v>
      </c>
      <c r="F264">
        <v>1</v>
      </c>
      <c r="G264">
        <v>5</v>
      </c>
      <c r="H264">
        <v>0</v>
      </c>
      <c r="I264">
        <v>1.1000000000000001</v>
      </c>
      <c r="J264">
        <v>73.599999999999994</v>
      </c>
      <c r="K264" s="64">
        <f t="shared" si="8"/>
        <v>0.30986937590711178</v>
      </c>
      <c r="L264" s="64">
        <f t="shared" si="9"/>
        <v>22.664055944055946</v>
      </c>
      <c r="M264" s="66">
        <f>C266*Scoring!$B$34+D266/Scoring!$C$34+E266*Scoring!$D$34+WR!F266*Scoring!$E$34+WR!G266/Scoring!$F$34+WR!H266*Scoring!$G$34+WR!I266*Scoring!$H$34+K266*Scoring!$I$34+WR!L266*Scoring!$J$34+U264</f>
        <v>67.735600000000005</v>
      </c>
      <c r="N264" s="66">
        <f>C264*Scoring!$B$34+D264/Scoring!$C$34+E264*Scoring!$D$34+WR!F264*Scoring!$E$34+WR!G264/Scoring!$F$34+WR!H264*Scoring!$G$34+WR!I264*Scoring!$H$34+K264*Scoring!$I$34+WR!L264*Scoring!$J$34+U264</f>
        <v>110.2056</v>
      </c>
      <c r="O264" s="66">
        <f>C265*Scoring!$B$34+D265/Scoring!$C$34+E265*Scoring!$D$34+WR!F265*Scoring!$E$34+WR!G265/Scoring!$F$34+WR!H265*Scoring!$G$34+WR!I265*Scoring!$H$34+K265*Scoring!$I$34+WR!L265*Scoring!$J$34+U264</f>
        <v>152.6756</v>
      </c>
      <c r="P264" s="20">
        <f>IF(COUNTIF(Rookies!$A:$A,A264)&gt;0,1,0)</f>
        <v>1</v>
      </c>
      <c r="S264" s="20">
        <f>V264/17</f>
        <v>4.3370588235294116</v>
      </c>
      <c r="T264" s="20">
        <f>IF(P264=1,MAX(0,0.28*(12-S264)),0)</f>
        <v>2.1456235294117652</v>
      </c>
      <c r="U264" s="20">
        <f>T264*17</f>
        <v>36.475600000000007</v>
      </c>
      <c r="V264" s="20">
        <f>C264*Scoring!$B$34+D264/Scoring!$C$34+E264*Scoring!$D$34+WR!F264*Scoring!$E$34+WR!G264/Scoring!$F$34+WR!H264*Scoring!$G$34+WR!I264*Scoring!$H$34+K264*Scoring!$I$34+WR!L264*Scoring!$J$34</f>
        <v>73.73</v>
      </c>
    </row>
    <row r="265" spans="1:22" ht="14.25" customHeight="1" x14ac:dyDescent="0.3">
      <c r="B265" t="s">
        <v>472</v>
      </c>
      <c r="C265">
        <v>53</v>
      </c>
      <c r="D265">
        <v>711</v>
      </c>
      <c r="E265">
        <v>3</v>
      </c>
      <c r="F265">
        <v>2</v>
      </c>
      <c r="G265">
        <v>10</v>
      </c>
      <c r="H265">
        <v>0</v>
      </c>
      <c r="I265">
        <v>0.2</v>
      </c>
      <c r="J265">
        <v>94.4</v>
      </c>
      <c r="K265" s="64">
        <f t="shared" si="8"/>
        <v>0.61973875181422355</v>
      </c>
      <c r="L265" s="64">
        <f t="shared" si="9"/>
        <v>34.969930069930072</v>
      </c>
      <c r="M265" s="67"/>
      <c r="N265" s="67"/>
      <c r="O265" s="67"/>
    </row>
    <row r="266" spans="1:22" ht="14.25" customHeight="1" x14ac:dyDescent="0.3">
      <c r="B266" t="s">
        <v>473</v>
      </c>
      <c r="C266">
        <v>16.399999999999999</v>
      </c>
      <c r="D266">
        <v>210.6</v>
      </c>
      <c r="E266">
        <v>1</v>
      </c>
      <c r="F266">
        <v>0</v>
      </c>
      <c r="G266">
        <v>0</v>
      </c>
      <c r="H266">
        <v>0</v>
      </c>
      <c r="I266">
        <v>2</v>
      </c>
      <c r="J266">
        <v>43.9</v>
      </c>
      <c r="K266" s="64">
        <f t="shared" si="8"/>
        <v>0</v>
      </c>
      <c r="L266" s="64">
        <f t="shared" si="9"/>
        <v>10.358181818181819</v>
      </c>
      <c r="M266" s="67"/>
      <c r="N266" s="67"/>
      <c r="O266" s="67"/>
    </row>
    <row r="267" spans="1:22" ht="14.25" customHeight="1" x14ac:dyDescent="0.3">
      <c r="A267" t="s">
        <v>803</v>
      </c>
      <c r="B267" t="s">
        <v>497</v>
      </c>
      <c r="C267">
        <v>34.5</v>
      </c>
      <c r="D267">
        <v>410.5</v>
      </c>
      <c r="E267">
        <v>2.5</v>
      </c>
      <c r="F267">
        <v>0</v>
      </c>
      <c r="G267">
        <v>0</v>
      </c>
      <c r="H267">
        <v>0</v>
      </c>
      <c r="I267">
        <v>0.4</v>
      </c>
      <c r="J267">
        <v>72.5</v>
      </c>
      <c r="K267" s="64">
        <f t="shared" si="8"/>
        <v>0</v>
      </c>
      <c r="L267" s="64">
        <f t="shared" si="9"/>
        <v>20.19009324009324</v>
      </c>
      <c r="M267" s="66">
        <f>C269*Scoring!$B$34+D269/Scoring!$C$34+E269*Scoring!$D$34+WR!F269*Scoring!$E$34+WR!G269/Scoring!$F$34+WR!H269*Scoring!$G$34+WR!I269*Scoring!$H$34+K269*Scoring!$I$34+WR!L269*Scoring!$J$34+U267</f>
        <v>72.5</v>
      </c>
      <c r="N267" s="66">
        <f>C267*Scoring!$B$34+D267/Scoring!$C$34+E267*Scoring!$D$34+WR!F267*Scoring!$E$34+WR!G267/Scoring!$F$34+WR!H267*Scoring!$G$34+WR!I267*Scoring!$H$34+K267*Scoring!$I$34+WR!L267*Scoring!$J$34+U267</f>
        <v>72.5</v>
      </c>
      <c r="O267" s="66">
        <f>C268*Scoring!$B$34+D268/Scoring!$C$34+E268*Scoring!$D$34+WR!F268*Scoring!$E$34+WR!G268/Scoring!$F$34+WR!H268*Scoring!$G$34+WR!I268*Scoring!$H$34+K268*Scoring!$I$34+WR!L268*Scoring!$J$34+U267</f>
        <v>72.5</v>
      </c>
      <c r="P267" s="20">
        <f>IF(COUNTIF(Rookies!$A:$A,A267)&gt;0,1,0)</f>
        <v>0</v>
      </c>
      <c r="S267" s="20">
        <f>V267/17</f>
        <v>4.2647058823529411</v>
      </c>
      <c r="T267" s="20">
        <f>IF(P267=1,MAX(0,0.28*(12-S267)),0)</f>
        <v>0</v>
      </c>
      <c r="U267" s="20">
        <f>T267*17</f>
        <v>0</v>
      </c>
      <c r="V267" s="20">
        <f>C267*Scoring!$B$34+D267/Scoring!$C$34+E267*Scoring!$D$34+WR!F267*Scoring!$E$34+WR!G267/Scoring!$F$34+WR!H267*Scoring!$G$34+WR!I267*Scoring!$H$34+K267*Scoring!$I$34+WR!L267*Scoring!$J$34</f>
        <v>72.5</v>
      </c>
    </row>
    <row r="268" spans="1:22" ht="14.25" customHeight="1" x14ac:dyDescent="0.3">
      <c r="B268" t="s">
        <v>472</v>
      </c>
      <c r="C268">
        <v>34.5</v>
      </c>
      <c r="D268">
        <v>410.5</v>
      </c>
      <c r="E268">
        <v>2.5</v>
      </c>
      <c r="F268">
        <v>0</v>
      </c>
      <c r="G268">
        <v>0</v>
      </c>
      <c r="H268">
        <v>0</v>
      </c>
      <c r="I268">
        <v>0.4</v>
      </c>
      <c r="J268">
        <v>72.599999999999994</v>
      </c>
      <c r="K268" s="64">
        <f t="shared" si="8"/>
        <v>0</v>
      </c>
      <c r="L268" s="64">
        <f t="shared" si="9"/>
        <v>20.19009324009324</v>
      </c>
      <c r="M268" s="67"/>
      <c r="N268" s="67"/>
      <c r="O268" s="67"/>
    </row>
    <row r="269" spans="1:22" ht="14.25" customHeight="1" x14ac:dyDescent="0.3">
      <c r="B269" t="s">
        <v>473</v>
      </c>
      <c r="C269">
        <v>34.5</v>
      </c>
      <c r="D269">
        <v>410.5</v>
      </c>
      <c r="E269">
        <v>2.5</v>
      </c>
      <c r="F269">
        <v>0</v>
      </c>
      <c r="G269">
        <v>0</v>
      </c>
      <c r="H269">
        <v>0</v>
      </c>
      <c r="I269">
        <v>0.4</v>
      </c>
      <c r="J269">
        <v>72.599999999999994</v>
      </c>
      <c r="K269" s="64">
        <f t="shared" si="8"/>
        <v>0</v>
      </c>
      <c r="L269" s="64">
        <f t="shared" si="9"/>
        <v>20.19009324009324</v>
      </c>
      <c r="M269" s="67"/>
      <c r="N269" s="67"/>
      <c r="O269" s="67"/>
    </row>
    <row r="270" spans="1:22" ht="14.25" customHeight="1" x14ac:dyDescent="0.3">
      <c r="A270" t="s">
        <v>804</v>
      </c>
      <c r="B270" t="s">
        <v>503</v>
      </c>
      <c r="C270">
        <v>25.4</v>
      </c>
      <c r="D270">
        <v>352.4</v>
      </c>
      <c r="E270">
        <v>4.0999999999999996</v>
      </c>
      <c r="F270">
        <v>0</v>
      </c>
      <c r="G270">
        <v>0</v>
      </c>
      <c r="H270">
        <v>0</v>
      </c>
      <c r="I270">
        <v>0.1</v>
      </c>
      <c r="J270">
        <v>72.400000000000006</v>
      </c>
      <c r="K270" s="64">
        <f t="shared" si="8"/>
        <v>0</v>
      </c>
      <c r="L270" s="64">
        <f t="shared" si="9"/>
        <v>17.332494172494176</v>
      </c>
      <c r="M270" s="66">
        <f>C272*Scoring!$B$34+D272/Scoring!$C$34+E272*Scoring!$D$34+WR!F272*Scoring!$E$34+WR!G272/Scoring!$F$34+WR!H272*Scoring!$G$34+WR!I272*Scoring!$H$34+K272*Scoring!$I$34+WR!L272*Scoring!$J$34+U270</f>
        <v>60.79</v>
      </c>
      <c r="N270" s="66">
        <f>C270*Scoring!$B$34+D270/Scoring!$C$34+E270*Scoring!$D$34+WR!F270*Scoring!$E$34+WR!G270/Scoring!$F$34+WR!H270*Scoring!$G$34+WR!I270*Scoring!$H$34+K270*Scoring!$I$34+WR!L270*Scoring!$J$34+U270</f>
        <v>72.339999999999989</v>
      </c>
      <c r="O270" s="66">
        <f>C271*Scoring!$B$34+D271/Scoring!$C$34+E271*Scoring!$D$34+WR!F271*Scoring!$E$34+WR!G271/Scoring!$F$34+WR!H271*Scoring!$G$34+WR!I271*Scoring!$H$34+K271*Scoring!$I$34+WR!L271*Scoring!$J$34+U270</f>
        <v>83.9</v>
      </c>
      <c r="P270" s="20">
        <f>IF(COUNTIF(Rookies!$A:$A,A270)&gt;0,1,0)</f>
        <v>0</v>
      </c>
      <c r="S270" s="20">
        <f>V270/17</f>
        <v>4.2552941176470584</v>
      </c>
      <c r="T270" s="20">
        <f>IF(P270=1,MAX(0,0.28*(12-S270)),0)</f>
        <v>0</v>
      </c>
      <c r="U270" s="20">
        <f>T270*17</f>
        <v>0</v>
      </c>
      <c r="V270" s="20">
        <f>C270*Scoring!$B$34+D270/Scoring!$C$34+E270*Scoring!$D$34+WR!F270*Scoring!$E$34+WR!G270/Scoring!$F$34+WR!H270*Scoring!$G$34+WR!I270*Scoring!$H$34+K270*Scoring!$I$34+WR!L270*Scoring!$J$34</f>
        <v>72.339999999999989</v>
      </c>
    </row>
    <row r="271" spans="1:22" ht="14.25" customHeight="1" x14ac:dyDescent="0.3">
      <c r="B271" t="s">
        <v>472</v>
      </c>
      <c r="C271">
        <v>27</v>
      </c>
      <c r="D271">
        <v>404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74.7</v>
      </c>
      <c r="K271" s="64">
        <f t="shared" si="8"/>
        <v>0</v>
      </c>
      <c r="L271" s="64">
        <f t="shared" si="9"/>
        <v>19.870396270396274</v>
      </c>
      <c r="M271" s="67"/>
      <c r="N271" s="67"/>
      <c r="O271" s="67"/>
    </row>
    <row r="272" spans="1:22" ht="14.25" customHeight="1" x14ac:dyDescent="0.3">
      <c r="B272" t="s">
        <v>473</v>
      </c>
      <c r="C272">
        <v>23.8</v>
      </c>
      <c r="D272">
        <v>300.89999999999998</v>
      </c>
      <c r="E272">
        <v>3.2</v>
      </c>
      <c r="F272">
        <v>0</v>
      </c>
      <c r="G272">
        <v>0</v>
      </c>
      <c r="H272">
        <v>0</v>
      </c>
      <c r="I272">
        <v>0.2</v>
      </c>
      <c r="J272">
        <v>61.8</v>
      </c>
      <c r="K272" s="64">
        <f t="shared" si="8"/>
        <v>0</v>
      </c>
      <c r="L272" s="64">
        <f t="shared" si="9"/>
        <v>14.799510489510491</v>
      </c>
      <c r="M272" s="67"/>
      <c r="N272" s="67"/>
      <c r="O272" s="67"/>
    </row>
    <row r="273" spans="1:22" ht="14.25" customHeight="1" x14ac:dyDescent="0.3">
      <c r="A273" t="s">
        <v>805</v>
      </c>
      <c r="B273" t="s">
        <v>491</v>
      </c>
      <c r="C273">
        <v>33.799999999999997</v>
      </c>
      <c r="D273">
        <v>383.1</v>
      </c>
      <c r="E273">
        <v>2.7</v>
      </c>
      <c r="F273">
        <v>2.2000000000000002</v>
      </c>
      <c r="G273">
        <v>12.4</v>
      </c>
      <c r="H273">
        <v>0.1</v>
      </c>
      <c r="I273">
        <v>0.4</v>
      </c>
      <c r="J273">
        <v>72.2</v>
      </c>
      <c r="K273" s="64">
        <f t="shared" si="8"/>
        <v>0.76847605224963722</v>
      </c>
      <c r="L273" s="64">
        <f t="shared" si="9"/>
        <v>18.84244755244756</v>
      </c>
      <c r="M273" s="66">
        <f>C275*Scoring!$B$34+D275/Scoring!$C$34+E275*Scoring!$D$34+WR!F275*Scoring!$E$34+WR!G275/Scoring!$F$34+WR!H275*Scoring!$G$34+WR!I275*Scoring!$H$34+K275*Scoring!$I$34+WR!L275*Scoring!$J$34+U273</f>
        <v>72.449999999999989</v>
      </c>
      <c r="N273" s="66">
        <f>C273*Scoring!$B$34+D273/Scoring!$C$34+E273*Scoring!$D$34+WR!F273*Scoring!$E$34+WR!G273/Scoring!$F$34+WR!H273*Scoring!$G$34+WR!I273*Scoring!$H$34+K273*Scoring!$I$34+WR!L273*Scoring!$J$34+U273</f>
        <v>72.449999999999989</v>
      </c>
      <c r="O273" s="66">
        <f>C274*Scoring!$B$34+D274/Scoring!$C$34+E274*Scoring!$D$34+WR!F274*Scoring!$E$34+WR!G274/Scoring!$F$34+WR!H274*Scoring!$G$34+WR!I274*Scoring!$H$34+K274*Scoring!$I$34+WR!L274*Scoring!$J$34+U273</f>
        <v>72.449999999999989</v>
      </c>
      <c r="P273" s="20">
        <f>IF(COUNTIF(Rookies!$A:$A,A273)&gt;0,1,0)</f>
        <v>0</v>
      </c>
      <c r="S273" s="20">
        <f>V273/17</f>
        <v>4.261764705882352</v>
      </c>
      <c r="T273" s="20">
        <f>IF(P273=1,MAX(0,0.28*(12-S273)),0)</f>
        <v>0</v>
      </c>
      <c r="U273" s="20">
        <f>T273*17</f>
        <v>0</v>
      </c>
      <c r="V273" s="20">
        <f>C273*Scoring!$B$34+D273/Scoring!$C$34+E273*Scoring!$D$34+WR!F273*Scoring!$E$34+WR!G273/Scoring!$F$34+WR!H273*Scoring!$G$34+WR!I273*Scoring!$H$34+K273*Scoring!$I$34+WR!L273*Scoring!$J$34</f>
        <v>72.449999999999989</v>
      </c>
    </row>
    <row r="274" spans="1:22" ht="14.25" customHeight="1" x14ac:dyDescent="0.3">
      <c r="B274" t="s">
        <v>472</v>
      </c>
      <c r="C274">
        <v>33.799999999999997</v>
      </c>
      <c r="D274">
        <v>383.1</v>
      </c>
      <c r="E274">
        <v>2.7</v>
      </c>
      <c r="F274">
        <v>2.2000000000000002</v>
      </c>
      <c r="G274">
        <v>12.4</v>
      </c>
      <c r="H274">
        <v>0.1</v>
      </c>
      <c r="I274">
        <v>0.4</v>
      </c>
      <c r="J274">
        <v>72.400000000000006</v>
      </c>
      <c r="K274" s="64">
        <f t="shared" si="8"/>
        <v>0.76847605224963722</v>
      </c>
      <c r="L274" s="64">
        <f t="shared" si="9"/>
        <v>18.84244755244756</v>
      </c>
      <c r="M274" s="67"/>
      <c r="N274" s="67"/>
      <c r="O274" s="67"/>
    </row>
    <row r="275" spans="1:22" ht="14.25" customHeight="1" x14ac:dyDescent="0.3">
      <c r="B275" t="s">
        <v>473</v>
      </c>
      <c r="C275">
        <v>33.799999999999997</v>
      </c>
      <c r="D275">
        <v>383.1</v>
      </c>
      <c r="E275">
        <v>2.7</v>
      </c>
      <c r="F275">
        <v>2.2000000000000002</v>
      </c>
      <c r="G275">
        <v>12.4</v>
      </c>
      <c r="H275">
        <v>0.1</v>
      </c>
      <c r="I275">
        <v>0.4</v>
      </c>
      <c r="J275">
        <v>72.400000000000006</v>
      </c>
      <c r="K275" s="64">
        <f t="shared" si="8"/>
        <v>0.76847605224963722</v>
      </c>
      <c r="L275" s="64">
        <f t="shared" si="9"/>
        <v>18.84244755244756</v>
      </c>
      <c r="M275" s="67"/>
      <c r="N275" s="67"/>
      <c r="O275" s="67"/>
    </row>
    <row r="276" spans="1:22" ht="14.25" customHeight="1" x14ac:dyDescent="0.3">
      <c r="A276" t="s">
        <v>806</v>
      </c>
      <c r="B276" t="s">
        <v>513</v>
      </c>
      <c r="C276">
        <v>35.299999999999997</v>
      </c>
      <c r="D276">
        <v>442.1</v>
      </c>
      <c r="E276">
        <v>1.7</v>
      </c>
      <c r="F276">
        <v>0</v>
      </c>
      <c r="G276">
        <v>0</v>
      </c>
      <c r="H276">
        <v>0</v>
      </c>
      <c r="I276">
        <v>0.3</v>
      </c>
      <c r="J276">
        <v>71.599999999999994</v>
      </c>
      <c r="K276" s="64">
        <f t="shared" si="8"/>
        <v>0</v>
      </c>
      <c r="L276" s="64">
        <f t="shared" si="9"/>
        <v>21.744312354312356</v>
      </c>
      <c r="M276" s="66">
        <f>C278*Scoring!$B$34+D278/Scoring!$C$34+E278*Scoring!$D$34+WR!F278*Scoring!$E$34+WR!G278/Scoring!$F$34+WR!H278*Scoring!$G$34+WR!I278*Scoring!$H$34+K278*Scoring!$I$34+WR!L278*Scoring!$J$34+U276</f>
        <v>71.460000000000008</v>
      </c>
      <c r="N276" s="66">
        <f>C276*Scoring!$B$34+D276/Scoring!$C$34+E276*Scoring!$D$34+WR!F276*Scoring!$E$34+WR!G276/Scoring!$F$34+WR!H276*Scoring!$G$34+WR!I276*Scoring!$H$34+K276*Scoring!$I$34+WR!L276*Scoring!$J$34+U276</f>
        <v>71.460000000000008</v>
      </c>
      <c r="O276" s="66">
        <f>C277*Scoring!$B$34+D277/Scoring!$C$34+E277*Scoring!$D$34+WR!F277*Scoring!$E$34+WR!G277/Scoring!$F$34+WR!H277*Scoring!$G$34+WR!I277*Scoring!$H$34+K277*Scoring!$I$34+WR!L277*Scoring!$J$34+U276</f>
        <v>71.460000000000008</v>
      </c>
      <c r="P276" s="20">
        <f>IF(COUNTIF(Rookies!$A:$A,A276)&gt;0,1,0)</f>
        <v>0</v>
      </c>
      <c r="S276" s="20">
        <f>V276/17</f>
        <v>4.2035294117647064</v>
      </c>
      <c r="T276" s="20">
        <f>IF(P276=1,MAX(0,0.28*(12-S276)),0)</f>
        <v>0</v>
      </c>
      <c r="U276" s="20">
        <f>T276*17</f>
        <v>0</v>
      </c>
      <c r="V276" s="20">
        <f>C276*Scoring!$B$34+D276/Scoring!$C$34+E276*Scoring!$D$34+WR!F276*Scoring!$E$34+WR!G276/Scoring!$F$34+WR!H276*Scoring!$G$34+WR!I276*Scoring!$H$34+K276*Scoring!$I$34+WR!L276*Scoring!$J$34</f>
        <v>71.460000000000008</v>
      </c>
    </row>
    <row r="277" spans="1:22" ht="14.25" customHeight="1" x14ac:dyDescent="0.3">
      <c r="B277" t="s">
        <v>472</v>
      </c>
      <c r="C277">
        <v>35.299999999999997</v>
      </c>
      <c r="D277">
        <v>442.1</v>
      </c>
      <c r="E277">
        <v>1.7</v>
      </c>
      <c r="F277">
        <v>0</v>
      </c>
      <c r="G277">
        <v>0</v>
      </c>
      <c r="H277">
        <v>0</v>
      </c>
      <c r="I277">
        <v>0.3</v>
      </c>
      <c r="J277">
        <v>71.8</v>
      </c>
      <c r="K277" s="64">
        <f t="shared" si="8"/>
        <v>0</v>
      </c>
      <c r="L277" s="64">
        <f t="shared" si="9"/>
        <v>21.744312354312356</v>
      </c>
      <c r="M277" s="67"/>
      <c r="N277" s="67"/>
      <c r="O277" s="67"/>
    </row>
    <row r="278" spans="1:22" ht="14.25" customHeight="1" x14ac:dyDescent="0.3">
      <c r="B278" t="s">
        <v>473</v>
      </c>
      <c r="C278">
        <v>35.299999999999997</v>
      </c>
      <c r="D278">
        <v>442.1</v>
      </c>
      <c r="E278">
        <v>1.7</v>
      </c>
      <c r="F278">
        <v>0</v>
      </c>
      <c r="G278">
        <v>0</v>
      </c>
      <c r="H278">
        <v>0</v>
      </c>
      <c r="I278">
        <v>0.3</v>
      </c>
      <c r="J278">
        <v>71.8</v>
      </c>
      <c r="K278" s="64">
        <f t="shared" si="8"/>
        <v>0</v>
      </c>
      <c r="L278" s="64">
        <f t="shared" si="9"/>
        <v>21.744312354312356</v>
      </c>
      <c r="M278" s="67"/>
      <c r="N278" s="67"/>
      <c r="O278" s="67"/>
    </row>
    <row r="279" spans="1:22" ht="14.25" customHeight="1" x14ac:dyDescent="0.3">
      <c r="A279" t="s">
        <v>826</v>
      </c>
      <c r="B279" t="s">
        <v>485</v>
      </c>
      <c r="C279">
        <v>32.700000000000003</v>
      </c>
      <c r="D279">
        <v>408</v>
      </c>
      <c r="E279">
        <v>2.2000000000000002</v>
      </c>
      <c r="F279">
        <v>0</v>
      </c>
      <c r="G279">
        <v>0</v>
      </c>
      <c r="H279">
        <v>0</v>
      </c>
      <c r="I279">
        <v>0.3</v>
      </c>
      <c r="J279">
        <v>69.7</v>
      </c>
      <c r="K279" s="64">
        <f t="shared" si="8"/>
        <v>0</v>
      </c>
      <c r="L279" s="64">
        <f t="shared" si="9"/>
        <v>20.067132867132866</v>
      </c>
      <c r="M279" s="66">
        <f>C281*Scoring!$B$34+D281/Scoring!$C$34+E281*Scoring!$D$34+WR!F281*Scoring!$E$34+WR!G281/Scoring!$F$34+WR!H281*Scoring!$G$34+WR!I281*Scoring!$H$34+K281*Scoring!$I$34+WR!L281*Scoring!$J$34+U279</f>
        <v>107.34</v>
      </c>
      <c r="N279" s="66">
        <f>C279*Scoring!$B$34+D279/Scoring!$C$34+E279*Scoring!$D$34+WR!F279*Scoring!$E$34+WR!G279/Scoring!$F$34+WR!H279*Scoring!$G$34+WR!I279*Scoring!$H$34+K279*Scoring!$I$34+WR!L279*Scoring!$J$34+U279</f>
        <v>107.34</v>
      </c>
      <c r="O279" s="66">
        <f>C280*Scoring!$B$34+D280/Scoring!$C$34+E280*Scoring!$D$34+WR!F280*Scoring!$E$34+WR!G280/Scoring!$F$34+WR!H280*Scoring!$G$34+WR!I280*Scoring!$H$34+K280*Scoring!$I$34+WR!L280*Scoring!$J$34+U279</f>
        <v>107.34</v>
      </c>
      <c r="P279" s="20">
        <f>IF(COUNTIF(Rookies!$A:$A,A279)&gt;0,1,0)</f>
        <v>1</v>
      </c>
      <c r="S279" s="20">
        <f>V279/17</f>
        <v>4.1029411764705879</v>
      </c>
      <c r="T279" s="20">
        <f>IF(P279=1,MAX(0,0.28*(12-S279)),0)</f>
        <v>2.2111764705882355</v>
      </c>
      <c r="U279" s="20">
        <f>T279*17</f>
        <v>37.590000000000003</v>
      </c>
      <c r="V279" s="20">
        <f>C279*Scoring!$B$34+D279/Scoring!$C$34+E279*Scoring!$D$34+WR!F279*Scoring!$E$34+WR!G279/Scoring!$F$34+WR!H279*Scoring!$G$34+WR!I279*Scoring!$H$34+K279*Scoring!$I$34+WR!L279*Scoring!$J$34</f>
        <v>69.75</v>
      </c>
    </row>
    <row r="280" spans="1:22" ht="14.25" customHeight="1" x14ac:dyDescent="0.3">
      <c r="B280" t="s">
        <v>472</v>
      </c>
      <c r="C280">
        <v>32.700000000000003</v>
      </c>
      <c r="D280">
        <v>408</v>
      </c>
      <c r="E280">
        <v>2.2000000000000002</v>
      </c>
      <c r="F280">
        <v>0</v>
      </c>
      <c r="G280">
        <v>0</v>
      </c>
      <c r="H280">
        <v>0</v>
      </c>
      <c r="I280">
        <v>0.3</v>
      </c>
      <c r="J280">
        <v>69.900000000000006</v>
      </c>
      <c r="K280" s="64">
        <f t="shared" si="8"/>
        <v>0</v>
      </c>
      <c r="L280" s="64">
        <f t="shared" si="9"/>
        <v>20.067132867132866</v>
      </c>
      <c r="M280" s="67"/>
      <c r="N280" s="67"/>
      <c r="O280" s="67"/>
    </row>
    <row r="281" spans="1:22" ht="14.25" customHeight="1" x14ac:dyDescent="0.3">
      <c r="B281" t="s">
        <v>473</v>
      </c>
      <c r="C281">
        <v>32.700000000000003</v>
      </c>
      <c r="D281">
        <v>408</v>
      </c>
      <c r="E281">
        <v>2.2000000000000002</v>
      </c>
      <c r="F281">
        <v>0</v>
      </c>
      <c r="G281">
        <v>0</v>
      </c>
      <c r="H281">
        <v>0</v>
      </c>
      <c r="I281">
        <v>0.3</v>
      </c>
      <c r="J281">
        <v>69.900000000000006</v>
      </c>
      <c r="K281" s="64">
        <f t="shared" si="8"/>
        <v>0</v>
      </c>
      <c r="L281" s="64">
        <f t="shared" si="9"/>
        <v>20.067132867132866</v>
      </c>
      <c r="M281" s="67"/>
      <c r="N281" s="67"/>
      <c r="O281" s="67"/>
    </row>
    <row r="282" spans="1:22" ht="14.25" customHeight="1" x14ac:dyDescent="0.3">
      <c r="A282" t="s">
        <v>811</v>
      </c>
      <c r="B282" t="s">
        <v>483</v>
      </c>
      <c r="C282">
        <v>29.5</v>
      </c>
      <c r="D282">
        <v>373.3</v>
      </c>
      <c r="E282">
        <v>2.7</v>
      </c>
      <c r="F282">
        <v>2.5</v>
      </c>
      <c r="G282">
        <v>11</v>
      </c>
      <c r="H282">
        <v>0</v>
      </c>
      <c r="I282">
        <v>0.1</v>
      </c>
      <c r="J282">
        <v>69.599999999999994</v>
      </c>
      <c r="K282" s="64">
        <f t="shared" si="8"/>
        <v>0.68171262699564583</v>
      </c>
      <c r="L282" s="64">
        <f t="shared" si="9"/>
        <v>18.360442890442894</v>
      </c>
      <c r="M282" s="66">
        <f>C284*Scoring!$B$34+D284/Scoring!$C$34+E284*Scoring!$D$34+WR!F284*Scoring!$E$34+WR!G284/Scoring!$F$34+WR!H284*Scoring!$G$34+WR!I284*Scoring!$H$34+K284*Scoring!$I$34+WR!L284*Scoring!$J$34+U282</f>
        <v>55.260000000000005</v>
      </c>
      <c r="N282" s="66">
        <f>C282*Scoring!$B$34+D282/Scoring!$C$34+E282*Scoring!$D$34+WR!F282*Scoring!$E$34+WR!G282/Scoring!$F$34+WR!H282*Scoring!$G$34+WR!I282*Scoring!$H$34+K282*Scoring!$I$34+WR!L282*Scoring!$J$34+U282</f>
        <v>69.179999999999993</v>
      </c>
      <c r="O282" s="66">
        <f>C283*Scoring!$B$34+D283/Scoring!$C$34+E283*Scoring!$D$34+WR!F283*Scoring!$E$34+WR!G283/Scoring!$F$34+WR!H283*Scoring!$G$34+WR!I283*Scoring!$H$34+K283*Scoring!$I$34+WR!L283*Scoring!$J$34+U282</f>
        <v>84.309999999999988</v>
      </c>
      <c r="P282" s="20">
        <f>IF(COUNTIF(Rookies!$A:$A,A282)&gt;0,1,0)</f>
        <v>0</v>
      </c>
      <c r="S282" s="20">
        <f>V282/17</f>
        <v>4.0694117647058823</v>
      </c>
      <c r="T282" s="20">
        <f>IF(P282=1,MAX(0,0.28*(12-S282)),0)</f>
        <v>0</v>
      </c>
      <c r="U282" s="20">
        <f>T282*17</f>
        <v>0</v>
      </c>
      <c r="V282" s="20">
        <f>C282*Scoring!$B$34+D282/Scoring!$C$34+E282*Scoring!$D$34+WR!F282*Scoring!$E$34+WR!G282/Scoring!$F$34+WR!H282*Scoring!$G$34+WR!I282*Scoring!$H$34+K282*Scoring!$I$34+WR!L282*Scoring!$J$34</f>
        <v>69.179999999999993</v>
      </c>
    </row>
    <row r="283" spans="1:22" ht="14.25" customHeight="1" x14ac:dyDescent="0.3">
      <c r="B283" t="s">
        <v>472</v>
      </c>
      <c r="C283">
        <v>35</v>
      </c>
      <c r="D283">
        <v>471</v>
      </c>
      <c r="E283">
        <v>3</v>
      </c>
      <c r="F283">
        <v>3</v>
      </c>
      <c r="G283">
        <v>11.1</v>
      </c>
      <c r="H283">
        <v>0.1</v>
      </c>
      <c r="I283">
        <v>0</v>
      </c>
      <c r="J283">
        <v>70.7</v>
      </c>
      <c r="K283" s="64">
        <f t="shared" si="8"/>
        <v>0.68791001451378808</v>
      </c>
      <c r="L283" s="64">
        <f t="shared" si="9"/>
        <v>23.165734265734269</v>
      </c>
      <c r="M283" s="67"/>
      <c r="N283" s="67"/>
      <c r="O283" s="67"/>
    </row>
    <row r="284" spans="1:22" ht="14.25" customHeight="1" x14ac:dyDescent="0.3">
      <c r="B284" t="s">
        <v>473</v>
      </c>
      <c r="C284">
        <v>24</v>
      </c>
      <c r="D284">
        <v>275.60000000000002</v>
      </c>
      <c r="E284">
        <v>2.5</v>
      </c>
      <c r="F284">
        <v>2</v>
      </c>
      <c r="G284">
        <v>11</v>
      </c>
      <c r="H284">
        <v>0</v>
      </c>
      <c r="I284">
        <v>0.2</v>
      </c>
      <c r="J284">
        <v>58.4</v>
      </c>
      <c r="K284" s="64">
        <f t="shared" si="8"/>
        <v>0.68171262699564583</v>
      </c>
      <c r="L284" s="64">
        <f t="shared" si="9"/>
        <v>13.555151515151517</v>
      </c>
      <c r="M284" s="67"/>
      <c r="N284" s="67"/>
      <c r="O284" s="67"/>
    </row>
    <row r="285" spans="1:22" ht="14.25" customHeight="1" x14ac:dyDescent="0.3">
      <c r="A285" t="s">
        <v>810</v>
      </c>
      <c r="B285" t="s">
        <v>531</v>
      </c>
      <c r="C285">
        <v>35.299999999999997</v>
      </c>
      <c r="D285">
        <v>419</v>
      </c>
      <c r="E285">
        <v>2</v>
      </c>
      <c r="F285">
        <v>1</v>
      </c>
      <c r="G285">
        <v>4</v>
      </c>
      <c r="H285">
        <v>0</v>
      </c>
      <c r="I285">
        <v>1.1000000000000001</v>
      </c>
      <c r="J285">
        <v>69.5</v>
      </c>
      <c r="K285" s="64">
        <f t="shared" si="8"/>
        <v>0.24789550072568939</v>
      </c>
      <c r="L285" s="64">
        <f t="shared" si="9"/>
        <v>20.60815850815851</v>
      </c>
      <c r="M285" s="66">
        <f>C287*Scoring!$B$34+D287/Scoring!$C$34+E287*Scoring!$D$34+WR!F287*Scoring!$E$34+WR!G287/Scoring!$F$34+WR!H287*Scoring!$G$34+WR!I287*Scoring!$H$34+K287*Scoring!$I$34+WR!L287*Scoring!$J$34+U285</f>
        <v>79</v>
      </c>
      <c r="N285" s="66">
        <f>C285*Scoring!$B$34+D285/Scoring!$C$34+E285*Scoring!$D$34+WR!F285*Scoring!$E$34+WR!G285/Scoring!$F$34+WR!H285*Scoring!$G$34+WR!I285*Scoring!$H$34+K285*Scoring!$I$34+WR!L285*Scoring!$J$34+U285</f>
        <v>107.34</v>
      </c>
      <c r="O285" s="66">
        <f>C286*Scoring!$B$34+D286/Scoring!$C$34+E286*Scoring!$D$34+WR!F286*Scoring!$E$34+WR!G286/Scoring!$F$34+WR!H286*Scoring!$G$34+WR!I286*Scoring!$H$34+K286*Scoring!$I$34+WR!L286*Scoring!$J$34+U285</f>
        <v>135.08999999999997</v>
      </c>
      <c r="P285" s="20">
        <f>IF(COUNTIF(Rookies!$A:$A,A285)&gt;0,1,0)</f>
        <v>1</v>
      </c>
      <c r="S285" s="20">
        <f>V285/17</f>
        <v>4.1029411764705879</v>
      </c>
      <c r="T285" s="20">
        <f>IF(P285=1,MAX(0,0.28*(12-S285)),0)</f>
        <v>2.2111764705882355</v>
      </c>
      <c r="U285" s="20">
        <f>T285*17</f>
        <v>37.590000000000003</v>
      </c>
      <c r="V285" s="20">
        <f>C285*Scoring!$B$34+D285/Scoring!$C$34+E285*Scoring!$D$34+WR!F285*Scoring!$E$34+WR!G285/Scoring!$F$34+WR!H285*Scoring!$G$34+WR!I285*Scoring!$H$34+K285*Scoring!$I$34+WR!L285*Scoring!$J$34</f>
        <v>69.75</v>
      </c>
    </row>
    <row r="286" spans="1:22" ht="14.25" customHeight="1" x14ac:dyDescent="0.3">
      <c r="B286" t="s">
        <v>472</v>
      </c>
      <c r="C286">
        <v>48</v>
      </c>
      <c r="D286">
        <v>551</v>
      </c>
      <c r="E286">
        <v>3</v>
      </c>
      <c r="F286">
        <v>2</v>
      </c>
      <c r="G286">
        <v>8</v>
      </c>
      <c r="H286">
        <v>0</v>
      </c>
      <c r="I286">
        <v>0.2</v>
      </c>
      <c r="J286">
        <v>78.7</v>
      </c>
      <c r="K286" s="64">
        <f t="shared" si="8"/>
        <v>0.49579100145137878</v>
      </c>
      <c r="L286" s="64">
        <f t="shared" si="9"/>
        <v>27.100466200466204</v>
      </c>
      <c r="M286" s="67"/>
      <c r="N286" s="67"/>
      <c r="O286" s="67"/>
    </row>
    <row r="287" spans="1:22" ht="14.25" customHeight="1" x14ac:dyDescent="0.3">
      <c r="B287" t="s">
        <v>473</v>
      </c>
      <c r="C287">
        <v>22.6</v>
      </c>
      <c r="D287">
        <v>287.10000000000002</v>
      </c>
      <c r="E287">
        <v>0.9</v>
      </c>
      <c r="F287">
        <v>0</v>
      </c>
      <c r="G287">
        <v>0</v>
      </c>
      <c r="H287">
        <v>0</v>
      </c>
      <c r="I287">
        <v>2</v>
      </c>
      <c r="J287">
        <v>51.6</v>
      </c>
      <c r="K287" s="64">
        <f t="shared" si="8"/>
        <v>0</v>
      </c>
      <c r="L287" s="64">
        <f t="shared" si="9"/>
        <v>14.120769230769234</v>
      </c>
      <c r="M287" s="67"/>
      <c r="N287" s="67"/>
      <c r="O287" s="67"/>
    </row>
    <row r="288" spans="1:22" ht="14.25" customHeight="1" x14ac:dyDescent="0.3">
      <c r="A288" t="s">
        <v>807</v>
      </c>
      <c r="B288" t="s">
        <v>507</v>
      </c>
      <c r="C288">
        <v>28.9</v>
      </c>
      <c r="D288">
        <v>389.3</v>
      </c>
      <c r="E288">
        <v>2.6</v>
      </c>
      <c r="F288">
        <v>1</v>
      </c>
      <c r="G288">
        <v>6.5</v>
      </c>
      <c r="H288">
        <v>0</v>
      </c>
      <c r="I288">
        <v>0.6</v>
      </c>
      <c r="J288">
        <v>68.2</v>
      </c>
      <c r="K288" s="64">
        <f t="shared" si="8"/>
        <v>0.4028301886792453</v>
      </c>
      <c r="L288" s="64">
        <f t="shared" si="9"/>
        <v>19.147389277389284</v>
      </c>
      <c r="M288" s="66">
        <f>C290*Scoring!$B$34+D290/Scoring!$C$34+E290*Scoring!$D$34+WR!F290*Scoring!$E$34+WR!G290/Scoring!$F$34+WR!H290*Scoring!$G$34+WR!I290*Scoring!$H$34+K290*Scoring!$I$34+WR!L290*Scoring!$J$34+U288</f>
        <v>89.409600000000012</v>
      </c>
      <c r="N288" s="66">
        <f>C288*Scoring!$B$34+D288/Scoring!$C$34+E288*Scoring!$D$34+WR!F288*Scoring!$E$34+WR!G288/Scoring!$F$34+WR!H288*Scoring!$G$34+WR!I288*Scoring!$H$34+K288*Scoring!$I$34+WR!L288*Scoring!$J$34+U288</f>
        <v>106.3896</v>
      </c>
      <c r="O288" s="66">
        <f>C289*Scoring!$B$34+D289/Scoring!$C$34+E289*Scoring!$D$34+WR!F289*Scoring!$E$34+WR!G289/Scoring!$F$34+WR!H289*Scoring!$G$34+WR!I289*Scoring!$H$34+K289*Scoring!$I$34+WR!L289*Scoring!$J$34+U288</f>
        <v>122.75960000000001</v>
      </c>
      <c r="P288" s="20">
        <f>IF(COUNTIF(Rookies!$A:$A,A288)&gt;0,1,0)</f>
        <v>1</v>
      </c>
      <c r="S288" s="20">
        <f>V288/17</f>
        <v>4.025294117647058</v>
      </c>
      <c r="T288" s="20">
        <f>IF(P288=1,MAX(0,0.28*(12-S288)),0)</f>
        <v>2.2329176470588239</v>
      </c>
      <c r="U288" s="20">
        <f>T288*17</f>
        <v>37.959600000000009</v>
      </c>
      <c r="V288" s="20">
        <f>C288*Scoring!$B$34+D288/Scoring!$C$34+E288*Scoring!$D$34+WR!F288*Scoring!$E$34+WR!G288/Scoring!$F$34+WR!H288*Scoring!$G$34+WR!I288*Scoring!$H$34+K288*Scoring!$I$34+WR!L288*Scoring!$J$34</f>
        <v>68.429999999999993</v>
      </c>
    </row>
    <row r="289" spans="1:22" ht="14.25" customHeight="1" x14ac:dyDescent="0.3">
      <c r="B289" t="s">
        <v>472</v>
      </c>
      <c r="C289">
        <v>35</v>
      </c>
      <c r="D289">
        <v>484</v>
      </c>
      <c r="E289">
        <v>3</v>
      </c>
      <c r="F289">
        <v>2</v>
      </c>
      <c r="G289">
        <v>13</v>
      </c>
      <c r="H289">
        <v>0</v>
      </c>
      <c r="I289">
        <v>0.2</v>
      </c>
      <c r="J289">
        <v>69.400000000000006</v>
      </c>
      <c r="K289" s="64">
        <f t="shared" si="8"/>
        <v>0.80566037735849061</v>
      </c>
      <c r="L289" s="64">
        <f t="shared" si="9"/>
        <v>23.805128205128206</v>
      </c>
      <c r="M289" s="67"/>
      <c r="N289" s="67"/>
      <c r="O289" s="67"/>
    </row>
    <row r="290" spans="1:22" ht="14.25" customHeight="1" x14ac:dyDescent="0.3">
      <c r="B290" t="s">
        <v>473</v>
      </c>
      <c r="C290">
        <v>22.8</v>
      </c>
      <c r="D290">
        <v>294.5</v>
      </c>
      <c r="E290">
        <v>2.1</v>
      </c>
      <c r="F290">
        <v>0</v>
      </c>
      <c r="G290">
        <v>0</v>
      </c>
      <c r="H290">
        <v>0</v>
      </c>
      <c r="I290">
        <v>1</v>
      </c>
      <c r="J290">
        <v>56.6</v>
      </c>
      <c r="K290" s="64">
        <f t="shared" si="8"/>
        <v>0</v>
      </c>
      <c r="L290" s="64">
        <f t="shared" si="9"/>
        <v>14.484731934731935</v>
      </c>
      <c r="M290" s="67"/>
      <c r="N290" s="67"/>
      <c r="O290" s="67"/>
    </row>
    <row r="291" spans="1:22" ht="14.25" customHeight="1" x14ac:dyDescent="0.3">
      <c r="A291" t="s">
        <v>808</v>
      </c>
      <c r="B291" t="s">
        <v>481</v>
      </c>
      <c r="C291">
        <v>28.3</v>
      </c>
      <c r="D291">
        <v>352.1</v>
      </c>
      <c r="E291">
        <v>3</v>
      </c>
      <c r="F291">
        <v>0</v>
      </c>
      <c r="G291">
        <v>0</v>
      </c>
      <c r="H291">
        <v>0</v>
      </c>
      <c r="I291">
        <v>0.1</v>
      </c>
      <c r="J291">
        <v>67.3</v>
      </c>
      <c r="K291" s="64">
        <f t="shared" si="8"/>
        <v>0</v>
      </c>
      <c r="L291" s="64">
        <f t="shared" si="9"/>
        <v>17.31773892773893</v>
      </c>
      <c r="M291" s="66">
        <f>C293*Scoring!$B$34+D293/Scoring!$C$34+E293*Scoring!$D$34+WR!F293*Scoring!$E$34+WR!G293/Scoring!$F$34+WR!H293*Scoring!$G$34+WR!I293*Scoring!$H$34+K293*Scoring!$I$34+WR!L293*Scoring!$J$34+U291</f>
        <v>27.71</v>
      </c>
      <c r="N291" s="66">
        <f>C291*Scoring!$B$34+D291/Scoring!$C$34+E291*Scoring!$D$34+WR!F291*Scoring!$E$34+WR!G291/Scoring!$F$34+WR!H291*Scoring!$G$34+WR!I291*Scoring!$H$34+K291*Scoring!$I$34+WR!L291*Scoring!$J$34+U291</f>
        <v>67.16</v>
      </c>
      <c r="O291" s="66">
        <f>C292*Scoring!$B$34+D292/Scoring!$C$34+E292*Scoring!$D$34+WR!F292*Scoring!$E$34+WR!G292/Scoring!$F$34+WR!H292*Scoring!$G$34+WR!I292*Scoring!$H$34+K292*Scoring!$I$34+WR!L292*Scoring!$J$34+U291</f>
        <v>106.8</v>
      </c>
      <c r="P291" s="20">
        <f>IF(COUNTIF(Rookies!$A:$A,A291)&gt;0,1,0)</f>
        <v>0</v>
      </c>
      <c r="S291" s="20">
        <f>V291/17</f>
        <v>3.9505882352941173</v>
      </c>
      <c r="T291" s="20">
        <f>IF(P291=1,MAX(0,0.28*(12-S291)),0)</f>
        <v>0</v>
      </c>
      <c r="U291" s="20">
        <f>T291*17</f>
        <v>0</v>
      </c>
      <c r="V291" s="20">
        <f>C291*Scoring!$B$34+D291/Scoring!$C$34+E291*Scoring!$D$34+WR!F291*Scoring!$E$34+WR!G291/Scoring!$F$34+WR!H291*Scoring!$G$34+WR!I291*Scoring!$H$34+K291*Scoring!$I$34+WR!L291*Scoring!$J$34</f>
        <v>67.16</v>
      </c>
    </row>
    <row r="292" spans="1:22" ht="14.25" customHeight="1" x14ac:dyDescent="0.3">
      <c r="B292" t="s">
        <v>472</v>
      </c>
      <c r="C292">
        <v>44</v>
      </c>
      <c r="D292">
        <v>548</v>
      </c>
      <c r="E292">
        <v>5</v>
      </c>
      <c r="F292">
        <v>0</v>
      </c>
      <c r="G292">
        <v>0</v>
      </c>
      <c r="H292">
        <v>0</v>
      </c>
      <c r="I292">
        <v>0</v>
      </c>
      <c r="J292">
        <v>91.2</v>
      </c>
      <c r="K292" s="64">
        <f t="shared" si="8"/>
        <v>0</v>
      </c>
      <c r="L292" s="64">
        <f t="shared" si="9"/>
        <v>26.952913752913755</v>
      </c>
      <c r="M292" s="67"/>
      <c r="N292" s="67"/>
      <c r="O292" s="67"/>
    </row>
    <row r="293" spans="1:22" ht="14.25" customHeight="1" x14ac:dyDescent="0.3">
      <c r="B293" t="s">
        <v>473</v>
      </c>
      <c r="C293">
        <v>12.6</v>
      </c>
      <c r="D293">
        <v>156.1</v>
      </c>
      <c r="E293">
        <v>1</v>
      </c>
      <c r="F293">
        <v>0</v>
      </c>
      <c r="G293">
        <v>0</v>
      </c>
      <c r="H293">
        <v>0</v>
      </c>
      <c r="I293">
        <v>0.1</v>
      </c>
      <c r="J293">
        <v>35.799999999999997</v>
      </c>
      <c r="K293" s="64">
        <f t="shared" si="8"/>
        <v>0</v>
      </c>
      <c r="L293" s="64">
        <f t="shared" si="9"/>
        <v>7.677645687645688</v>
      </c>
      <c r="M293" s="67"/>
      <c r="N293" s="67"/>
      <c r="O293" s="67"/>
    </row>
    <row r="294" spans="1:22" ht="14.25" customHeight="1" x14ac:dyDescent="0.3">
      <c r="A294" t="s">
        <v>809</v>
      </c>
      <c r="B294" t="s">
        <v>525</v>
      </c>
      <c r="C294">
        <v>25.4</v>
      </c>
      <c r="D294">
        <v>342.2</v>
      </c>
      <c r="E294">
        <v>3.3</v>
      </c>
      <c r="F294">
        <v>0</v>
      </c>
      <c r="G294">
        <v>0</v>
      </c>
      <c r="H294">
        <v>0</v>
      </c>
      <c r="I294">
        <v>0</v>
      </c>
      <c r="J294">
        <v>66.7</v>
      </c>
      <c r="K294" s="64">
        <f t="shared" si="8"/>
        <v>0</v>
      </c>
      <c r="L294" s="64">
        <f t="shared" si="9"/>
        <v>16.830815850815853</v>
      </c>
      <c r="M294" s="66">
        <f>C296*Scoring!$B$34+D296/Scoring!$C$34+E296*Scoring!$D$34+WR!F296*Scoring!$E$34+WR!G296/Scoring!$F$34+WR!H296*Scoring!$G$34+WR!I296*Scoring!$H$34+K296*Scoring!$I$34+WR!L296*Scoring!$J$34+U294</f>
        <v>19.350000000000001</v>
      </c>
      <c r="N294" s="66">
        <f>C294*Scoring!$B$34+D294/Scoring!$C$34+E294*Scoring!$D$34+WR!F294*Scoring!$E$34+WR!G294/Scoring!$F$34+WR!H294*Scoring!$G$34+WR!I294*Scoring!$H$34+K294*Scoring!$I$34+WR!L294*Scoring!$J$34+U294</f>
        <v>66.72</v>
      </c>
      <c r="O294" s="66">
        <f>C295*Scoring!$B$34+D295/Scoring!$C$34+E295*Scoring!$D$34+WR!F295*Scoring!$E$34+WR!G295/Scoring!$F$34+WR!H295*Scoring!$G$34+WR!I295*Scoring!$H$34+K295*Scoring!$I$34+WR!L295*Scoring!$J$34+U294</f>
        <v>113.9</v>
      </c>
      <c r="P294" s="20">
        <f>IF(COUNTIF(Rookies!$A:$A,A294)&gt;0,1,0)</f>
        <v>0</v>
      </c>
      <c r="S294" s="20">
        <f>V294/17</f>
        <v>3.9247058823529413</v>
      </c>
      <c r="T294" s="20">
        <f>IF(P294=1,MAX(0,0.28*(12-S294)),0)</f>
        <v>0</v>
      </c>
      <c r="U294" s="20">
        <f>T294*17</f>
        <v>0</v>
      </c>
      <c r="V294" s="20">
        <f>C294*Scoring!$B$34+D294/Scoring!$C$34+E294*Scoring!$D$34+WR!F294*Scoring!$E$34+WR!G294/Scoring!$F$34+WR!H294*Scoring!$G$34+WR!I294*Scoring!$H$34+K294*Scoring!$I$34+WR!L294*Scoring!$J$34</f>
        <v>66.72</v>
      </c>
    </row>
    <row r="295" spans="1:22" ht="14.25" customHeight="1" x14ac:dyDescent="0.3">
      <c r="B295" t="s">
        <v>472</v>
      </c>
      <c r="C295">
        <v>42</v>
      </c>
      <c r="D295">
        <v>569</v>
      </c>
      <c r="E295">
        <v>6</v>
      </c>
      <c r="F295">
        <v>0</v>
      </c>
      <c r="G295">
        <v>0</v>
      </c>
      <c r="H295">
        <v>0</v>
      </c>
      <c r="I295">
        <v>0</v>
      </c>
      <c r="J295">
        <v>97.7</v>
      </c>
      <c r="K295" s="64">
        <f t="shared" si="8"/>
        <v>0</v>
      </c>
      <c r="L295" s="64">
        <f t="shared" si="9"/>
        <v>27.985780885780883</v>
      </c>
      <c r="M295" s="67"/>
      <c r="N295" s="67"/>
      <c r="O295" s="67"/>
    </row>
    <row r="296" spans="1:22" ht="14.25" customHeight="1" x14ac:dyDescent="0.3">
      <c r="B296" t="s">
        <v>473</v>
      </c>
      <c r="C296">
        <v>8.8000000000000007</v>
      </c>
      <c r="D296">
        <v>115.5</v>
      </c>
      <c r="E296">
        <v>0.6</v>
      </c>
      <c r="F296">
        <v>0</v>
      </c>
      <c r="G296">
        <v>0</v>
      </c>
      <c r="H296">
        <v>0</v>
      </c>
      <c r="I296">
        <v>0.1</v>
      </c>
      <c r="J296">
        <v>27.8</v>
      </c>
      <c r="K296" s="64">
        <f t="shared" si="8"/>
        <v>0</v>
      </c>
      <c r="L296" s="64">
        <f t="shared" si="9"/>
        <v>5.6807692307692301</v>
      </c>
      <c r="M296" s="67"/>
      <c r="N296" s="67"/>
      <c r="O296" s="67"/>
    </row>
    <row r="297" spans="1:22" ht="14.25" customHeight="1" x14ac:dyDescent="0.3">
      <c r="A297" t="s">
        <v>823</v>
      </c>
      <c r="B297" t="s">
        <v>477</v>
      </c>
      <c r="C297">
        <v>30.2</v>
      </c>
      <c r="D297">
        <v>365.5</v>
      </c>
      <c r="E297">
        <v>2</v>
      </c>
      <c r="F297">
        <v>4.0999999999999996</v>
      </c>
      <c r="G297">
        <v>21.5</v>
      </c>
      <c r="H297">
        <v>0.2</v>
      </c>
      <c r="I297">
        <v>0.4</v>
      </c>
      <c r="J297">
        <v>66.3</v>
      </c>
      <c r="K297" s="64">
        <f t="shared" si="8"/>
        <v>1.3324383164005806</v>
      </c>
      <c r="L297" s="64">
        <f t="shared" si="9"/>
        <v>17.976806526806531</v>
      </c>
      <c r="M297" s="66">
        <f>C299*Scoring!$B$34+D299/Scoring!$C$34+E299*Scoring!$D$34+WR!F299*Scoring!$E$34+WR!G299/Scoring!$F$34+WR!H299*Scoring!$G$34+WR!I299*Scoring!$H$34+K299*Scoring!$I$34+WR!L299*Scoring!$J$34+U297</f>
        <v>66.2</v>
      </c>
      <c r="N297" s="66">
        <f>C297*Scoring!$B$34+D297/Scoring!$C$34+E297*Scoring!$D$34+WR!F297*Scoring!$E$34+WR!G297/Scoring!$F$34+WR!H297*Scoring!$G$34+WR!I297*Scoring!$H$34+K297*Scoring!$I$34+WR!L297*Scoring!$J$34+U297</f>
        <v>66.2</v>
      </c>
      <c r="O297" s="66">
        <f>C298*Scoring!$B$34+D298/Scoring!$C$34+E298*Scoring!$D$34+WR!F298*Scoring!$E$34+WR!G298/Scoring!$F$34+WR!H298*Scoring!$G$34+WR!I298*Scoring!$H$34+K298*Scoring!$I$34+WR!L298*Scoring!$J$34+U297</f>
        <v>66.2</v>
      </c>
      <c r="P297" s="20">
        <f>IF(COUNTIF(Rookies!$A:$A,A297)&gt;0,1,0)</f>
        <v>0</v>
      </c>
      <c r="S297" s="20">
        <f>V297/17</f>
        <v>3.8941176470588239</v>
      </c>
      <c r="T297" s="20">
        <f>IF(P297=1,MAX(0,0.28*(12-S297)),0)</f>
        <v>0</v>
      </c>
      <c r="U297" s="20">
        <f>T297*17</f>
        <v>0</v>
      </c>
      <c r="V297" s="20">
        <f>C297*Scoring!$B$34+D297/Scoring!$C$34+E297*Scoring!$D$34+WR!F297*Scoring!$E$34+WR!G297/Scoring!$F$34+WR!H297*Scoring!$G$34+WR!I297*Scoring!$H$34+K297*Scoring!$I$34+WR!L297*Scoring!$J$34</f>
        <v>66.2</v>
      </c>
    </row>
    <row r="298" spans="1:22" ht="14.25" customHeight="1" x14ac:dyDescent="0.3">
      <c r="B298" t="s">
        <v>472</v>
      </c>
      <c r="C298">
        <v>30.2</v>
      </c>
      <c r="D298">
        <v>365.5</v>
      </c>
      <c r="E298">
        <v>2</v>
      </c>
      <c r="F298">
        <v>4.0999999999999996</v>
      </c>
      <c r="G298">
        <v>21.5</v>
      </c>
      <c r="H298">
        <v>0.2</v>
      </c>
      <c r="I298">
        <v>0.4</v>
      </c>
      <c r="J298">
        <v>66.400000000000006</v>
      </c>
      <c r="K298" s="64">
        <f t="shared" si="8"/>
        <v>1.3324383164005806</v>
      </c>
      <c r="L298" s="64">
        <f t="shared" si="9"/>
        <v>17.976806526806531</v>
      </c>
      <c r="M298" s="67"/>
      <c r="N298" s="67"/>
      <c r="O298" s="67"/>
    </row>
    <row r="299" spans="1:22" ht="14.25" customHeight="1" x14ac:dyDescent="0.3">
      <c r="B299" t="s">
        <v>473</v>
      </c>
      <c r="C299">
        <v>30.2</v>
      </c>
      <c r="D299">
        <v>365.5</v>
      </c>
      <c r="E299">
        <v>2</v>
      </c>
      <c r="F299">
        <v>4.0999999999999996</v>
      </c>
      <c r="G299">
        <v>21.5</v>
      </c>
      <c r="H299">
        <v>0.2</v>
      </c>
      <c r="I299">
        <v>0.4</v>
      </c>
      <c r="J299">
        <v>66.400000000000006</v>
      </c>
      <c r="K299" s="64">
        <f t="shared" si="8"/>
        <v>1.3324383164005806</v>
      </c>
      <c r="L299" s="64">
        <f t="shared" si="9"/>
        <v>17.976806526806531</v>
      </c>
      <c r="M299" s="67"/>
      <c r="N299" s="67"/>
      <c r="O299" s="67"/>
    </row>
    <row r="300" spans="1:22" ht="14.25" customHeight="1" x14ac:dyDescent="0.3">
      <c r="A300" t="s">
        <v>812</v>
      </c>
      <c r="B300" t="s">
        <v>525</v>
      </c>
      <c r="C300">
        <v>27.8</v>
      </c>
      <c r="D300">
        <v>271.10000000000002</v>
      </c>
      <c r="E300">
        <v>3.4</v>
      </c>
      <c r="F300">
        <v>10.1</v>
      </c>
      <c r="G300">
        <v>33.6</v>
      </c>
      <c r="H300">
        <v>0.3</v>
      </c>
      <c r="I300">
        <v>0.6</v>
      </c>
      <c r="J300">
        <v>65.2</v>
      </c>
      <c r="K300" s="64">
        <f t="shared" si="8"/>
        <v>2.0823222060957911</v>
      </c>
      <c r="L300" s="64">
        <f t="shared" si="9"/>
        <v>13.333822843822848</v>
      </c>
      <c r="M300" s="66">
        <f>C302*Scoring!$B$34+D302/Scoring!$C$34+E302*Scoring!$D$34+WR!F302*Scoring!$E$34+WR!G302/Scoring!$F$34+WR!H302*Scoring!$G$34+WR!I302*Scoring!$H$34+K302*Scoring!$I$34+WR!L302*Scoring!$J$34+U300</f>
        <v>21.02</v>
      </c>
      <c r="N300" s="66">
        <f>C300*Scoring!$B$34+D300/Scoring!$C$34+E300*Scoring!$D$34+WR!F300*Scoring!$E$34+WR!G300/Scoring!$F$34+WR!H300*Scoring!$G$34+WR!I300*Scoring!$H$34+K300*Scoring!$I$34+WR!L300*Scoring!$J$34+U300</f>
        <v>65.37</v>
      </c>
      <c r="O300" s="66">
        <f>C301*Scoring!$B$34+D301/Scoring!$C$34+E301*Scoring!$D$34+WR!F301*Scoring!$E$34+WR!G301/Scoring!$F$34+WR!H301*Scoring!$G$34+WR!I301*Scoring!$H$34+K301*Scoring!$I$34+WR!L301*Scoring!$J$34+U300</f>
        <v>109.72999999999999</v>
      </c>
      <c r="P300" s="20">
        <f>IF(COUNTIF(Rookies!$A:$A,A300)&gt;0,1,0)</f>
        <v>0</v>
      </c>
      <c r="S300" s="20">
        <f>V300/17</f>
        <v>3.8452941176470592</v>
      </c>
      <c r="T300" s="20">
        <f>IF(P300=1,MAX(0,0.28*(12-S300)),0)</f>
        <v>0</v>
      </c>
      <c r="U300" s="20">
        <f>T300*17</f>
        <v>0</v>
      </c>
      <c r="V300" s="20">
        <f>C300*Scoring!$B$34+D300/Scoring!$C$34+E300*Scoring!$D$34+WR!F300*Scoring!$E$34+WR!G300/Scoring!$F$34+WR!H300*Scoring!$G$34+WR!I300*Scoring!$H$34+K300*Scoring!$I$34+WR!L300*Scoring!$J$34</f>
        <v>65.37</v>
      </c>
    </row>
    <row r="301" spans="1:22" ht="14.25" customHeight="1" x14ac:dyDescent="0.3">
      <c r="B301" t="s">
        <v>472</v>
      </c>
      <c r="C301">
        <v>45</v>
      </c>
      <c r="D301">
        <v>430</v>
      </c>
      <c r="E301">
        <v>6</v>
      </c>
      <c r="F301">
        <v>10.1</v>
      </c>
      <c r="G301">
        <v>50.3</v>
      </c>
      <c r="H301">
        <v>0.6</v>
      </c>
      <c r="I301">
        <v>0.2</v>
      </c>
      <c r="J301">
        <v>83.9</v>
      </c>
      <c r="K301" s="64">
        <f t="shared" si="8"/>
        <v>3.1172859216255446</v>
      </c>
      <c r="L301" s="64">
        <f t="shared" si="9"/>
        <v>21.149184149184151</v>
      </c>
      <c r="M301" s="67"/>
      <c r="N301" s="67"/>
      <c r="O301" s="67"/>
    </row>
    <row r="302" spans="1:22" ht="14.25" customHeight="1" x14ac:dyDescent="0.3">
      <c r="B302" t="s">
        <v>473</v>
      </c>
      <c r="C302">
        <v>10.6</v>
      </c>
      <c r="D302">
        <v>112.2</v>
      </c>
      <c r="E302">
        <v>0.8</v>
      </c>
      <c r="F302">
        <v>10</v>
      </c>
      <c r="G302">
        <v>17</v>
      </c>
      <c r="H302">
        <v>0</v>
      </c>
      <c r="I302">
        <v>1</v>
      </c>
      <c r="J302">
        <v>42.9</v>
      </c>
      <c r="K302" s="64">
        <f t="shared" si="8"/>
        <v>1.0535558780841798</v>
      </c>
      <c r="L302" s="64">
        <f t="shared" si="9"/>
        <v>5.5184615384615388</v>
      </c>
      <c r="M302" s="67"/>
      <c r="N302" s="67"/>
      <c r="O302" s="67"/>
    </row>
    <row r="303" spans="1:22" ht="14.25" customHeight="1" x14ac:dyDescent="0.3">
      <c r="A303" t="s">
        <v>813</v>
      </c>
      <c r="B303" t="s">
        <v>533</v>
      </c>
      <c r="C303">
        <v>31.4</v>
      </c>
      <c r="D303">
        <v>381.7</v>
      </c>
      <c r="E303">
        <v>1.9</v>
      </c>
      <c r="F303">
        <v>0</v>
      </c>
      <c r="G303">
        <v>0</v>
      </c>
      <c r="H303">
        <v>0</v>
      </c>
      <c r="I303">
        <v>0.3</v>
      </c>
      <c r="J303">
        <v>64.599999999999994</v>
      </c>
      <c r="K303" s="64">
        <f t="shared" si="8"/>
        <v>0</v>
      </c>
      <c r="L303" s="64">
        <f t="shared" si="9"/>
        <v>18.773589743589746</v>
      </c>
      <c r="M303" s="66">
        <f>C305*Scoring!$B$34+D305/Scoring!$C$34+E305*Scoring!$D$34+WR!F305*Scoring!$E$34+WR!G305/Scoring!$F$34+WR!H305*Scoring!$G$34+WR!I305*Scoring!$H$34+K305*Scoring!$I$34+WR!L305*Scoring!$J$34+U303</f>
        <v>103.68240000000002</v>
      </c>
      <c r="N303" s="66">
        <f>C303*Scoring!$B$34+D303/Scoring!$C$34+E303*Scoring!$D$34+WR!F303*Scoring!$E$34+WR!G303/Scoring!$F$34+WR!H303*Scoring!$G$34+WR!I303*Scoring!$H$34+K303*Scoring!$I$34+WR!L303*Scoring!$J$34+U303</f>
        <v>103.68240000000002</v>
      </c>
      <c r="O303" s="66">
        <f>C304*Scoring!$B$34+D304/Scoring!$C$34+E304*Scoring!$D$34+WR!F304*Scoring!$E$34+WR!G304/Scoring!$F$34+WR!H304*Scoring!$G$34+WR!I304*Scoring!$H$34+K304*Scoring!$I$34+WR!L304*Scoring!$J$34+U303</f>
        <v>103.68240000000002</v>
      </c>
      <c r="P303" s="20">
        <f>IF(COUNTIF(Rookies!$A:$A,A303)&gt;0,1,0)</f>
        <v>1</v>
      </c>
      <c r="S303" s="20">
        <f>V303/17</f>
        <v>3.8041176470588245</v>
      </c>
      <c r="T303" s="20">
        <f>IF(P303=1,MAX(0,0.28*(12-S303)),0)</f>
        <v>2.2948470588235295</v>
      </c>
      <c r="U303" s="20">
        <f>T303*17</f>
        <v>39.0124</v>
      </c>
      <c r="V303" s="20">
        <f>C303*Scoring!$B$34+D303/Scoring!$C$34+E303*Scoring!$D$34+WR!F303*Scoring!$E$34+WR!G303/Scoring!$F$34+WR!H303*Scoring!$G$34+WR!I303*Scoring!$H$34+K303*Scoring!$I$34+WR!L303*Scoring!$J$34</f>
        <v>64.670000000000016</v>
      </c>
    </row>
    <row r="304" spans="1:22" ht="14.25" customHeight="1" x14ac:dyDescent="0.3">
      <c r="B304" t="s">
        <v>472</v>
      </c>
      <c r="C304">
        <v>31.4</v>
      </c>
      <c r="D304">
        <v>381.7</v>
      </c>
      <c r="E304">
        <v>1.9</v>
      </c>
      <c r="F304">
        <v>0</v>
      </c>
      <c r="G304">
        <v>0</v>
      </c>
      <c r="H304">
        <v>0</v>
      </c>
      <c r="I304">
        <v>0.3</v>
      </c>
      <c r="J304">
        <v>66.8</v>
      </c>
      <c r="K304" s="64">
        <f t="shared" si="8"/>
        <v>0</v>
      </c>
      <c r="L304" s="64">
        <f t="shared" si="9"/>
        <v>18.773589743589746</v>
      </c>
      <c r="M304" s="67"/>
      <c r="N304" s="67"/>
      <c r="O304" s="67"/>
    </row>
    <row r="305" spans="1:22" ht="14.25" customHeight="1" x14ac:dyDescent="0.3">
      <c r="B305" t="s">
        <v>473</v>
      </c>
      <c r="C305">
        <v>31.4</v>
      </c>
      <c r="D305">
        <v>381.7</v>
      </c>
      <c r="E305">
        <v>1.9</v>
      </c>
      <c r="F305">
        <v>0</v>
      </c>
      <c r="G305">
        <v>0</v>
      </c>
      <c r="H305">
        <v>0</v>
      </c>
      <c r="I305">
        <v>0.3</v>
      </c>
      <c r="J305">
        <v>66.8</v>
      </c>
      <c r="K305" s="64">
        <f t="shared" si="8"/>
        <v>0</v>
      </c>
      <c r="L305" s="64">
        <f t="shared" si="9"/>
        <v>18.773589743589746</v>
      </c>
      <c r="M305" s="67"/>
      <c r="N305" s="67"/>
      <c r="O305" s="67"/>
    </row>
    <row r="306" spans="1:22" ht="14.25" customHeight="1" x14ac:dyDescent="0.3">
      <c r="A306" t="s">
        <v>814</v>
      </c>
      <c r="B306" t="s">
        <v>471</v>
      </c>
      <c r="C306">
        <v>24.4</v>
      </c>
      <c r="D306">
        <v>337.9</v>
      </c>
      <c r="E306">
        <v>2.8</v>
      </c>
      <c r="F306">
        <v>0</v>
      </c>
      <c r="G306">
        <v>0</v>
      </c>
      <c r="H306">
        <v>0</v>
      </c>
      <c r="I306">
        <v>0.2</v>
      </c>
      <c r="J306">
        <v>62.5</v>
      </c>
      <c r="K306" s="64">
        <f t="shared" si="8"/>
        <v>0</v>
      </c>
      <c r="L306" s="64">
        <f t="shared" si="9"/>
        <v>16.619324009324011</v>
      </c>
      <c r="M306" s="66">
        <f>C308*Scoring!$B$34+D308/Scoring!$C$34+E308*Scoring!$D$34+WR!F308*Scoring!$E$34+WR!G308/Scoring!$F$34+WR!H308*Scoring!$G$34+WR!I308*Scoring!$H$34+K308*Scoring!$I$34+WR!L308*Scoring!$J$34+U306</f>
        <v>62.389999999999993</v>
      </c>
      <c r="N306" s="66">
        <f>C306*Scoring!$B$34+D306/Scoring!$C$34+E306*Scoring!$D$34+WR!F306*Scoring!$E$34+WR!G306/Scoring!$F$34+WR!H306*Scoring!$G$34+WR!I306*Scoring!$H$34+K306*Scoring!$I$34+WR!L306*Scoring!$J$34+U306</f>
        <v>62.389999999999993</v>
      </c>
      <c r="O306" s="66">
        <f>C307*Scoring!$B$34+D307/Scoring!$C$34+E307*Scoring!$D$34+WR!F307*Scoring!$E$34+WR!G307/Scoring!$F$34+WR!H307*Scoring!$G$34+WR!I307*Scoring!$H$34+K307*Scoring!$I$34+WR!L307*Scoring!$J$34+U306</f>
        <v>62.389999999999993</v>
      </c>
      <c r="P306" s="20">
        <f>IF(COUNTIF(Rookies!$A:$A,A306)&gt;0,1,0)</f>
        <v>0</v>
      </c>
      <c r="S306" s="20">
        <f>V306/17</f>
        <v>3.6699999999999995</v>
      </c>
      <c r="T306" s="20">
        <f>IF(P306=1,MAX(0,0.28*(12-S306)),0)</f>
        <v>0</v>
      </c>
      <c r="U306" s="20">
        <f>T306*17</f>
        <v>0</v>
      </c>
      <c r="V306" s="20">
        <f>C306*Scoring!$B$34+D306/Scoring!$C$34+E306*Scoring!$D$34+WR!F306*Scoring!$E$34+WR!G306/Scoring!$F$34+WR!H306*Scoring!$G$34+WR!I306*Scoring!$H$34+K306*Scoring!$I$34+WR!L306*Scoring!$J$34</f>
        <v>62.389999999999993</v>
      </c>
    </row>
    <row r="307" spans="1:22" ht="14.25" customHeight="1" x14ac:dyDescent="0.3">
      <c r="B307" t="s">
        <v>472</v>
      </c>
      <c r="C307">
        <v>24.4</v>
      </c>
      <c r="D307">
        <v>337.9</v>
      </c>
      <c r="E307">
        <v>2.8</v>
      </c>
      <c r="F307">
        <v>0</v>
      </c>
      <c r="G307">
        <v>0</v>
      </c>
      <c r="H307">
        <v>0</v>
      </c>
      <c r="I307">
        <v>0.2</v>
      </c>
      <c r="J307">
        <v>63.3</v>
      </c>
      <c r="K307" s="64">
        <f t="shared" si="8"/>
        <v>0</v>
      </c>
      <c r="L307" s="64">
        <f t="shared" si="9"/>
        <v>16.619324009324011</v>
      </c>
      <c r="M307" s="67"/>
      <c r="N307" s="67"/>
      <c r="O307" s="67"/>
    </row>
    <row r="308" spans="1:22" ht="14.25" customHeight="1" x14ac:dyDescent="0.3">
      <c r="B308" t="s">
        <v>473</v>
      </c>
      <c r="C308">
        <v>24.4</v>
      </c>
      <c r="D308">
        <v>337.9</v>
      </c>
      <c r="E308">
        <v>2.8</v>
      </c>
      <c r="F308">
        <v>0</v>
      </c>
      <c r="G308">
        <v>0</v>
      </c>
      <c r="H308">
        <v>0</v>
      </c>
      <c r="I308">
        <v>0.2</v>
      </c>
      <c r="J308">
        <v>63.3</v>
      </c>
      <c r="K308" s="64">
        <f t="shared" si="8"/>
        <v>0</v>
      </c>
      <c r="L308" s="64">
        <f t="shared" si="9"/>
        <v>16.619324009324011</v>
      </c>
      <c r="M308" s="67"/>
      <c r="N308" s="67"/>
      <c r="O308" s="67"/>
    </row>
    <row r="309" spans="1:22" ht="14.25" customHeight="1" x14ac:dyDescent="0.3">
      <c r="A309" t="s">
        <v>816</v>
      </c>
      <c r="B309" t="s">
        <v>471</v>
      </c>
      <c r="C309">
        <v>26.9</v>
      </c>
      <c r="D309">
        <v>354.7</v>
      </c>
      <c r="E309">
        <v>1.7</v>
      </c>
      <c r="F309">
        <v>0</v>
      </c>
      <c r="G309">
        <v>0</v>
      </c>
      <c r="H309">
        <v>0</v>
      </c>
      <c r="I309">
        <v>0.1</v>
      </c>
      <c r="J309">
        <v>59</v>
      </c>
      <c r="K309" s="64">
        <f t="shared" si="8"/>
        <v>0</v>
      </c>
      <c r="L309" s="64">
        <f t="shared" si="9"/>
        <v>17.445617715617715</v>
      </c>
      <c r="M309" s="66">
        <f>C311*Scoring!$B$34+D311/Scoring!$C$34+E311*Scoring!$D$34+WR!F311*Scoring!$E$34+WR!G311/Scoring!$F$34+WR!H311*Scoring!$G$34+WR!I311*Scoring!$H$34+K311*Scoring!$I$34+WR!L311*Scoring!$J$34+U309</f>
        <v>40.58</v>
      </c>
      <c r="N309" s="66">
        <f>C309*Scoring!$B$34+D309/Scoring!$C$34+E309*Scoring!$D$34+WR!F309*Scoring!$E$34+WR!G309/Scoring!$F$34+WR!H309*Scoring!$G$34+WR!I309*Scoring!$H$34+K309*Scoring!$I$34+WR!L309*Scoring!$J$34+U309</f>
        <v>58.92</v>
      </c>
      <c r="O309" s="66">
        <f>C310*Scoring!$B$34+D310/Scoring!$C$34+E310*Scoring!$D$34+WR!F310*Scoring!$E$34+WR!G310/Scoring!$F$34+WR!H310*Scoring!$G$34+WR!I310*Scoring!$H$34+K310*Scoring!$I$34+WR!L310*Scoring!$J$34+U309</f>
        <v>77.3</v>
      </c>
      <c r="P309" s="20">
        <f>IF(COUNTIF(Rookies!$A:$A,A309)&gt;0,1,0)</f>
        <v>0</v>
      </c>
      <c r="S309" s="20">
        <f>V309/17</f>
        <v>3.4658823529411764</v>
      </c>
      <c r="T309" s="20">
        <f>IF(P309=1,MAX(0,0.28*(12-S309)),0)</f>
        <v>0</v>
      </c>
      <c r="U309" s="20">
        <f>T309*17</f>
        <v>0</v>
      </c>
      <c r="V309" s="20">
        <f>C309*Scoring!$B$34+D309/Scoring!$C$34+E309*Scoring!$D$34+WR!F309*Scoring!$E$34+WR!G309/Scoring!$F$34+WR!H309*Scoring!$G$34+WR!I309*Scoring!$H$34+K309*Scoring!$I$34+WR!L309*Scoring!$J$34</f>
        <v>58.92</v>
      </c>
    </row>
    <row r="310" spans="1:22" ht="14.25" customHeight="1" x14ac:dyDescent="0.3">
      <c r="B310" t="s">
        <v>472</v>
      </c>
      <c r="C310">
        <v>35</v>
      </c>
      <c r="D310">
        <v>478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64.5</v>
      </c>
      <c r="K310" s="64">
        <f t="shared" si="8"/>
        <v>0</v>
      </c>
      <c r="L310" s="64">
        <f t="shared" si="9"/>
        <v>23.510023310023307</v>
      </c>
      <c r="M310" s="67"/>
      <c r="N310" s="67"/>
      <c r="O310" s="67"/>
    </row>
    <row r="311" spans="1:22" ht="14.25" customHeight="1" x14ac:dyDescent="0.3">
      <c r="B311" t="s">
        <v>473</v>
      </c>
      <c r="C311">
        <v>18.899999999999999</v>
      </c>
      <c r="D311">
        <v>231.3</v>
      </c>
      <c r="E311">
        <v>1.4</v>
      </c>
      <c r="F311">
        <v>0</v>
      </c>
      <c r="G311">
        <v>0</v>
      </c>
      <c r="H311">
        <v>0</v>
      </c>
      <c r="I311">
        <v>0.2</v>
      </c>
      <c r="J311">
        <v>44.9</v>
      </c>
      <c r="K311" s="64">
        <f t="shared" si="8"/>
        <v>0</v>
      </c>
      <c r="L311" s="64">
        <f t="shared" si="9"/>
        <v>11.376293706293707</v>
      </c>
      <c r="M311" s="67"/>
      <c r="N311" s="67"/>
      <c r="O311" s="67"/>
    </row>
    <row r="312" spans="1:22" ht="14.25" customHeight="1" x14ac:dyDescent="0.3">
      <c r="A312" t="s">
        <v>815</v>
      </c>
      <c r="B312" t="s">
        <v>499</v>
      </c>
      <c r="C312">
        <v>28.4</v>
      </c>
      <c r="D312">
        <v>320.2</v>
      </c>
      <c r="E312">
        <v>2.1</v>
      </c>
      <c r="F312">
        <v>0</v>
      </c>
      <c r="G312">
        <v>0</v>
      </c>
      <c r="H312">
        <v>0</v>
      </c>
      <c r="I312">
        <v>0.3</v>
      </c>
      <c r="J312">
        <v>58.3</v>
      </c>
      <c r="K312" s="64">
        <f t="shared" si="8"/>
        <v>0</v>
      </c>
      <c r="L312" s="64">
        <f t="shared" si="9"/>
        <v>15.748764568764569</v>
      </c>
      <c r="M312" s="66">
        <f>C314*Scoring!$B$34+D314/Scoring!$C$34+E314*Scoring!$D$34+WR!F314*Scoring!$E$34+WR!G314/Scoring!$F$34+WR!H314*Scoring!$G$34+WR!I314*Scoring!$H$34+K314*Scoring!$I$34+WR!L314*Scoring!$J$34+U312</f>
        <v>58.22</v>
      </c>
      <c r="N312" s="66">
        <f>C312*Scoring!$B$34+D312/Scoring!$C$34+E312*Scoring!$D$34+WR!F312*Scoring!$E$34+WR!G312/Scoring!$F$34+WR!H312*Scoring!$G$34+WR!I312*Scoring!$H$34+K312*Scoring!$I$34+WR!L312*Scoring!$J$34+U312</f>
        <v>58.22</v>
      </c>
      <c r="O312" s="66">
        <f>C313*Scoring!$B$34+D313/Scoring!$C$34+E313*Scoring!$D$34+WR!F313*Scoring!$E$34+WR!G313/Scoring!$F$34+WR!H313*Scoring!$G$34+WR!I313*Scoring!$H$34+K313*Scoring!$I$34+WR!L313*Scoring!$J$34+U312</f>
        <v>58.22</v>
      </c>
      <c r="P312" s="20">
        <f>IF(COUNTIF(Rookies!$A:$A,A312)&gt;0,1,0)</f>
        <v>0</v>
      </c>
      <c r="S312" s="20">
        <f>V312/17</f>
        <v>3.4247058823529413</v>
      </c>
      <c r="T312" s="20">
        <f>IF(P312=1,MAX(0,0.28*(12-S312)),0)</f>
        <v>0</v>
      </c>
      <c r="U312" s="20">
        <f>T312*17</f>
        <v>0</v>
      </c>
      <c r="V312" s="20">
        <f>C312*Scoring!$B$34+D312/Scoring!$C$34+E312*Scoring!$D$34+WR!F312*Scoring!$E$34+WR!G312/Scoring!$F$34+WR!H312*Scoring!$G$34+WR!I312*Scoring!$H$34+K312*Scoring!$I$34+WR!L312*Scoring!$J$34</f>
        <v>58.22</v>
      </c>
    </row>
    <row r="313" spans="1:22" ht="14.25" customHeight="1" x14ac:dyDescent="0.3">
      <c r="B313" t="s">
        <v>472</v>
      </c>
      <c r="C313">
        <v>28.4</v>
      </c>
      <c r="D313">
        <v>320.2</v>
      </c>
      <c r="E313">
        <v>2.1</v>
      </c>
      <c r="F313">
        <v>0</v>
      </c>
      <c r="G313">
        <v>0</v>
      </c>
      <c r="H313">
        <v>0</v>
      </c>
      <c r="I313">
        <v>0.3</v>
      </c>
      <c r="J313">
        <v>58.6</v>
      </c>
      <c r="K313" s="64">
        <f t="shared" si="8"/>
        <v>0</v>
      </c>
      <c r="L313" s="64">
        <f t="shared" si="9"/>
        <v>15.748764568764569</v>
      </c>
      <c r="M313" s="67"/>
      <c r="N313" s="67"/>
      <c r="O313" s="67"/>
    </row>
    <row r="314" spans="1:22" ht="14.25" customHeight="1" x14ac:dyDescent="0.3">
      <c r="B314" t="s">
        <v>473</v>
      </c>
      <c r="C314">
        <v>28.4</v>
      </c>
      <c r="D314">
        <v>320.2</v>
      </c>
      <c r="E314">
        <v>2.1</v>
      </c>
      <c r="F314">
        <v>0</v>
      </c>
      <c r="G314">
        <v>0</v>
      </c>
      <c r="H314">
        <v>0</v>
      </c>
      <c r="I314">
        <v>0.3</v>
      </c>
      <c r="J314">
        <v>58.6</v>
      </c>
      <c r="K314" s="64">
        <f t="shared" si="8"/>
        <v>0</v>
      </c>
      <c r="L314" s="64">
        <f t="shared" si="9"/>
        <v>15.748764568764569</v>
      </c>
      <c r="M314" s="67"/>
      <c r="N314" s="67"/>
      <c r="O314" s="67"/>
    </row>
    <row r="315" spans="1:22" ht="14.25" customHeight="1" x14ac:dyDescent="0.3">
      <c r="A315" t="s">
        <v>817</v>
      </c>
      <c r="B315" t="s">
        <v>511</v>
      </c>
      <c r="C315">
        <v>17.600000000000001</v>
      </c>
      <c r="D315">
        <v>338.9</v>
      </c>
      <c r="E315">
        <v>1.3</v>
      </c>
      <c r="F315">
        <v>5.0999999999999996</v>
      </c>
      <c r="G315">
        <v>46.2</v>
      </c>
      <c r="H315">
        <v>0.1</v>
      </c>
      <c r="I315">
        <v>0.1</v>
      </c>
      <c r="J315">
        <v>55.5</v>
      </c>
      <c r="K315" s="64">
        <f t="shared" si="8"/>
        <v>2.8631930333817128</v>
      </c>
      <c r="L315" s="64">
        <f t="shared" si="9"/>
        <v>16.66850815850816</v>
      </c>
      <c r="M315" s="66">
        <f>C317*Scoring!$B$34+D317/Scoring!$C$34+E317*Scoring!$D$34+WR!F317*Scoring!$E$34+WR!G317/Scoring!$F$34+WR!H317*Scoring!$G$34+WR!I317*Scoring!$H$34+K317*Scoring!$I$34+WR!L317*Scoring!$J$34+U315</f>
        <v>23.92</v>
      </c>
      <c r="N315" s="66">
        <f>C315*Scoring!$B$34+D315/Scoring!$C$34+E315*Scoring!$D$34+WR!F315*Scoring!$E$34+WR!G315/Scoring!$F$34+WR!H315*Scoring!$G$34+WR!I315*Scoring!$H$34+K315*Scoring!$I$34+WR!L315*Scoring!$J$34+U315</f>
        <v>55.509999999999991</v>
      </c>
      <c r="O315" s="66">
        <f>C316*Scoring!$B$34+D316/Scoring!$C$34+E316*Scoring!$D$34+WR!F316*Scoring!$E$34+WR!G316/Scoring!$F$34+WR!H316*Scoring!$G$34+WR!I316*Scoring!$H$34+K316*Scoring!$I$34+WR!L316*Scoring!$J$34+U315</f>
        <v>87.3</v>
      </c>
      <c r="P315" s="20">
        <f>IF(COUNTIF(Rookies!$A:$A,A315)&gt;0,1,0)</f>
        <v>0</v>
      </c>
      <c r="S315" s="20">
        <f>V315/17</f>
        <v>3.2652941176470582</v>
      </c>
      <c r="T315" s="20">
        <f>IF(P315=1,MAX(0,0.28*(12-S315)),0)</f>
        <v>0</v>
      </c>
      <c r="U315" s="20">
        <f>T315*17</f>
        <v>0</v>
      </c>
      <c r="V315" s="20">
        <f>C315*Scoring!$B$34+D315/Scoring!$C$34+E315*Scoring!$D$34+WR!F315*Scoring!$E$34+WR!G315/Scoring!$F$34+WR!H315*Scoring!$G$34+WR!I315*Scoring!$H$34+K315*Scoring!$I$34+WR!L315*Scoring!$J$34</f>
        <v>55.509999999999991</v>
      </c>
    </row>
    <row r="316" spans="1:22" ht="14.25" customHeight="1" x14ac:dyDescent="0.3">
      <c r="B316" t="s">
        <v>472</v>
      </c>
      <c r="C316">
        <v>25</v>
      </c>
      <c r="D316">
        <v>550</v>
      </c>
      <c r="E316">
        <v>2</v>
      </c>
      <c r="F316">
        <v>6</v>
      </c>
      <c r="G316">
        <v>66</v>
      </c>
      <c r="H316">
        <v>0.2</v>
      </c>
      <c r="I316">
        <v>0</v>
      </c>
      <c r="J316">
        <v>69.8</v>
      </c>
      <c r="K316" s="64">
        <f t="shared" si="8"/>
        <v>4.0902757619738752</v>
      </c>
      <c r="L316" s="64">
        <f t="shared" si="9"/>
        <v>27.051282051282055</v>
      </c>
      <c r="M316" s="67"/>
      <c r="N316" s="67"/>
      <c r="O316" s="67"/>
    </row>
    <row r="317" spans="1:22" ht="14.25" customHeight="1" x14ac:dyDescent="0.3">
      <c r="B317" t="s">
        <v>473</v>
      </c>
      <c r="C317">
        <v>10.199999999999999</v>
      </c>
      <c r="D317">
        <v>127.9</v>
      </c>
      <c r="E317">
        <v>0.6</v>
      </c>
      <c r="F317">
        <v>4.2</v>
      </c>
      <c r="G317">
        <v>26.3</v>
      </c>
      <c r="H317">
        <v>0</v>
      </c>
      <c r="I317">
        <v>0.1</v>
      </c>
      <c r="J317">
        <v>30.3</v>
      </c>
      <c r="K317" s="64">
        <f t="shared" si="8"/>
        <v>1.6299129172714077</v>
      </c>
      <c r="L317" s="64">
        <f t="shared" si="9"/>
        <v>6.2906526806526823</v>
      </c>
      <c r="M317" s="67"/>
      <c r="N317" s="67"/>
      <c r="O317" s="67"/>
    </row>
    <row r="318" spans="1:22" ht="14.25" customHeight="1" x14ac:dyDescent="0.3">
      <c r="A318" t="s">
        <v>818</v>
      </c>
      <c r="B318" t="s">
        <v>499</v>
      </c>
      <c r="C318">
        <v>24.1</v>
      </c>
      <c r="D318">
        <v>272.89999999999998</v>
      </c>
      <c r="E318">
        <v>1.6</v>
      </c>
      <c r="F318">
        <v>8.1999999999999993</v>
      </c>
      <c r="G318">
        <v>45.1</v>
      </c>
      <c r="H318">
        <v>0.3</v>
      </c>
      <c r="I318">
        <v>0.4</v>
      </c>
      <c r="J318">
        <v>54.7</v>
      </c>
      <c r="K318" s="64">
        <f t="shared" si="8"/>
        <v>2.7950217706821481</v>
      </c>
      <c r="L318" s="64">
        <f t="shared" si="9"/>
        <v>13.422354312354313</v>
      </c>
      <c r="M318" s="66">
        <f>C320*Scoring!$B$34+D320/Scoring!$C$34+E320*Scoring!$D$34+WR!F320*Scoring!$E$34+WR!G320/Scoring!$F$34+WR!H320*Scoring!$G$34+WR!I320*Scoring!$H$34+K320*Scoring!$I$34+WR!L320*Scoring!$J$34+U318</f>
        <v>54.45</v>
      </c>
      <c r="N318" s="66">
        <f>C318*Scoring!$B$34+D318/Scoring!$C$34+E318*Scoring!$D$34+WR!F318*Scoring!$E$34+WR!G318/Scoring!$F$34+WR!H318*Scoring!$G$34+WR!I318*Scoring!$H$34+K318*Scoring!$I$34+WR!L318*Scoring!$J$34+U318</f>
        <v>54.45</v>
      </c>
      <c r="O318" s="66">
        <f>C319*Scoring!$B$34+D319/Scoring!$C$34+E319*Scoring!$D$34+WR!F319*Scoring!$E$34+WR!G319/Scoring!$F$34+WR!H319*Scoring!$G$34+WR!I319*Scoring!$H$34+K319*Scoring!$I$34+WR!L319*Scoring!$J$34+U318</f>
        <v>54.45</v>
      </c>
      <c r="P318" s="20">
        <f>IF(COUNTIF(Rookies!$A:$A,A318)&gt;0,1,0)</f>
        <v>0</v>
      </c>
      <c r="S318" s="20">
        <f>V318/17</f>
        <v>3.2029411764705884</v>
      </c>
      <c r="T318" s="20">
        <f>IF(P318=1,MAX(0,0.28*(12-S318)),0)</f>
        <v>0</v>
      </c>
      <c r="U318" s="20">
        <f>T318*17</f>
        <v>0</v>
      </c>
      <c r="V318" s="20">
        <f>C318*Scoring!$B$34+D318/Scoring!$C$34+E318*Scoring!$D$34+WR!F318*Scoring!$E$34+WR!G318/Scoring!$F$34+WR!H318*Scoring!$G$34+WR!I318*Scoring!$H$34+K318*Scoring!$I$34+WR!L318*Scoring!$J$34</f>
        <v>54.45</v>
      </c>
    </row>
    <row r="319" spans="1:22" ht="14.25" customHeight="1" x14ac:dyDescent="0.3">
      <c r="B319" t="s">
        <v>472</v>
      </c>
      <c r="C319">
        <v>24.1</v>
      </c>
      <c r="D319">
        <v>272.89999999999998</v>
      </c>
      <c r="E319">
        <v>1.6</v>
      </c>
      <c r="F319">
        <v>8.1999999999999993</v>
      </c>
      <c r="G319">
        <v>45.1</v>
      </c>
      <c r="H319">
        <v>0.3</v>
      </c>
      <c r="I319">
        <v>0.4</v>
      </c>
      <c r="J319">
        <v>58</v>
      </c>
      <c r="K319" s="64">
        <f t="shared" si="8"/>
        <v>2.7950217706821481</v>
      </c>
      <c r="L319" s="64">
        <f t="shared" si="9"/>
        <v>13.422354312354313</v>
      </c>
      <c r="M319" s="67"/>
      <c r="N319" s="67"/>
      <c r="O319" s="67"/>
    </row>
    <row r="320" spans="1:22" ht="14.25" customHeight="1" x14ac:dyDescent="0.3">
      <c r="B320" t="s">
        <v>473</v>
      </c>
      <c r="C320">
        <v>24.1</v>
      </c>
      <c r="D320">
        <v>272.89999999999998</v>
      </c>
      <c r="E320">
        <v>1.6</v>
      </c>
      <c r="F320">
        <v>8.1999999999999993</v>
      </c>
      <c r="G320">
        <v>45.1</v>
      </c>
      <c r="H320">
        <v>0.3</v>
      </c>
      <c r="I320">
        <v>0.4</v>
      </c>
      <c r="J320">
        <v>58</v>
      </c>
      <c r="K320" s="64">
        <f t="shared" si="8"/>
        <v>2.7950217706821481</v>
      </c>
      <c r="L320" s="64">
        <f t="shared" si="9"/>
        <v>13.422354312354313</v>
      </c>
      <c r="M320" s="67"/>
      <c r="N320" s="67"/>
      <c r="O320" s="67"/>
    </row>
    <row r="321" spans="1:22" ht="14.25" customHeight="1" x14ac:dyDescent="0.3">
      <c r="A321" t="s">
        <v>819</v>
      </c>
      <c r="B321" t="s">
        <v>491</v>
      </c>
      <c r="C321">
        <v>17.899999999999999</v>
      </c>
      <c r="D321">
        <v>226.8</v>
      </c>
      <c r="E321">
        <v>1.7</v>
      </c>
      <c r="F321">
        <v>17.8</v>
      </c>
      <c r="G321">
        <v>103</v>
      </c>
      <c r="H321">
        <v>0.4</v>
      </c>
      <c r="I321">
        <v>0.4</v>
      </c>
      <c r="J321">
        <v>54</v>
      </c>
      <c r="K321" s="64">
        <f t="shared" si="8"/>
        <v>6.3833091436865015</v>
      </c>
      <c r="L321" s="64">
        <f t="shared" si="9"/>
        <v>11.154965034965038</v>
      </c>
      <c r="M321" s="66">
        <f>C323*Scoring!$B$34+D323/Scoring!$C$34+E323*Scoring!$D$34+WR!F323*Scoring!$E$34+WR!G323/Scoring!$F$34+WR!H323*Scoring!$G$34+WR!I323*Scoring!$H$34+K323*Scoring!$I$34+WR!L323*Scoring!$J$34+U321</f>
        <v>53.73</v>
      </c>
      <c r="N321" s="66">
        <f>C321*Scoring!$B$34+D321/Scoring!$C$34+E321*Scoring!$D$34+WR!F321*Scoring!$E$34+WR!G321/Scoring!$F$34+WR!H321*Scoring!$G$34+WR!I321*Scoring!$H$34+K321*Scoring!$I$34+WR!L321*Scoring!$J$34+U321</f>
        <v>53.73</v>
      </c>
      <c r="O321" s="66">
        <f>C322*Scoring!$B$34+D322/Scoring!$C$34+E322*Scoring!$D$34+WR!F322*Scoring!$E$34+WR!G322/Scoring!$F$34+WR!H322*Scoring!$G$34+WR!I322*Scoring!$H$34+K322*Scoring!$I$34+WR!L322*Scoring!$J$34+U321</f>
        <v>53.73</v>
      </c>
      <c r="P321" s="20">
        <f>IF(COUNTIF(Rookies!$A:$A,A321)&gt;0,1,0)</f>
        <v>0</v>
      </c>
      <c r="S321" s="20">
        <f>V321/17</f>
        <v>3.1605882352941173</v>
      </c>
      <c r="T321" s="20">
        <f>IF(P321=1,MAX(0,0.28*(12-S321)),0)</f>
        <v>0</v>
      </c>
      <c r="U321" s="20">
        <f>T321*17</f>
        <v>0</v>
      </c>
      <c r="V321" s="20">
        <f>C321*Scoring!$B$34+D321/Scoring!$C$34+E321*Scoring!$D$34+WR!F321*Scoring!$E$34+WR!G321/Scoring!$F$34+WR!H321*Scoring!$G$34+WR!I321*Scoring!$H$34+K321*Scoring!$I$34+WR!L321*Scoring!$J$34</f>
        <v>53.73</v>
      </c>
    </row>
    <row r="322" spans="1:22" ht="14.25" customHeight="1" x14ac:dyDescent="0.3">
      <c r="B322" t="s">
        <v>472</v>
      </c>
      <c r="C322">
        <v>17.899999999999999</v>
      </c>
      <c r="D322">
        <v>226.8</v>
      </c>
      <c r="E322">
        <v>1.7</v>
      </c>
      <c r="F322">
        <v>17.8</v>
      </c>
      <c r="G322">
        <v>103</v>
      </c>
      <c r="H322">
        <v>0.4</v>
      </c>
      <c r="I322">
        <v>0.4</v>
      </c>
      <c r="J322">
        <v>57.4</v>
      </c>
      <c r="K322" s="64">
        <f t="shared" si="8"/>
        <v>6.3833091436865015</v>
      </c>
      <c r="L322" s="64">
        <f t="shared" si="9"/>
        <v>11.154965034965038</v>
      </c>
      <c r="M322" s="67"/>
      <c r="N322" s="67"/>
      <c r="O322" s="67"/>
    </row>
    <row r="323" spans="1:22" ht="14.25" customHeight="1" x14ac:dyDescent="0.3">
      <c r="B323" t="s">
        <v>473</v>
      </c>
      <c r="C323">
        <v>17.899999999999999</v>
      </c>
      <c r="D323">
        <v>226.8</v>
      </c>
      <c r="E323">
        <v>1.7</v>
      </c>
      <c r="F323">
        <v>17.8</v>
      </c>
      <c r="G323">
        <v>103</v>
      </c>
      <c r="H323">
        <v>0.4</v>
      </c>
      <c r="I323">
        <v>0.4</v>
      </c>
      <c r="J323">
        <v>57.4</v>
      </c>
      <c r="K323" s="64">
        <f t="shared" ref="K323:K386" si="10">IFERROR(G323/F323/6.89*0.427*F323,0)</f>
        <v>6.3833091436865015</v>
      </c>
      <c r="L323" s="64">
        <f t="shared" ref="L323:L386" si="11">IFERROR(D323/C323/12.87*0.633*C323,0)</f>
        <v>11.154965034965038</v>
      </c>
      <c r="M323" s="67"/>
      <c r="N323" s="67"/>
      <c r="O323" s="67"/>
    </row>
    <row r="324" spans="1:22" ht="14.25" customHeight="1" x14ac:dyDescent="0.3">
      <c r="A324" t="s">
        <v>843</v>
      </c>
      <c r="B324" t="s">
        <v>513</v>
      </c>
      <c r="C324">
        <v>27.1</v>
      </c>
      <c r="D324">
        <v>352</v>
      </c>
      <c r="E324">
        <v>0.9</v>
      </c>
      <c r="F324">
        <v>0</v>
      </c>
      <c r="G324">
        <v>0</v>
      </c>
      <c r="H324">
        <v>0</v>
      </c>
      <c r="I324">
        <v>0.3</v>
      </c>
      <c r="J324">
        <v>53.3</v>
      </c>
      <c r="K324" s="64">
        <f t="shared" si="10"/>
        <v>0</v>
      </c>
      <c r="L324" s="64">
        <f t="shared" si="11"/>
        <v>17.312820512820519</v>
      </c>
      <c r="M324" s="66">
        <f>C326*Scoring!$B$34+D326/Scoring!$C$34+E326*Scoring!$D$34+WR!F326*Scoring!$E$34+WR!G326/Scoring!$F$34+WR!H326*Scoring!$G$34+WR!I326*Scoring!$H$34+K326*Scoring!$I$34+WR!L326*Scoring!$J$34+U324</f>
        <v>95.676000000000002</v>
      </c>
      <c r="N324" s="66">
        <f>C324*Scoring!$B$34+D324/Scoring!$C$34+E324*Scoring!$D$34+WR!F324*Scoring!$E$34+WR!G324/Scoring!$F$34+WR!H324*Scoring!$G$34+WR!I324*Scoring!$H$34+K324*Scoring!$I$34+WR!L324*Scoring!$J$34+U324</f>
        <v>95.676000000000002</v>
      </c>
      <c r="O324" s="66">
        <f>C325*Scoring!$B$34+D325/Scoring!$C$34+E325*Scoring!$D$34+WR!F325*Scoring!$E$34+WR!G325/Scoring!$F$34+WR!H325*Scoring!$G$34+WR!I325*Scoring!$H$34+K325*Scoring!$I$34+WR!L325*Scoring!$J$34+U324</f>
        <v>95.676000000000002</v>
      </c>
      <c r="P324" s="20">
        <f>IF(COUNTIF(Rookies!$A:$A,A324)&gt;0,1,0)</f>
        <v>1</v>
      </c>
      <c r="S324" s="20">
        <f>V324/17</f>
        <v>3.15</v>
      </c>
      <c r="T324" s="20">
        <f>IF(P324=1,MAX(0,0.28*(12-S324)),0)</f>
        <v>2.4780000000000002</v>
      </c>
      <c r="U324" s="20">
        <f>T324*17</f>
        <v>42.126000000000005</v>
      </c>
      <c r="V324" s="20">
        <f>C324*Scoring!$B$34+D324/Scoring!$C$34+E324*Scoring!$D$34+WR!F324*Scoring!$E$34+WR!G324/Scoring!$F$34+WR!H324*Scoring!$G$34+WR!I324*Scoring!$H$34+K324*Scoring!$I$34+WR!L324*Scoring!$J$34</f>
        <v>53.55</v>
      </c>
    </row>
    <row r="325" spans="1:22" ht="14.25" customHeight="1" x14ac:dyDescent="0.3">
      <c r="B325" t="s">
        <v>472</v>
      </c>
      <c r="C325">
        <v>27.1</v>
      </c>
      <c r="D325">
        <v>352</v>
      </c>
      <c r="E325">
        <v>0.9</v>
      </c>
      <c r="F325">
        <v>0</v>
      </c>
      <c r="G325">
        <v>0</v>
      </c>
      <c r="H325">
        <v>0</v>
      </c>
      <c r="I325">
        <v>0.3</v>
      </c>
      <c r="J325">
        <v>53.4</v>
      </c>
      <c r="K325" s="64">
        <f t="shared" si="10"/>
        <v>0</v>
      </c>
      <c r="L325" s="64">
        <f t="shared" si="11"/>
        <v>17.312820512820519</v>
      </c>
      <c r="M325" s="67"/>
      <c r="N325" s="67"/>
      <c r="O325" s="67"/>
    </row>
    <row r="326" spans="1:22" ht="14.25" customHeight="1" x14ac:dyDescent="0.3">
      <c r="B326" t="s">
        <v>473</v>
      </c>
      <c r="C326">
        <v>27.1</v>
      </c>
      <c r="D326">
        <v>352</v>
      </c>
      <c r="E326">
        <v>0.9</v>
      </c>
      <c r="F326">
        <v>0</v>
      </c>
      <c r="G326">
        <v>0</v>
      </c>
      <c r="H326">
        <v>0</v>
      </c>
      <c r="I326">
        <v>0.3</v>
      </c>
      <c r="J326">
        <v>53.4</v>
      </c>
      <c r="K326" s="64">
        <f t="shared" si="10"/>
        <v>0</v>
      </c>
      <c r="L326" s="64">
        <f t="shared" si="11"/>
        <v>17.312820512820519</v>
      </c>
      <c r="M326" s="67"/>
      <c r="N326" s="67"/>
      <c r="O326" s="67"/>
    </row>
    <row r="327" spans="1:22" ht="14.25" customHeight="1" x14ac:dyDescent="0.3">
      <c r="A327" t="s">
        <v>835</v>
      </c>
      <c r="B327" t="s">
        <v>475</v>
      </c>
      <c r="C327">
        <v>18.2</v>
      </c>
      <c r="D327">
        <v>304.8</v>
      </c>
      <c r="E327">
        <v>2.2000000000000002</v>
      </c>
      <c r="F327">
        <v>0</v>
      </c>
      <c r="G327">
        <v>1.5</v>
      </c>
      <c r="H327">
        <v>0</v>
      </c>
      <c r="I327">
        <v>0.1</v>
      </c>
      <c r="J327">
        <v>53</v>
      </c>
      <c r="K327" s="64">
        <f t="shared" si="10"/>
        <v>0</v>
      </c>
      <c r="L327" s="64">
        <f t="shared" si="11"/>
        <v>14.991328671328674</v>
      </c>
      <c r="M327" s="66">
        <f>C329*Scoring!$B$34+D329/Scoring!$C$34+E329*Scoring!$D$34+WR!F329*Scoring!$E$34+WR!G329/Scoring!$F$34+WR!H329*Scoring!$G$34+WR!I329*Scoring!$H$34+K329*Scoring!$I$34+WR!L329*Scoring!$J$34+U327</f>
        <v>36.700000000000003</v>
      </c>
      <c r="N327" s="66">
        <f>C327*Scoring!$B$34+D327/Scoring!$C$34+E327*Scoring!$D$34+WR!F327*Scoring!$E$34+WR!G327/Scoring!$F$34+WR!H327*Scoring!$G$34+WR!I327*Scoring!$H$34+K327*Scoring!$I$34+WR!L327*Scoring!$J$34+U327</f>
        <v>52.73</v>
      </c>
      <c r="O327" s="66">
        <f>C328*Scoring!$B$34+D328/Scoring!$C$34+E328*Scoring!$D$34+WR!F328*Scoring!$E$34+WR!G328/Scoring!$F$34+WR!H328*Scoring!$G$34+WR!I328*Scoring!$H$34+K328*Scoring!$I$34+WR!L328*Scoring!$J$34+U327</f>
        <v>69.399999999999991</v>
      </c>
      <c r="P327" s="20">
        <f>IF(COUNTIF(Rookies!$A:$A,A327)&gt;0,1,0)</f>
        <v>0</v>
      </c>
      <c r="S327" s="20">
        <f>V327/17</f>
        <v>3.1017647058823528</v>
      </c>
      <c r="T327" s="20">
        <f>IF(P327=1,MAX(0,0.28*(12-S327)),0)</f>
        <v>0</v>
      </c>
      <c r="U327" s="20">
        <f>T327*17</f>
        <v>0</v>
      </c>
      <c r="V327" s="20">
        <f>C327*Scoring!$B$34+D327/Scoring!$C$34+E327*Scoring!$D$34+WR!F327*Scoring!$E$34+WR!G327/Scoring!$F$34+WR!H327*Scoring!$G$34+WR!I327*Scoring!$H$34+K327*Scoring!$I$34+WR!L327*Scoring!$J$34</f>
        <v>52.73</v>
      </c>
    </row>
    <row r="328" spans="1:22" ht="14.25" customHeight="1" x14ac:dyDescent="0.3">
      <c r="B328" t="s">
        <v>472</v>
      </c>
      <c r="C328">
        <v>22</v>
      </c>
      <c r="D328">
        <v>401</v>
      </c>
      <c r="E328">
        <v>3</v>
      </c>
      <c r="F328">
        <v>0</v>
      </c>
      <c r="G328">
        <v>3</v>
      </c>
      <c r="H328">
        <v>0</v>
      </c>
      <c r="I328">
        <v>0</v>
      </c>
      <c r="J328">
        <v>59.1</v>
      </c>
      <c r="K328" s="64">
        <f t="shared" si="10"/>
        <v>0</v>
      </c>
      <c r="L328" s="64">
        <f t="shared" si="11"/>
        <v>19.722843822843824</v>
      </c>
      <c r="M328" s="67"/>
      <c r="N328" s="67"/>
      <c r="O328" s="67"/>
    </row>
    <row r="329" spans="1:22" ht="14.25" customHeight="1" x14ac:dyDescent="0.3">
      <c r="B329" t="s">
        <v>473</v>
      </c>
      <c r="C329">
        <v>14.5</v>
      </c>
      <c r="D329">
        <v>208.5</v>
      </c>
      <c r="E329">
        <v>1.5</v>
      </c>
      <c r="F329">
        <v>0</v>
      </c>
      <c r="G329">
        <v>0</v>
      </c>
      <c r="H329">
        <v>0</v>
      </c>
      <c r="I329">
        <v>0.2</v>
      </c>
      <c r="J329">
        <v>38.5</v>
      </c>
      <c r="K329" s="64">
        <f t="shared" si="10"/>
        <v>0</v>
      </c>
      <c r="L329" s="64">
        <f t="shared" si="11"/>
        <v>10.254895104895105</v>
      </c>
      <c r="M329" s="67"/>
      <c r="N329" s="67"/>
      <c r="O329" s="67"/>
    </row>
    <row r="330" spans="1:22" ht="14.25" customHeight="1" x14ac:dyDescent="0.3">
      <c r="A330" t="s">
        <v>821</v>
      </c>
      <c r="B330" t="s">
        <v>485</v>
      </c>
      <c r="C330">
        <v>21.5</v>
      </c>
      <c r="D330">
        <v>308.39999999999998</v>
      </c>
      <c r="E330">
        <v>1.7</v>
      </c>
      <c r="F330">
        <v>2.2000000000000002</v>
      </c>
      <c r="G330">
        <v>11.9</v>
      </c>
      <c r="H330">
        <v>0.1</v>
      </c>
      <c r="I330">
        <v>0.2</v>
      </c>
      <c r="J330">
        <v>52.8</v>
      </c>
      <c r="K330" s="64">
        <f t="shared" si="10"/>
        <v>0.73748911465892597</v>
      </c>
      <c r="L330" s="64">
        <f t="shared" si="11"/>
        <v>15.168391608391607</v>
      </c>
      <c r="M330" s="66">
        <f>C332*Scoring!$B$34+D332/Scoring!$C$34+E332*Scoring!$D$34+WR!F332*Scoring!$E$34+WR!G332/Scoring!$F$34+WR!H332*Scoring!$G$34+WR!I332*Scoring!$H$34+K332*Scoring!$I$34+WR!L332*Scoring!$J$34+U330</f>
        <v>53.179999999999993</v>
      </c>
      <c r="N330" s="66">
        <f>C330*Scoring!$B$34+D330/Scoring!$C$34+E330*Scoring!$D$34+WR!F330*Scoring!$E$34+WR!G330/Scoring!$F$34+WR!H330*Scoring!$G$34+WR!I330*Scoring!$H$34+K330*Scoring!$I$34+WR!L330*Scoring!$J$34+U330</f>
        <v>53.179999999999993</v>
      </c>
      <c r="O330" s="66">
        <f>C331*Scoring!$B$34+D331/Scoring!$C$34+E331*Scoring!$D$34+WR!F331*Scoring!$E$34+WR!G331/Scoring!$F$34+WR!H331*Scoring!$G$34+WR!I331*Scoring!$H$34+K331*Scoring!$I$34+WR!L331*Scoring!$J$34+U330</f>
        <v>53.179999999999993</v>
      </c>
      <c r="P330" s="20">
        <f>IF(COUNTIF(Rookies!$A:$A,A330)&gt;0,1,0)</f>
        <v>0</v>
      </c>
      <c r="S330" s="20">
        <f>V330/17</f>
        <v>3.1282352941176468</v>
      </c>
      <c r="T330" s="20">
        <f>IF(P330=1,MAX(0,0.28*(12-S330)),0)</f>
        <v>0</v>
      </c>
      <c r="U330" s="20">
        <f>T330*17</f>
        <v>0</v>
      </c>
      <c r="V330" s="20">
        <f>C330*Scoring!$B$34+D330/Scoring!$C$34+E330*Scoring!$D$34+WR!F330*Scoring!$E$34+WR!G330/Scoring!$F$34+WR!H330*Scoring!$G$34+WR!I330*Scoring!$H$34+K330*Scoring!$I$34+WR!L330*Scoring!$J$34</f>
        <v>53.179999999999993</v>
      </c>
    </row>
    <row r="331" spans="1:22" ht="14.25" customHeight="1" x14ac:dyDescent="0.3">
      <c r="B331" t="s">
        <v>472</v>
      </c>
      <c r="C331">
        <v>21.5</v>
      </c>
      <c r="D331">
        <v>308.39999999999998</v>
      </c>
      <c r="E331">
        <v>1.7</v>
      </c>
      <c r="F331">
        <v>2.2000000000000002</v>
      </c>
      <c r="G331">
        <v>11.9</v>
      </c>
      <c r="H331">
        <v>0.1</v>
      </c>
      <c r="I331">
        <v>0.2</v>
      </c>
      <c r="J331">
        <v>53</v>
      </c>
      <c r="K331" s="64">
        <f t="shared" si="10"/>
        <v>0.73748911465892597</v>
      </c>
      <c r="L331" s="64">
        <f t="shared" si="11"/>
        <v>15.168391608391607</v>
      </c>
      <c r="M331" s="67"/>
      <c r="N331" s="67"/>
      <c r="O331" s="67"/>
    </row>
    <row r="332" spans="1:22" ht="14.25" customHeight="1" x14ac:dyDescent="0.3">
      <c r="B332" t="s">
        <v>473</v>
      </c>
      <c r="C332">
        <v>21.5</v>
      </c>
      <c r="D332">
        <v>308.39999999999998</v>
      </c>
      <c r="E332">
        <v>1.7</v>
      </c>
      <c r="F332">
        <v>2.2000000000000002</v>
      </c>
      <c r="G332">
        <v>11.9</v>
      </c>
      <c r="H332">
        <v>0.1</v>
      </c>
      <c r="I332">
        <v>0.2</v>
      </c>
      <c r="J332">
        <v>53</v>
      </c>
      <c r="K332" s="64">
        <f t="shared" si="10"/>
        <v>0.73748911465892597</v>
      </c>
      <c r="L332" s="64">
        <f t="shared" si="11"/>
        <v>15.168391608391607</v>
      </c>
      <c r="M332" s="67"/>
      <c r="N332" s="67"/>
      <c r="O332" s="67"/>
    </row>
    <row r="333" spans="1:22" ht="14.25" customHeight="1" x14ac:dyDescent="0.3">
      <c r="A333" t="s">
        <v>822</v>
      </c>
      <c r="B333" t="s">
        <v>531</v>
      </c>
      <c r="C333">
        <v>27.7</v>
      </c>
      <c r="D333">
        <v>315.2</v>
      </c>
      <c r="E333">
        <v>1.2</v>
      </c>
      <c r="F333">
        <v>0</v>
      </c>
      <c r="G333">
        <v>0</v>
      </c>
      <c r="H333">
        <v>0</v>
      </c>
      <c r="I333">
        <v>0.3</v>
      </c>
      <c r="J333">
        <v>51.9</v>
      </c>
      <c r="K333" s="64">
        <f t="shared" si="10"/>
        <v>0</v>
      </c>
      <c r="L333" s="64">
        <f t="shared" si="11"/>
        <v>15.502843822843824</v>
      </c>
      <c r="M333" s="66">
        <f>C335*Scoring!$B$34+D335/Scoring!$C$34+E335*Scoring!$D$34+WR!F335*Scoring!$E$34+WR!G335/Scoring!$F$34+WR!H335*Scoring!$G$34+WR!I335*Scoring!$H$34+K335*Scoring!$I$34+WR!L335*Scoring!$J$34+U333</f>
        <v>51.969999999999992</v>
      </c>
      <c r="N333" s="66">
        <f>C333*Scoring!$B$34+D333/Scoring!$C$34+E333*Scoring!$D$34+WR!F333*Scoring!$E$34+WR!G333/Scoring!$F$34+WR!H333*Scoring!$G$34+WR!I333*Scoring!$H$34+K333*Scoring!$I$34+WR!L333*Scoring!$J$34+U333</f>
        <v>51.969999999999992</v>
      </c>
      <c r="O333" s="66">
        <f>C334*Scoring!$B$34+D334/Scoring!$C$34+E334*Scoring!$D$34+WR!F334*Scoring!$E$34+WR!G334/Scoring!$F$34+WR!H334*Scoring!$G$34+WR!I334*Scoring!$H$34+K334*Scoring!$I$34+WR!L334*Scoring!$J$34+U333</f>
        <v>51.969999999999992</v>
      </c>
      <c r="P333" s="20">
        <f>IF(COUNTIF(Rookies!$A:$A,A333)&gt;0,1,0)</f>
        <v>0</v>
      </c>
      <c r="S333" s="20">
        <f>V333/17</f>
        <v>3.0570588235294114</v>
      </c>
      <c r="T333" s="20">
        <f>IF(P333=1,MAX(0,0.28*(12-S333)),0)</f>
        <v>0</v>
      </c>
      <c r="U333" s="20">
        <f>T333*17</f>
        <v>0</v>
      </c>
      <c r="V333" s="20">
        <f>C333*Scoring!$B$34+D333/Scoring!$C$34+E333*Scoring!$D$34+WR!F333*Scoring!$E$34+WR!G333/Scoring!$F$34+WR!H333*Scoring!$G$34+WR!I333*Scoring!$H$34+K333*Scoring!$I$34+WR!L333*Scoring!$J$34</f>
        <v>51.969999999999992</v>
      </c>
    </row>
    <row r="334" spans="1:22" ht="14.25" customHeight="1" x14ac:dyDescent="0.3">
      <c r="B334" t="s">
        <v>472</v>
      </c>
      <c r="C334">
        <v>27.7</v>
      </c>
      <c r="D334">
        <v>315.2</v>
      </c>
      <c r="E334">
        <v>1.2</v>
      </c>
      <c r="F334">
        <v>0</v>
      </c>
      <c r="G334">
        <v>0</v>
      </c>
      <c r="H334">
        <v>0</v>
      </c>
      <c r="I334">
        <v>0.3</v>
      </c>
      <c r="J334">
        <v>52.1</v>
      </c>
      <c r="K334" s="64">
        <f t="shared" si="10"/>
        <v>0</v>
      </c>
      <c r="L334" s="64">
        <f t="shared" si="11"/>
        <v>15.502843822843824</v>
      </c>
      <c r="M334" s="67"/>
      <c r="N334" s="67"/>
      <c r="O334" s="67"/>
    </row>
    <row r="335" spans="1:22" ht="14.25" customHeight="1" x14ac:dyDescent="0.3">
      <c r="B335" t="s">
        <v>473</v>
      </c>
      <c r="C335">
        <v>27.7</v>
      </c>
      <c r="D335">
        <v>315.2</v>
      </c>
      <c r="E335">
        <v>1.2</v>
      </c>
      <c r="F335">
        <v>0</v>
      </c>
      <c r="G335">
        <v>0</v>
      </c>
      <c r="H335">
        <v>0</v>
      </c>
      <c r="I335">
        <v>0.3</v>
      </c>
      <c r="J335">
        <v>52.1</v>
      </c>
      <c r="K335" s="64">
        <f t="shared" si="10"/>
        <v>0</v>
      </c>
      <c r="L335" s="64">
        <f t="shared" si="11"/>
        <v>15.502843822843824</v>
      </c>
      <c r="M335" s="67"/>
      <c r="N335" s="67"/>
      <c r="O335" s="67"/>
    </row>
    <row r="336" spans="1:22" ht="14.25" customHeight="1" x14ac:dyDescent="0.3">
      <c r="A336" t="s">
        <v>825</v>
      </c>
      <c r="B336" t="s">
        <v>495</v>
      </c>
      <c r="C336">
        <v>17.600000000000001</v>
      </c>
      <c r="D336">
        <v>232.8</v>
      </c>
      <c r="E336">
        <v>2.7</v>
      </c>
      <c r="F336">
        <v>0.5</v>
      </c>
      <c r="G336">
        <v>3.5</v>
      </c>
      <c r="H336">
        <v>0</v>
      </c>
      <c r="I336">
        <v>0</v>
      </c>
      <c r="J336">
        <v>48.4</v>
      </c>
      <c r="K336" s="64">
        <f t="shared" si="10"/>
        <v>0.21690856313497825</v>
      </c>
      <c r="L336" s="64">
        <f t="shared" si="11"/>
        <v>11.450069930069931</v>
      </c>
      <c r="M336" s="66">
        <f>C338*Scoring!$B$34+D338/Scoring!$C$34+E338*Scoring!$D$34+WR!F338*Scoring!$E$34+WR!G338/Scoring!$F$34+WR!H338*Scoring!$G$34+WR!I338*Scoring!$H$34+K338*Scoring!$I$34+WR!L338*Scoring!$J$34+U336</f>
        <v>6.97</v>
      </c>
      <c r="N336" s="66">
        <f>C336*Scoring!$B$34+D336/Scoring!$C$34+E336*Scoring!$D$34+WR!F336*Scoring!$E$34+WR!G336/Scoring!$F$34+WR!H336*Scoring!$G$34+WR!I336*Scoring!$H$34+K336*Scoring!$I$34+WR!L336*Scoring!$J$34+U336</f>
        <v>48.63</v>
      </c>
      <c r="O336" s="66">
        <f>C337*Scoring!$B$34+D337/Scoring!$C$34+E337*Scoring!$D$34+WR!F337*Scoring!$E$34+WR!G337/Scoring!$F$34+WR!H337*Scoring!$G$34+WR!I337*Scoring!$H$34+K337*Scoring!$I$34+WR!L337*Scoring!$J$34+U336</f>
        <v>89.7</v>
      </c>
      <c r="P336" s="20">
        <f>IF(COUNTIF(Rookies!$A:$A,A336)&gt;0,1,0)</f>
        <v>0</v>
      </c>
      <c r="S336" s="20">
        <f>V336/17</f>
        <v>2.8605882352941179</v>
      </c>
      <c r="T336" s="20">
        <f>IF(P336=1,MAX(0,0.28*(12-S336)),0)</f>
        <v>0</v>
      </c>
      <c r="U336" s="20">
        <f>T336*17</f>
        <v>0</v>
      </c>
      <c r="V336" s="20">
        <f>C336*Scoring!$B$34+D336/Scoring!$C$34+E336*Scoring!$D$34+WR!F336*Scoring!$E$34+WR!G336/Scoring!$F$34+WR!H336*Scoring!$G$34+WR!I336*Scoring!$H$34+K336*Scoring!$I$34+WR!L336*Scoring!$J$34</f>
        <v>48.63</v>
      </c>
    </row>
    <row r="337" spans="1:22" ht="14.25" customHeight="1" x14ac:dyDescent="0.3">
      <c r="B337" t="s">
        <v>472</v>
      </c>
      <c r="C337">
        <v>32</v>
      </c>
      <c r="D337">
        <v>430</v>
      </c>
      <c r="E337">
        <v>5</v>
      </c>
      <c r="F337">
        <v>1</v>
      </c>
      <c r="G337">
        <v>7</v>
      </c>
      <c r="H337">
        <v>0</v>
      </c>
      <c r="I337">
        <v>0</v>
      </c>
      <c r="J337">
        <v>73.8</v>
      </c>
      <c r="K337" s="64">
        <f t="shared" si="10"/>
        <v>0.4338171262699565</v>
      </c>
      <c r="L337" s="64">
        <f t="shared" si="11"/>
        <v>21.149184149184151</v>
      </c>
      <c r="M337" s="67"/>
      <c r="N337" s="67"/>
      <c r="O337" s="67"/>
    </row>
    <row r="338" spans="1:22" ht="14.25" customHeight="1" x14ac:dyDescent="0.3">
      <c r="B338" t="s">
        <v>473</v>
      </c>
      <c r="C338">
        <v>3.2</v>
      </c>
      <c r="D338">
        <v>35.700000000000003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14.3</v>
      </c>
      <c r="K338" s="64">
        <f t="shared" si="10"/>
        <v>0</v>
      </c>
      <c r="L338" s="64">
        <f t="shared" si="11"/>
        <v>1.7558741258741257</v>
      </c>
      <c r="M338" s="67"/>
      <c r="N338" s="67"/>
      <c r="O338" s="67"/>
    </row>
    <row r="339" spans="1:22" ht="14.25" customHeight="1" x14ac:dyDescent="0.3">
      <c r="A339" t="s">
        <v>829</v>
      </c>
      <c r="B339" t="s">
        <v>487</v>
      </c>
      <c r="C339">
        <v>19.3</v>
      </c>
      <c r="D339">
        <v>275.89999999999998</v>
      </c>
      <c r="E339">
        <v>1.8</v>
      </c>
      <c r="F339">
        <v>0.5</v>
      </c>
      <c r="G339">
        <v>2.5</v>
      </c>
      <c r="H339">
        <v>0</v>
      </c>
      <c r="I339">
        <v>0</v>
      </c>
      <c r="J339">
        <v>48.2</v>
      </c>
      <c r="K339" s="64">
        <f t="shared" si="10"/>
        <v>0.15493468795355589</v>
      </c>
      <c r="L339" s="64">
        <f t="shared" si="11"/>
        <v>13.569906759906759</v>
      </c>
      <c r="M339" s="66">
        <f>C341*Scoring!$B$34+D341/Scoring!$C$34+E341*Scoring!$D$34+WR!F341*Scoring!$E$34+WR!G341/Scoring!$F$34+WR!H341*Scoring!$G$34+WR!I341*Scoring!$H$34+K341*Scoring!$I$34+WR!L341*Scoring!$J$34+U339</f>
        <v>15.479999999999999</v>
      </c>
      <c r="N339" s="66">
        <f>C339*Scoring!$B$34+D339/Scoring!$C$34+E339*Scoring!$D$34+WR!F339*Scoring!$E$34+WR!G339/Scoring!$F$34+WR!H339*Scoring!$G$34+WR!I339*Scoring!$H$34+K339*Scoring!$I$34+WR!L339*Scoring!$J$34+U339</f>
        <v>48.289999999999992</v>
      </c>
      <c r="O339" s="66">
        <f>C340*Scoring!$B$34+D340/Scoring!$C$34+E340*Scoring!$D$34+WR!F340*Scoring!$E$34+WR!G340/Scoring!$F$34+WR!H340*Scoring!$G$34+WR!I340*Scoring!$H$34+K340*Scoring!$I$34+WR!L340*Scoring!$J$34+U339</f>
        <v>80.900000000000006</v>
      </c>
      <c r="P339" s="20">
        <f>IF(COUNTIF(Rookies!$A:$A,A339)&gt;0,1,0)</f>
        <v>0</v>
      </c>
      <c r="S339" s="20">
        <f>V339/17</f>
        <v>2.840588235294117</v>
      </c>
      <c r="T339" s="20">
        <f>IF(P339=1,MAX(0,0.28*(12-S339)),0)</f>
        <v>0</v>
      </c>
      <c r="U339" s="20">
        <f>T339*17</f>
        <v>0</v>
      </c>
      <c r="V339" s="20">
        <f>C339*Scoring!$B$34+D339/Scoring!$C$34+E339*Scoring!$D$34+WR!F339*Scoring!$E$34+WR!G339/Scoring!$F$34+WR!H339*Scoring!$G$34+WR!I339*Scoring!$H$34+K339*Scoring!$I$34+WR!L339*Scoring!$J$34</f>
        <v>48.289999999999992</v>
      </c>
    </row>
    <row r="340" spans="1:22" ht="14.25" customHeight="1" x14ac:dyDescent="0.3">
      <c r="B340" t="s">
        <v>472</v>
      </c>
      <c r="C340">
        <v>32</v>
      </c>
      <c r="D340">
        <v>464</v>
      </c>
      <c r="E340">
        <v>3</v>
      </c>
      <c r="F340">
        <v>1</v>
      </c>
      <c r="G340">
        <v>5</v>
      </c>
      <c r="H340">
        <v>0</v>
      </c>
      <c r="I340">
        <v>0</v>
      </c>
      <c r="J340">
        <v>65.599999999999994</v>
      </c>
      <c r="K340" s="64">
        <f t="shared" si="10"/>
        <v>0.30986937590711178</v>
      </c>
      <c r="L340" s="64">
        <f t="shared" si="11"/>
        <v>22.821445221445224</v>
      </c>
      <c r="M340" s="67"/>
      <c r="N340" s="67"/>
      <c r="O340" s="67"/>
    </row>
    <row r="341" spans="1:22" ht="14.25" customHeight="1" x14ac:dyDescent="0.3">
      <c r="B341" t="s">
        <v>473</v>
      </c>
      <c r="C341">
        <v>6.6</v>
      </c>
      <c r="D341">
        <v>87.8</v>
      </c>
      <c r="E341">
        <v>0.6</v>
      </c>
      <c r="F341">
        <v>0</v>
      </c>
      <c r="G341">
        <v>0</v>
      </c>
      <c r="H341">
        <v>0</v>
      </c>
      <c r="I341">
        <v>0.1</v>
      </c>
      <c r="J341">
        <v>22</v>
      </c>
      <c r="K341" s="64">
        <f t="shared" si="10"/>
        <v>0</v>
      </c>
      <c r="L341" s="64">
        <f t="shared" si="11"/>
        <v>4.3183682983682985</v>
      </c>
      <c r="M341" s="67"/>
      <c r="N341" s="67"/>
      <c r="O341" s="67"/>
    </row>
    <row r="342" spans="1:22" ht="14.25" customHeight="1" x14ac:dyDescent="0.3">
      <c r="A342" t="s">
        <v>850</v>
      </c>
      <c r="B342" t="s">
        <v>477</v>
      </c>
      <c r="C342">
        <v>21.5</v>
      </c>
      <c r="D342">
        <v>257.8</v>
      </c>
      <c r="E342">
        <v>1.6</v>
      </c>
      <c r="F342">
        <v>0</v>
      </c>
      <c r="G342">
        <v>0</v>
      </c>
      <c r="H342">
        <v>0</v>
      </c>
      <c r="I342">
        <v>0.2</v>
      </c>
      <c r="J342">
        <v>45.8</v>
      </c>
      <c r="K342" s="64">
        <f t="shared" si="10"/>
        <v>0</v>
      </c>
      <c r="L342" s="64">
        <f t="shared" si="11"/>
        <v>12.679673659673661</v>
      </c>
      <c r="M342" s="66">
        <f>C344*Scoring!$B$34+D344/Scoring!$C$34+E344*Scoring!$D$34+WR!F344*Scoring!$E$34+WR!G344/Scoring!$F$34+WR!H344*Scoring!$G$34+WR!I344*Scoring!$H$34+K344*Scoring!$I$34+WR!L344*Scoring!$J$34+U342</f>
        <v>45.730000000000004</v>
      </c>
      <c r="N342" s="66">
        <f>C342*Scoring!$B$34+D342/Scoring!$C$34+E342*Scoring!$D$34+WR!F342*Scoring!$E$34+WR!G342/Scoring!$F$34+WR!H342*Scoring!$G$34+WR!I342*Scoring!$H$34+K342*Scoring!$I$34+WR!L342*Scoring!$J$34+U342</f>
        <v>45.730000000000004</v>
      </c>
      <c r="O342" s="66">
        <f>C343*Scoring!$B$34+D343/Scoring!$C$34+E343*Scoring!$D$34+WR!F343*Scoring!$E$34+WR!G343/Scoring!$F$34+WR!H343*Scoring!$G$34+WR!I343*Scoring!$H$34+K343*Scoring!$I$34+WR!L343*Scoring!$J$34+U342</f>
        <v>45.730000000000004</v>
      </c>
      <c r="P342" s="20">
        <f>IF(COUNTIF(Rookies!$A:$A,A342)&gt;0,1,0)</f>
        <v>0</v>
      </c>
      <c r="S342" s="20">
        <f>V342/17</f>
        <v>2.6900000000000004</v>
      </c>
      <c r="T342" s="20">
        <f>IF(P342=1,MAX(0,0.28*(12-S342)),0)</f>
        <v>0</v>
      </c>
      <c r="U342" s="20">
        <f>T342*17</f>
        <v>0</v>
      </c>
      <c r="V342" s="20">
        <f>C342*Scoring!$B$34+D342/Scoring!$C$34+E342*Scoring!$D$34+WR!F342*Scoring!$E$34+WR!G342/Scoring!$F$34+WR!H342*Scoring!$G$34+WR!I342*Scoring!$H$34+K342*Scoring!$I$34+WR!L342*Scoring!$J$34</f>
        <v>45.730000000000004</v>
      </c>
    </row>
    <row r="343" spans="1:22" ht="14.25" customHeight="1" x14ac:dyDescent="0.3">
      <c r="B343" t="s">
        <v>472</v>
      </c>
      <c r="C343">
        <v>21.5</v>
      </c>
      <c r="D343">
        <v>257.8</v>
      </c>
      <c r="E343">
        <v>1.6</v>
      </c>
      <c r="F343">
        <v>0</v>
      </c>
      <c r="G343">
        <v>0</v>
      </c>
      <c r="H343">
        <v>0</v>
      </c>
      <c r="I343">
        <v>0.2</v>
      </c>
      <c r="J343">
        <v>45.9</v>
      </c>
      <c r="K343" s="64">
        <f t="shared" si="10"/>
        <v>0</v>
      </c>
      <c r="L343" s="64">
        <f t="shared" si="11"/>
        <v>12.679673659673661</v>
      </c>
      <c r="M343" s="67"/>
      <c r="N343" s="67"/>
      <c r="O343" s="67"/>
    </row>
    <row r="344" spans="1:22" ht="14.25" customHeight="1" x14ac:dyDescent="0.3">
      <c r="B344" t="s">
        <v>473</v>
      </c>
      <c r="C344">
        <v>21.5</v>
      </c>
      <c r="D344">
        <v>257.8</v>
      </c>
      <c r="E344">
        <v>1.6</v>
      </c>
      <c r="F344">
        <v>0</v>
      </c>
      <c r="G344">
        <v>0</v>
      </c>
      <c r="H344">
        <v>0</v>
      </c>
      <c r="I344">
        <v>0.2</v>
      </c>
      <c r="J344">
        <v>45.9</v>
      </c>
      <c r="K344" s="64">
        <f t="shared" si="10"/>
        <v>0</v>
      </c>
      <c r="L344" s="64">
        <f t="shared" si="11"/>
        <v>12.679673659673661</v>
      </c>
      <c r="M344" s="67"/>
      <c r="N344" s="67"/>
      <c r="O344" s="67"/>
    </row>
    <row r="345" spans="1:22" ht="14.25" customHeight="1" x14ac:dyDescent="0.3">
      <c r="A345" t="s">
        <v>770</v>
      </c>
      <c r="B345" t="s">
        <v>519</v>
      </c>
      <c r="C345">
        <v>19</v>
      </c>
      <c r="D345">
        <v>241.5</v>
      </c>
      <c r="E345">
        <v>1.5</v>
      </c>
      <c r="F345">
        <v>4.5</v>
      </c>
      <c r="G345">
        <v>20</v>
      </c>
      <c r="H345">
        <v>0</v>
      </c>
      <c r="I345">
        <v>0</v>
      </c>
      <c r="J345">
        <v>44.7</v>
      </c>
      <c r="K345" s="64">
        <f t="shared" si="10"/>
        <v>1.2394775036284471</v>
      </c>
      <c r="L345" s="64">
        <f t="shared" si="11"/>
        <v>11.877972027972028</v>
      </c>
      <c r="M345" s="66">
        <f>C347*Scoring!$B$34+D347/Scoring!$C$34+E347*Scoring!$D$34+WR!F347*Scoring!$E$34+WR!G347/Scoring!$F$34+WR!H347*Scoring!$G$34+WR!I347*Scoring!$H$34+K347*Scoring!$I$34+WR!L347*Scoring!$J$34+U345</f>
        <v>0</v>
      </c>
      <c r="N345" s="66">
        <f>C345*Scoring!$B$34+D345/Scoring!$C$34+E345*Scoring!$D$34+WR!F345*Scoring!$E$34+WR!G345/Scoring!$F$34+WR!H345*Scoring!$G$34+WR!I345*Scoring!$H$34+K345*Scoring!$I$34+WR!L345*Scoring!$J$34+U345</f>
        <v>44.65</v>
      </c>
      <c r="O345" s="66">
        <f>C346*Scoring!$B$34+D346/Scoring!$C$34+E346*Scoring!$D$34+WR!F346*Scoring!$E$34+WR!G346/Scoring!$F$34+WR!H346*Scoring!$G$34+WR!I346*Scoring!$H$34+K346*Scoring!$I$34+WR!L346*Scoring!$J$34+U345</f>
        <v>89.3</v>
      </c>
      <c r="P345" s="20">
        <f>IF(COUNTIF(Rookies!$A:$A,A345)&gt;0,1,0)</f>
        <v>0</v>
      </c>
      <c r="S345" s="20">
        <f>V345/17</f>
        <v>2.6264705882352941</v>
      </c>
      <c r="T345" s="20">
        <f>IF(P345=1,MAX(0,0.28*(12-S345)),0)</f>
        <v>0</v>
      </c>
      <c r="U345" s="20">
        <f>T345*17</f>
        <v>0</v>
      </c>
      <c r="V345" s="20">
        <f>C345*Scoring!$B$34+D345/Scoring!$C$34+E345*Scoring!$D$34+WR!F345*Scoring!$E$34+WR!G345/Scoring!$F$34+WR!H345*Scoring!$G$34+WR!I345*Scoring!$H$34+K345*Scoring!$I$34+WR!L345*Scoring!$J$34</f>
        <v>44.65</v>
      </c>
    </row>
    <row r="346" spans="1:22" ht="14.25" customHeight="1" x14ac:dyDescent="0.3">
      <c r="B346" t="s">
        <v>472</v>
      </c>
      <c r="C346">
        <v>38</v>
      </c>
      <c r="D346">
        <v>483</v>
      </c>
      <c r="E346">
        <v>3</v>
      </c>
      <c r="F346">
        <v>9</v>
      </c>
      <c r="G346">
        <v>40</v>
      </c>
      <c r="H346">
        <v>0</v>
      </c>
      <c r="I346">
        <v>0</v>
      </c>
      <c r="J346">
        <v>67.5</v>
      </c>
      <c r="K346" s="64">
        <f t="shared" si="10"/>
        <v>2.4789550072568942</v>
      </c>
      <c r="L346" s="64">
        <f t="shared" si="11"/>
        <v>23.755944055944056</v>
      </c>
      <c r="M346" s="67"/>
      <c r="N346" s="67"/>
      <c r="O346" s="67"/>
    </row>
    <row r="347" spans="1:22" ht="14.25" customHeight="1" x14ac:dyDescent="0.3">
      <c r="B347" t="s">
        <v>473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9.5</v>
      </c>
      <c r="K347" s="64">
        <f t="shared" si="10"/>
        <v>0</v>
      </c>
      <c r="L347" s="64">
        <f t="shared" si="11"/>
        <v>0</v>
      </c>
      <c r="M347" s="67"/>
      <c r="N347" s="67"/>
      <c r="O347" s="67"/>
    </row>
    <row r="348" spans="1:22" ht="14.25" customHeight="1" x14ac:dyDescent="0.3">
      <c r="A348" t="s">
        <v>802</v>
      </c>
      <c r="B348" t="s">
        <v>487</v>
      </c>
      <c r="C348">
        <v>21</v>
      </c>
      <c r="D348">
        <v>242.5</v>
      </c>
      <c r="E348">
        <v>1.5</v>
      </c>
      <c r="F348">
        <v>0</v>
      </c>
      <c r="G348">
        <v>0</v>
      </c>
      <c r="H348">
        <v>0</v>
      </c>
      <c r="I348">
        <v>0</v>
      </c>
      <c r="J348">
        <v>43.8</v>
      </c>
      <c r="K348" s="64">
        <f t="shared" si="10"/>
        <v>0</v>
      </c>
      <c r="L348" s="64">
        <f t="shared" si="11"/>
        <v>11.927156177156178</v>
      </c>
      <c r="M348" s="66">
        <f>C350*Scoring!$B$34+D350/Scoring!$C$34+E350*Scoring!$D$34+WR!F350*Scoring!$E$34+WR!G350/Scoring!$F$34+WR!H350*Scoring!$G$34+WR!I350*Scoring!$H$34+K350*Scoring!$I$34+WR!L350*Scoring!$J$34+U348</f>
        <v>0</v>
      </c>
      <c r="N348" s="66">
        <f>C348*Scoring!$B$34+D348/Scoring!$C$34+E348*Scoring!$D$34+WR!F348*Scoring!$E$34+WR!G348/Scoring!$F$34+WR!H348*Scoring!$G$34+WR!I348*Scoring!$H$34+K348*Scoring!$I$34+WR!L348*Scoring!$J$34+U348</f>
        <v>43.75</v>
      </c>
      <c r="O348" s="66">
        <f>C349*Scoring!$B$34+D349/Scoring!$C$34+E349*Scoring!$D$34+WR!F349*Scoring!$E$34+WR!G349/Scoring!$F$34+WR!H349*Scoring!$G$34+WR!I349*Scoring!$H$34+K349*Scoring!$I$34+WR!L349*Scoring!$J$34+U348</f>
        <v>87.5</v>
      </c>
      <c r="P348" s="20">
        <f>IF(COUNTIF(Rookies!$A:$A,A348)&gt;0,1,0)</f>
        <v>0</v>
      </c>
      <c r="S348" s="20">
        <f>V348/17</f>
        <v>2.5735294117647061</v>
      </c>
      <c r="T348" s="20">
        <f>IF(P348=1,MAX(0,0.28*(12-S348)),0)</f>
        <v>0</v>
      </c>
      <c r="U348" s="20">
        <f>T348*17</f>
        <v>0</v>
      </c>
      <c r="V348" s="20">
        <f>C348*Scoring!$B$34+D348/Scoring!$C$34+E348*Scoring!$D$34+WR!F348*Scoring!$E$34+WR!G348/Scoring!$F$34+WR!H348*Scoring!$G$34+WR!I348*Scoring!$H$34+K348*Scoring!$I$34+WR!L348*Scoring!$J$34</f>
        <v>43.75</v>
      </c>
    </row>
    <row r="349" spans="1:22" ht="14.25" customHeight="1" x14ac:dyDescent="0.3">
      <c r="B349" t="s">
        <v>472</v>
      </c>
      <c r="C349">
        <v>42</v>
      </c>
      <c r="D349">
        <v>485</v>
      </c>
      <c r="E349">
        <v>3</v>
      </c>
      <c r="F349">
        <v>0</v>
      </c>
      <c r="G349">
        <v>0</v>
      </c>
      <c r="H349">
        <v>0</v>
      </c>
      <c r="I349">
        <v>0</v>
      </c>
      <c r="J349">
        <v>68.5</v>
      </c>
      <c r="K349" s="64">
        <f t="shared" si="10"/>
        <v>0</v>
      </c>
      <c r="L349" s="64">
        <f t="shared" si="11"/>
        <v>23.854312354312356</v>
      </c>
      <c r="M349" s="67"/>
      <c r="N349" s="67"/>
      <c r="O349" s="67"/>
    </row>
    <row r="350" spans="1:22" ht="14.25" customHeight="1" x14ac:dyDescent="0.3">
      <c r="B350" t="s">
        <v>473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10.5</v>
      </c>
      <c r="K350" s="64">
        <f t="shared" si="10"/>
        <v>0</v>
      </c>
      <c r="L350" s="64">
        <f t="shared" si="11"/>
        <v>0</v>
      </c>
      <c r="M350" s="67"/>
      <c r="N350" s="67"/>
      <c r="O350" s="67"/>
    </row>
    <row r="351" spans="1:22" ht="14.25" customHeight="1" x14ac:dyDescent="0.3">
      <c r="A351" t="s">
        <v>836</v>
      </c>
      <c r="B351" t="s">
        <v>493</v>
      </c>
      <c r="C351">
        <v>19.399999999999999</v>
      </c>
      <c r="D351">
        <v>245</v>
      </c>
      <c r="E351">
        <v>1.5</v>
      </c>
      <c r="F351">
        <v>0</v>
      </c>
      <c r="G351">
        <v>0</v>
      </c>
      <c r="H351">
        <v>0</v>
      </c>
      <c r="I351">
        <v>0.2</v>
      </c>
      <c r="J351">
        <v>43</v>
      </c>
      <c r="K351" s="64">
        <f t="shared" si="10"/>
        <v>0</v>
      </c>
      <c r="L351" s="64">
        <f t="shared" si="11"/>
        <v>12.050116550116552</v>
      </c>
      <c r="M351" s="66">
        <f>C353*Scoring!$B$34+D353/Scoring!$C$34+E353*Scoring!$D$34+WR!F353*Scoring!$E$34+WR!G353/Scoring!$F$34+WR!H353*Scoring!$G$34+WR!I353*Scoring!$H$34+K353*Scoring!$I$34+WR!L353*Scoring!$J$34+U351</f>
        <v>87.936000000000007</v>
      </c>
      <c r="N351" s="66">
        <f>C351*Scoring!$B$34+D351/Scoring!$C$34+E351*Scoring!$D$34+WR!F351*Scoring!$E$34+WR!G351/Scoring!$F$34+WR!H351*Scoring!$G$34+WR!I351*Scoring!$H$34+K351*Scoring!$I$34+WR!L351*Scoring!$J$34+U351</f>
        <v>87.936000000000007</v>
      </c>
      <c r="O351" s="66">
        <f>C352*Scoring!$B$34+D352/Scoring!$C$34+E352*Scoring!$D$34+WR!F352*Scoring!$E$34+WR!G352/Scoring!$F$34+WR!H352*Scoring!$G$34+WR!I352*Scoring!$H$34+K352*Scoring!$I$34+WR!L352*Scoring!$J$34+U351</f>
        <v>87.936000000000007</v>
      </c>
      <c r="P351" s="20">
        <f>IF(COUNTIF(Rookies!$A:$A,A351)&gt;0,1,0)</f>
        <v>1</v>
      </c>
      <c r="S351" s="20">
        <f>V351/17</f>
        <v>2.5176470588235298</v>
      </c>
      <c r="T351" s="20">
        <f>IF(P351=1,MAX(0,0.28*(12-S351)),0)</f>
        <v>2.6550588235294121</v>
      </c>
      <c r="U351" s="20">
        <f>T351*17</f>
        <v>45.13600000000001</v>
      </c>
      <c r="V351" s="20">
        <f>C351*Scoring!$B$34+D351/Scoring!$C$34+E351*Scoring!$D$34+WR!F351*Scoring!$E$34+WR!G351/Scoring!$F$34+WR!H351*Scoring!$G$34+WR!I351*Scoring!$H$34+K351*Scoring!$I$34+WR!L351*Scoring!$J$34</f>
        <v>42.800000000000004</v>
      </c>
    </row>
    <row r="352" spans="1:22" ht="14.25" customHeight="1" x14ac:dyDescent="0.3">
      <c r="B352" t="s">
        <v>472</v>
      </c>
      <c r="C352">
        <v>19.399999999999999</v>
      </c>
      <c r="D352">
        <v>245</v>
      </c>
      <c r="E352">
        <v>1.5</v>
      </c>
      <c r="F352">
        <v>0</v>
      </c>
      <c r="G352">
        <v>0</v>
      </c>
      <c r="H352">
        <v>0</v>
      </c>
      <c r="I352">
        <v>0.2</v>
      </c>
      <c r="J352">
        <v>43.1</v>
      </c>
      <c r="K352" s="64">
        <f t="shared" si="10"/>
        <v>0</v>
      </c>
      <c r="L352" s="64">
        <f t="shared" si="11"/>
        <v>12.050116550116552</v>
      </c>
      <c r="M352" s="67"/>
      <c r="N352" s="67"/>
      <c r="O352" s="67"/>
    </row>
    <row r="353" spans="1:22" ht="14.25" customHeight="1" x14ac:dyDescent="0.3">
      <c r="B353" t="s">
        <v>473</v>
      </c>
      <c r="C353">
        <v>19.399999999999999</v>
      </c>
      <c r="D353">
        <v>245</v>
      </c>
      <c r="E353">
        <v>1.5</v>
      </c>
      <c r="F353">
        <v>0</v>
      </c>
      <c r="G353">
        <v>0</v>
      </c>
      <c r="H353">
        <v>0</v>
      </c>
      <c r="I353">
        <v>0.2</v>
      </c>
      <c r="J353">
        <v>43.1</v>
      </c>
      <c r="K353" s="64">
        <f t="shared" si="10"/>
        <v>0</v>
      </c>
      <c r="L353" s="64">
        <f t="shared" si="11"/>
        <v>12.050116550116552</v>
      </c>
      <c r="M353" s="67"/>
      <c r="N353" s="67"/>
      <c r="O353" s="67"/>
    </row>
    <row r="354" spans="1:22" ht="14.25" customHeight="1" x14ac:dyDescent="0.3">
      <c r="A354" t="s">
        <v>830</v>
      </c>
      <c r="B354" t="s">
        <v>479</v>
      </c>
      <c r="C354">
        <v>14.3</v>
      </c>
      <c r="D354">
        <v>221</v>
      </c>
      <c r="E354">
        <v>2.2999999999999998</v>
      </c>
      <c r="F354">
        <v>0</v>
      </c>
      <c r="G354">
        <v>0</v>
      </c>
      <c r="H354">
        <v>0</v>
      </c>
      <c r="I354">
        <v>0</v>
      </c>
      <c r="J354">
        <v>42.7</v>
      </c>
      <c r="K354" s="64">
        <f t="shared" si="10"/>
        <v>0</v>
      </c>
      <c r="L354" s="64">
        <f t="shared" si="11"/>
        <v>10.869696969696969</v>
      </c>
      <c r="M354" s="66">
        <f>C356*Scoring!$B$34+D356/Scoring!$C$34+E356*Scoring!$D$34+WR!F356*Scoring!$E$34+WR!G356/Scoring!$F$34+WR!H356*Scoring!$G$34+WR!I356*Scoring!$H$34+K356*Scoring!$I$34+WR!L356*Scoring!$J$34+U354</f>
        <v>14.16</v>
      </c>
      <c r="N354" s="66">
        <f>C354*Scoring!$B$34+D354/Scoring!$C$34+E354*Scoring!$D$34+WR!F354*Scoring!$E$34+WR!G354/Scoring!$F$34+WR!H354*Scoring!$G$34+WR!I354*Scoring!$H$34+K354*Scoring!$I$34+WR!L354*Scoring!$J$34+U354</f>
        <v>43.05</v>
      </c>
      <c r="O354" s="66">
        <f>C355*Scoring!$B$34+D355/Scoring!$C$34+E355*Scoring!$D$34+WR!F355*Scoring!$E$34+WR!G355/Scoring!$F$34+WR!H355*Scoring!$G$34+WR!I355*Scoring!$H$34+K355*Scoring!$I$34+WR!L355*Scoring!$J$34+U354</f>
        <v>71.2</v>
      </c>
      <c r="P354" s="20">
        <f>IF(COUNTIF(Rookies!$A:$A,A354)&gt;0,1,0)</f>
        <v>0</v>
      </c>
      <c r="S354" s="20">
        <f>V354/17</f>
        <v>2.5323529411764705</v>
      </c>
      <c r="T354" s="20">
        <f>IF(P354=1,MAX(0,0.28*(12-S354)),0)</f>
        <v>0</v>
      </c>
      <c r="U354" s="20">
        <f>T354*17</f>
        <v>0</v>
      </c>
      <c r="V354" s="20">
        <f>C354*Scoring!$B$34+D354/Scoring!$C$34+E354*Scoring!$D$34+WR!F354*Scoring!$E$34+WR!G354/Scoring!$F$34+WR!H354*Scoring!$G$34+WR!I354*Scoring!$H$34+K354*Scoring!$I$34+WR!L354*Scoring!$J$34</f>
        <v>43.05</v>
      </c>
    </row>
    <row r="355" spans="1:22" ht="14.25" customHeight="1" x14ac:dyDescent="0.3">
      <c r="B355" t="s">
        <v>472</v>
      </c>
      <c r="C355">
        <v>22</v>
      </c>
      <c r="D355">
        <v>362</v>
      </c>
      <c r="E355">
        <v>4</v>
      </c>
      <c r="F355">
        <v>0</v>
      </c>
      <c r="G355">
        <v>0</v>
      </c>
      <c r="H355">
        <v>0</v>
      </c>
      <c r="I355">
        <v>0</v>
      </c>
      <c r="J355">
        <v>60.2</v>
      </c>
      <c r="K355" s="64">
        <f t="shared" si="10"/>
        <v>0</v>
      </c>
      <c r="L355" s="64">
        <f t="shared" si="11"/>
        <v>17.804662004662006</v>
      </c>
      <c r="M355" s="67"/>
      <c r="N355" s="67"/>
      <c r="O355" s="67"/>
    </row>
    <row r="356" spans="1:22" ht="14.25" customHeight="1" x14ac:dyDescent="0.3">
      <c r="B356" t="s">
        <v>473</v>
      </c>
      <c r="C356">
        <v>6.7</v>
      </c>
      <c r="D356">
        <v>80.099999999999994</v>
      </c>
      <c r="E356">
        <v>0.5</v>
      </c>
      <c r="F356">
        <v>0</v>
      </c>
      <c r="G356">
        <v>0</v>
      </c>
      <c r="H356">
        <v>0</v>
      </c>
      <c r="I356">
        <v>0.1</v>
      </c>
      <c r="J356">
        <v>18.899999999999999</v>
      </c>
      <c r="K356" s="64">
        <f t="shared" si="10"/>
        <v>0</v>
      </c>
      <c r="L356" s="64">
        <f t="shared" si="11"/>
        <v>3.9396503496503494</v>
      </c>
      <c r="M356" s="67"/>
      <c r="N356" s="67"/>
      <c r="O356" s="67"/>
    </row>
    <row r="357" spans="1:22" ht="14.25" customHeight="1" x14ac:dyDescent="0.3">
      <c r="A357" t="s">
        <v>853</v>
      </c>
      <c r="B357" t="s">
        <v>477</v>
      </c>
      <c r="C357">
        <v>15.9</v>
      </c>
      <c r="D357">
        <v>229.7</v>
      </c>
      <c r="E357">
        <v>1.4</v>
      </c>
      <c r="F357">
        <v>4.0999999999999996</v>
      </c>
      <c r="G357">
        <v>22.4</v>
      </c>
      <c r="H357">
        <v>0.2</v>
      </c>
      <c r="I357">
        <v>0.2</v>
      </c>
      <c r="J357">
        <v>42.2</v>
      </c>
      <c r="K357" s="64">
        <f t="shared" si="10"/>
        <v>1.3882148040638607</v>
      </c>
      <c r="L357" s="64">
        <f t="shared" si="11"/>
        <v>11.297599067599069</v>
      </c>
      <c r="M357" s="66">
        <f>C359*Scoring!$B$34+D359/Scoring!$C$34+E359*Scoring!$D$34+WR!F359*Scoring!$E$34+WR!G359/Scoring!$F$34+WR!H359*Scoring!$G$34+WR!I359*Scoring!$H$34+K359*Scoring!$I$34+WR!L359*Scoring!$J$34+U357</f>
        <v>42.36</v>
      </c>
      <c r="N357" s="66">
        <f>C357*Scoring!$B$34+D357/Scoring!$C$34+E357*Scoring!$D$34+WR!F357*Scoring!$E$34+WR!G357/Scoring!$F$34+WR!H357*Scoring!$G$34+WR!I357*Scoring!$H$34+K357*Scoring!$I$34+WR!L357*Scoring!$J$34+U357</f>
        <v>42.36</v>
      </c>
      <c r="O357" s="66">
        <f>C358*Scoring!$B$34+D358/Scoring!$C$34+E358*Scoring!$D$34+WR!F358*Scoring!$E$34+WR!G358/Scoring!$F$34+WR!H358*Scoring!$G$34+WR!I358*Scoring!$H$34+K358*Scoring!$I$34+WR!L358*Scoring!$J$34+U357</f>
        <v>42.36</v>
      </c>
      <c r="P357" s="20">
        <f>IF(COUNTIF(Rookies!$A:$A,A357)&gt;0,1,0)</f>
        <v>0</v>
      </c>
      <c r="S357" s="20">
        <f>V357/17</f>
        <v>2.4917647058823529</v>
      </c>
      <c r="T357" s="20">
        <f>IF(P357=1,MAX(0,0.28*(12-S357)),0)</f>
        <v>0</v>
      </c>
      <c r="U357" s="20">
        <f>T357*17</f>
        <v>0</v>
      </c>
      <c r="V357" s="20">
        <f>C357*Scoring!$B$34+D357/Scoring!$C$34+E357*Scoring!$D$34+WR!F357*Scoring!$E$34+WR!G357/Scoring!$F$34+WR!H357*Scoring!$G$34+WR!I357*Scoring!$H$34+K357*Scoring!$I$34+WR!L357*Scoring!$J$34</f>
        <v>42.36</v>
      </c>
    </row>
    <row r="358" spans="1:22" ht="14.25" customHeight="1" x14ac:dyDescent="0.3">
      <c r="B358" t="s">
        <v>472</v>
      </c>
      <c r="C358">
        <v>15.9</v>
      </c>
      <c r="D358">
        <v>229.7</v>
      </c>
      <c r="E358">
        <v>1.4</v>
      </c>
      <c r="F358">
        <v>4.0999999999999996</v>
      </c>
      <c r="G358">
        <v>22.4</v>
      </c>
      <c r="H358">
        <v>0.2</v>
      </c>
      <c r="I358">
        <v>0.2</v>
      </c>
      <c r="J358">
        <v>42.8</v>
      </c>
      <c r="K358" s="64">
        <f t="shared" si="10"/>
        <v>1.3882148040638607</v>
      </c>
      <c r="L358" s="64">
        <f t="shared" si="11"/>
        <v>11.297599067599069</v>
      </c>
      <c r="M358" s="67"/>
      <c r="N358" s="67"/>
      <c r="O358" s="67"/>
    </row>
    <row r="359" spans="1:22" ht="14.25" customHeight="1" x14ac:dyDescent="0.3">
      <c r="B359" t="s">
        <v>473</v>
      </c>
      <c r="C359">
        <v>15.9</v>
      </c>
      <c r="D359">
        <v>229.7</v>
      </c>
      <c r="E359">
        <v>1.4</v>
      </c>
      <c r="F359">
        <v>4.0999999999999996</v>
      </c>
      <c r="G359">
        <v>22.4</v>
      </c>
      <c r="H359">
        <v>0.2</v>
      </c>
      <c r="I359">
        <v>0.2</v>
      </c>
      <c r="J359">
        <v>42.8</v>
      </c>
      <c r="K359" s="64">
        <f t="shared" si="10"/>
        <v>1.3882148040638607</v>
      </c>
      <c r="L359" s="64">
        <f t="shared" si="11"/>
        <v>11.297599067599069</v>
      </c>
      <c r="M359" s="67"/>
      <c r="N359" s="67"/>
      <c r="O359" s="67"/>
    </row>
    <row r="360" spans="1:22" ht="14.25" customHeight="1" x14ac:dyDescent="0.3">
      <c r="A360" t="s">
        <v>1480</v>
      </c>
      <c r="B360" t="s">
        <v>497</v>
      </c>
      <c r="C360">
        <v>16</v>
      </c>
      <c r="D360">
        <v>233</v>
      </c>
      <c r="E360">
        <v>1.3</v>
      </c>
      <c r="F360">
        <v>0</v>
      </c>
      <c r="G360">
        <v>0</v>
      </c>
      <c r="H360">
        <v>0</v>
      </c>
      <c r="I360">
        <v>0</v>
      </c>
      <c r="J360">
        <v>39.1</v>
      </c>
      <c r="K360" s="64">
        <f t="shared" si="10"/>
        <v>0</v>
      </c>
      <c r="L360" s="64">
        <f t="shared" si="11"/>
        <v>11.45990675990676</v>
      </c>
      <c r="M360" s="66">
        <f>C362*Scoring!$B$34+D362/Scoring!$C$34+E362*Scoring!$D$34+WR!F362*Scoring!$E$34+WR!G362/Scoring!$F$34+WR!H362*Scoring!$G$34+WR!I362*Scoring!$H$34+K362*Scoring!$I$34+WR!L362*Scoring!$J$34+U360</f>
        <v>39.1</v>
      </c>
      <c r="N360" s="66">
        <f>C360*Scoring!$B$34+D360/Scoring!$C$34+E360*Scoring!$D$34+WR!F360*Scoring!$E$34+WR!G360/Scoring!$F$34+WR!H360*Scoring!$G$34+WR!I360*Scoring!$H$34+K360*Scoring!$I$34+WR!L360*Scoring!$J$34+U360</f>
        <v>39.1</v>
      </c>
      <c r="O360" s="66">
        <f>C361*Scoring!$B$34+D361/Scoring!$C$34+E361*Scoring!$D$34+WR!F361*Scoring!$E$34+WR!G361/Scoring!$F$34+WR!H361*Scoring!$G$34+WR!I361*Scoring!$H$34+K361*Scoring!$I$34+WR!L361*Scoring!$J$34+U360</f>
        <v>39.1</v>
      </c>
      <c r="P360" s="20">
        <f>IF(COUNTIF(Rookies!$A:$A,A360)&gt;0,1,0)</f>
        <v>0</v>
      </c>
      <c r="S360" s="20">
        <f>V360/17</f>
        <v>2.3000000000000003</v>
      </c>
      <c r="T360" s="20">
        <f>IF(P360=1,MAX(0,0.28*(12-S360)),0)</f>
        <v>0</v>
      </c>
      <c r="U360" s="20">
        <f>T360*17</f>
        <v>0</v>
      </c>
      <c r="V360" s="20">
        <f>C360*Scoring!$B$34+D360/Scoring!$C$34+E360*Scoring!$D$34+WR!F360*Scoring!$E$34+WR!G360/Scoring!$F$34+WR!H360*Scoring!$G$34+WR!I360*Scoring!$H$34+K360*Scoring!$I$34+WR!L360*Scoring!$J$34</f>
        <v>39.1</v>
      </c>
    </row>
    <row r="361" spans="1:22" ht="14.25" customHeight="1" x14ac:dyDescent="0.3">
      <c r="B361" t="s">
        <v>472</v>
      </c>
      <c r="C361">
        <v>16</v>
      </c>
      <c r="D361">
        <v>233</v>
      </c>
      <c r="E361">
        <v>1.3</v>
      </c>
      <c r="F361">
        <v>0</v>
      </c>
      <c r="G361">
        <v>0</v>
      </c>
      <c r="H361">
        <v>0</v>
      </c>
      <c r="I361">
        <v>0</v>
      </c>
      <c r="J361">
        <v>39.1</v>
      </c>
      <c r="K361" s="64">
        <f t="shared" si="10"/>
        <v>0</v>
      </c>
      <c r="L361" s="64">
        <f t="shared" si="11"/>
        <v>11.45990675990676</v>
      </c>
      <c r="M361" s="67"/>
      <c r="N361" s="67"/>
      <c r="O361" s="67"/>
    </row>
    <row r="362" spans="1:22" ht="14.25" customHeight="1" x14ac:dyDescent="0.3">
      <c r="B362" t="s">
        <v>473</v>
      </c>
      <c r="C362">
        <v>16</v>
      </c>
      <c r="D362">
        <v>233</v>
      </c>
      <c r="E362">
        <v>1.3</v>
      </c>
      <c r="F362">
        <v>0</v>
      </c>
      <c r="G362">
        <v>0</v>
      </c>
      <c r="H362">
        <v>0</v>
      </c>
      <c r="I362">
        <v>0</v>
      </c>
      <c r="J362">
        <v>39.1</v>
      </c>
      <c r="K362" s="64">
        <f t="shared" si="10"/>
        <v>0</v>
      </c>
      <c r="L362" s="64">
        <f t="shared" si="11"/>
        <v>11.45990675990676</v>
      </c>
      <c r="M362" s="67"/>
      <c r="N362" s="67"/>
      <c r="O362" s="67"/>
    </row>
    <row r="363" spans="1:22" ht="14.25" customHeight="1" x14ac:dyDescent="0.3">
      <c r="A363" t="s">
        <v>831</v>
      </c>
      <c r="B363" t="s">
        <v>527</v>
      </c>
      <c r="C363">
        <v>22.8</v>
      </c>
      <c r="D363">
        <v>239.1</v>
      </c>
      <c r="E363">
        <v>0.7</v>
      </c>
      <c r="F363">
        <v>0</v>
      </c>
      <c r="G363">
        <v>0</v>
      </c>
      <c r="H363">
        <v>0</v>
      </c>
      <c r="I363">
        <v>0.2</v>
      </c>
      <c r="J363">
        <v>38.799999999999997</v>
      </c>
      <c r="K363" s="64">
        <f t="shared" si="10"/>
        <v>0</v>
      </c>
      <c r="L363" s="64">
        <f t="shared" si="11"/>
        <v>11.75993006993007</v>
      </c>
      <c r="M363" s="66">
        <f>C365*Scoring!$B$34+D365/Scoring!$C$34+E365*Scoring!$D$34+WR!F365*Scoring!$E$34+WR!G365/Scoring!$F$34+WR!H365*Scoring!$G$34+WR!I365*Scoring!$H$34+K365*Scoring!$I$34+WR!L365*Scoring!$J$34+U363</f>
        <v>39.110000000000007</v>
      </c>
      <c r="N363" s="66">
        <f>C363*Scoring!$B$34+D363/Scoring!$C$34+E363*Scoring!$D$34+WR!F363*Scoring!$E$34+WR!G363/Scoring!$F$34+WR!H363*Scoring!$G$34+WR!I363*Scoring!$H$34+K363*Scoring!$I$34+WR!L363*Scoring!$J$34+U363</f>
        <v>39.110000000000007</v>
      </c>
      <c r="O363" s="66">
        <f>C364*Scoring!$B$34+D364/Scoring!$C$34+E364*Scoring!$D$34+WR!F364*Scoring!$E$34+WR!G364/Scoring!$F$34+WR!H364*Scoring!$G$34+WR!I364*Scoring!$H$34+K364*Scoring!$I$34+WR!L364*Scoring!$J$34+U363</f>
        <v>39.110000000000007</v>
      </c>
      <c r="P363" s="20">
        <f>IF(COUNTIF(Rookies!$A:$A,A363)&gt;0,1,0)</f>
        <v>0</v>
      </c>
      <c r="S363" s="20">
        <f>V363/17</f>
        <v>2.3005882352941178</v>
      </c>
      <c r="T363" s="20">
        <f>IF(P363=1,MAX(0,0.28*(12-S363)),0)</f>
        <v>0</v>
      </c>
      <c r="U363" s="20">
        <f>T363*17</f>
        <v>0</v>
      </c>
      <c r="V363" s="20">
        <f>C363*Scoring!$B$34+D363/Scoring!$C$34+E363*Scoring!$D$34+WR!F363*Scoring!$E$34+WR!G363/Scoring!$F$34+WR!H363*Scoring!$G$34+WR!I363*Scoring!$H$34+K363*Scoring!$I$34+WR!L363*Scoring!$J$34</f>
        <v>39.110000000000007</v>
      </c>
    </row>
    <row r="364" spans="1:22" ht="14.25" customHeight="1" x14ac:dyDescent="0.3">
      <c r="B364" t="s">
        <v>472</v>
      </c>
      <c r="C364">
        <v>22.8</v>
      </c>
      <c r="D364">
        <v>239.1</v>
      </c>
      <c r="E364">
        <v>0.7</v>
      </c>
      <c r="F364">
        <v>0</v>
      </c>
      <c r="G364">
        <v>0</v>
      </c>
      <c r="H364">
        <v>0</v>
      </c>
      <c r="I364">
        <v>0.2</v>
      </c>
      <c r="J364">
        <v>38.9</v>
      </c>
      <c r="K364" s="64">
        <f t="shared" si="10"/>
        <v>0</v>
      </c>
      <c r="L364" s="64">
        <f t="shared" si="11"/>
        <v>11.75993006993007</v>
      </c>
      <c r="M364" s="67"/>
      <c r="N364" s="67"/>
      <c r="O364" s="67"/>
    </row>
    <row r="365" spans="1:22" ht="14.25" customHeight="1" x14ac:dyDescent="0.3">
      <c r="B365" t="s">
        <v>473</v>
      </c>
      <c r="C365">
        <v>22.8</v>
      </c>
      <c r="D365">
        <v>239.1</v>
      </c>
      <c r="E365">
        <v>0.7</v>
      </c>
      <c r="F365">
        <v>0</v>
      </c>
      <c r="G365">
        <v>0</v>
      </c>
      <c r="H365">
        <v>0</v>
      </c>
      <c r="I365">
        <v>0.2</v>
      </c>
      <c r="J365">
        <v>38.9</v>
      </c>
      <c r="K365" s="64">
        <f t="shared" si="10"/>
        <v>0</v>
      </c>
      <c r="L365" s="64">
        <f t="shared" si="11"/>
        <v>11.75993006993007</v>
      </c>
      <c r="M365" s="67"/>
      <c r="N365" s="67"/>
      <c r="O365" s="67"/>
    </row>
    <row r="366" spans="1:22" ht="14.25" customHeight="1" x14ac:dyDescent="0.3">
      <c r="A366" t="s">
        <v>832</v>
      </c>
      <c r="B366" t="s">
        <v>479</v>
      </c>
      <c r="C366">
        <v>15.8</v>
      </c>
      <c r="D366">
        <v>216.5</v>
      </c>
      <c r="E366">
        <v>1.6</v>
      </c>
      <c r="F366">
        <v>0</v>
      </c>
      <c r="G366">
        <v>0</v>
      </c>
      <c r="H366">
        <v>0</v>
      </c>
      <c r="I366">
        <v>0.2</v>
      </c>
      <c r="J366">
        <v>38.700000000000003</v>
      </c>
      <c r="K366" s="64">
        <f t="shared" si="10"/>
        <v>0</v>
      </c>
      <c r="L366" s="64">
        <f t="shared" si="11"/>
        <v>10.648368298368299</v>
      </c>
      <c r="M366" s="66">
        <f>C368*Scoring!$B$34+D368/Scoring!$C$34+E368*Scoring!$D$34+WR!F368*Scoring!$E$34+WR!G368/Scoring!$F$34+WR!H368*Scoring!$G$34+WR!I368*Scoring!$H$34+K368*Scoring!$I$34+WR!L368*Scoring!$J$34+U366</f>
        <v>38.75</v>
      </c>
      <c r="N366" s="66">
        <f>C366*Scoring!$B$34+D366/Scoring!$C$34+E366*Scoring!$D$34+WR!F366*Scoring!$E$34+WR!G366/Scoring!$F$34+WR!H366*Scoring!$G$34+WR!I366*Scoring!$H$34+K366*Scoring!$I$34+WR!L366*Scoring!$J$34+U366</f>
        <v>38.75</v>
      </c>
      <c r="O366" s="66">
        <f>C367*Scoring!$B$34+D367/Scoring!$C$34+E367*Scoring!$D$34+WR!F367*Scoring!$E$34+WR!G367/Scoring!$F$34+WR!H367*Scoring!$G$34+WR!I367*Scoring!$H$34+K367*Scoring!$I$34+WR!L367*Scoring!$J$34+U366</f>
        <v>38.75</v>
      </c>
      <c r="P366" s="20">
        <f>IF(COUNTIF(Rookies!$A:$A,A366)&gt;0,1,0)</f>
        <v>0</v>
      </c>
      <c r="S366" s="20">
        <f>V366/17</f>
        <v>2.2794117647058822</v>
      </c>
      <c r="T366" s="20">
        <f>IF(P366=1,MAX(0,0.28*(12-S366)),0)</f>
        <v>0</v>
      </c>
      <c r="U366" s="20">
        <f>T366*17</f>
        <v>0</v>
      </c>
      <c r="V366" s="20">
        <f>C366*Scoring!$B$34+D366/Scoring!$C$34+E366*Scoring!$D$34+WR!F366*Scoring!$E$34+WR!G366/Scoring!$F$34+WR!H366*Scoring!$G$34+WR!I366*Scoring!$H$34+K366*Scoring!$I$34+WR!L366*Scoring!$J$34</f>
        <v>38.75</v>
      </c>
    </row>
    <row r="367" spans="1:22" ht="14.25" customHeight="1" x14ac:dyDescent="0.3">
      <c r="B367" t="s">
        <v>472</v>
      </c>
      <c r="C367">
        <v>15.8</v>
      </c>
      <c r="D367">
        <v>216.5</v>
      </c>
      <c r="E367">
        <v>1.6</v>
      </c>
      <c r="F367">
        <v>0</v>
      </c>
      <c r="G367">
        <v>0</v>
      </c>
      <c r="H367">
        <v>0</v>
      </c>
      <c r="I367">
        <v>0.2</v>
      </c>
      <c r="J367">
        <v>39</v>
      </c>
      <c r="K367" s="64">
        <f t="shared" si="10"/>
        <v>0</v>
      </c>
      <c r="L367" s="64">
        <f t="shared" si="11"/>
        <v>10.648368298368299</v>
      </c>
      <c r="M367" s="67"/>
      <c r="N367" s="67"/>
      <c r="O367" s="67"/>
    </row>
    <row r="368" spans="1:22" ht="14.25" customHeight="1" x14ac:dyDescent="0.3">
      <c r="B368" t="s">
        <v>473</v>
      </c>
      <c r="C368">
        <v>15.8</v>
      </c>
      <c r="D368">
        <v>216.5</v>
      </c>
      <c r="E368">
        <v>1.6</v>
      </c>
      <c r="F368">
        <v>0</v>
      </c>
      <c r="G368">
        <v>0</v>
      </c>
      <c r="H368">
        <v>0</v>
      </c>
      <c r="I368">
        <v>0.2</v>
      </c>
      <c r="J368">
        <v>39</v>
      </c>
      <c r="K368" s="64">
        <f t="shared" si="10"/>
        <v>0</v>
      </c>
      <c r="L368" s="64">
        <f t="shared" si="11"/>
        <v>10.648368298368299</v>
      </c>
      <c r="M368" s="67"/>
      <c r="N368" s="67"/>
      <c r="O368" s="67"/>
    </row>
    <row r="369" spans="1:22" ht="14.25" customHeight="1" x14ac:dyDescent="0.3">
      <c r="A369" t="s">
        <v>833</v>
      </c>
      <c r="B369" t="s">
        <v>479</v>
      </c>
      <c r="C369">
        <v>15</v>
      </c>
      <c r="D369">
        <v>217.3</v>
      </c>
      <c r="E369">
        <v>1.4</v>
      </c>
      <c r="F369">
        <v>0</v>
      </c>
      <c r="G369">
        <v>0</v>
      </c>
      <c r="H369">
        <v>0</v>
      </c>
      <c r="I369">
        <v>0.1</v>
      </c>
      <c r="J369">
        <v>37.1</v>
      </c>
      <c r="K369" s="64">
        <f t="shared" si="10"/>
        <v>0</v>
      </c>
      <c r="L369" s="64">
        <f t="shared" si="11"/>
        <v>10.687715617715622</v>
      </c>
      <c r="M369" s="66">
        <f>C371*Scoring!$B$34+D371/Scoring!$C$34+E371*Scoring!$D$34+WR!F371*Scoring!$E$34+WR!G371/Scoring!$F$34+WR!H371*Scoring!$G$34+WR!I371*Scoring!$H$34+K371*Scoring!$I$34+WR!L371*Scoring!$J$34+U369</f>
        <v>37.429999999999993</v>
      </c>
      <c r="N369" s="66">
        <f>C369*Scoring!$B$34+D369/Scoring!$C$34+E369*Scoring!$D$34+WR!F369*Scoring!$E$34+WR!G369/Scoring!$F$34+WR!H369*Scoring!$G$34+WR!I369*Scoring!$H$34+K369*Scoring!$I$34+WR!L369*Scoring!$J$34+U369</f>
        <v>37.429999999999993</v>
      </c>
      <c r="O369" s="66">
        <f>C370*Scoring!$B$34+D370/Scoring!$C$34+E370*Scoring!$D$34+WR!F370*Scoring!$E$34+WR!G370/Scoring!$F$34+WR!H370*Scoring!$G$34+WR!I370*Scoring!$H$34+K370*Scoring!$I$34+WR!L370*Scoring!$J$34+U369</f>
        <v>37.429999999999993</v>
      </c>
      <c r="P369" s="20">
        <f>IF(COUNTIF(Rookies!$A:$A,A369)&gt;0,1,0)</f>
        <v>0</v>
      </c>
      <c r="S369" s="20">
        <f>V369/17</f>
        <v>2.2017647058823524</v>
      </c>
      <c r="T369" s="20">
        <f>IF(P369=1,MAX(0,0.28*(12-S369)),0)</f>
        <v>0</v>
      </c>
      <c r="U369" s="20">
        <f>T369*17</f>
        <v>0</v>
      </c>
      <c r="V369" s="20">
        <f>C369*Scoring!$B$34+D369/Scoring!$C$34+E369*Scoring!$D$34+WR!F369*Scoring!$E$34+WR!G369/Scoring!$F$34+WR!H369*Scoring!$G$34+WR!I369*Scoring!$H$34+K369*Scoring!$I$34+WR!L369*Scoring!$J$34</f>
        <v>37.429999999999993</v>
      </c>
    </row>
    <row r="370" spans="1:22" ht="14.25" customHeight="1" x14ac:dyDescent="0.3">
      <c r="B370" t="s">
        <v>472</v>
      </c>
      <c r="C370">
        <v>15</v>
      </c>
      <c r="D370">
        <v>217.3</v>
      </c>
      <c r="E370">
        <v>1.4</v>
      </c>
      <c r="F370">
        <v>0</v>
      </c>
      <c r="G370">
        <v>0</v>
      </c>
      <c r="H370">
        <v>0</v>
      </c>
      <c r="I370">
        <v>0.1</v>
      </c>
      <c r="J370">
        <v>37.4</v>
      </c>
      <c r="K370" s="64">
        <f t="shared" si="10"/>
        <v>0</v>
      </c>
      <c r="L370" s="64">
        <f t="shared" si="11"/>
        <v>10.687715617715622</v>
      </c>
      <c r="M370" s="67"/>
      <c r="N370" s="67"/>
      <c r="O370" s="67"/>
    </row>
    <row r="371" spans="1:22" ht="14.25" customHeight="1" x14ac:dyDescent="0.3">
      <c r="B371" t="s">
        <v>473</v>
      </c>
      <c r="C371">
        <v>15</v>
      </c>
      <c r="D371">
        <v>217.3</v>
      </c>
      <c r="E371">
        <v>1.4</v>
      </c>
      <c r="F371">
        <v>0</v>
      </c>
      <c r="G371">
        <v>0</v>
      </c>
      <c r="H371">
        <v>0</v>
      </c>
      <c r="I371">
        <v>0.1</v>
      </c>
      <c r="J371">
        <v>37.4</v>
      </c>
      <c r="K371" s="64">
        <f t="shared" si="10"/>
        <v>0</v>
      </c>
      <c r="L371" s="64">
        <f t="shared" si="11"/>
        <v>10.687715617715622</v>
      </c>
      <c r="M371" s="67"/>
      <c r="N371" s="67"/>
      <c r="O371" s="67"/>
    </row>
    <row r="372" spans="1:22" ht="14.25" customHeight="1" x14ac:dyDescent="0.3">
      <c r="A372" t="s">
        <v>834</v>
      </c>
      <c r="B372" t="s">
        <v>495</v>
      </c>
      <c r="C372">
        <v>19.399999999999999</v>
      </c>
      <c r="D372">
        <v>187.5</v>
      </c>
      <c r="E372">
        <v>0.9</v>
      </c>
      <c r="F372">
        <v>4.5</v>
      </c>
      <c r="G372">
        <v>26.8</v>
      </c>
      <c r="H372">
        <v>0.2</v>
      </c>
      <c r="I372">
        <v>0.2</v>
      </c>
      <c r="J372">
        <v>36.9</v>
      </c>
      <c r="K372" s="64">
        <f t="shared" si="10"/>
        <v>1.6608998548621192</v>
      </c>
      <c r="L372" s="64">
        <f t="shared" si="11"/>
        <v>9.2220279720279734</v>
      </c>
      <c r="M372" s="66">
        <f>C374*Scoring!$B$34+D374/Scoring!$C$34+E374*Scoring!$D$34+WR!F374*Scoring!$E$34+WR!G374/Scoring!$F$34+WR!H374*Scoring!$G$34+WR!I374*Scoring!$H$34+K374*Scoring!$I$34+WR!L374*Scoring!$J$34+U372</f>
        <v>37.330000000000005</v>
      </c>
      <c r="N372" s="66">
        <f>C372*Scoring!$B$34+D372/Scoring!$C$34+E372*Scoring!$D$34+WR!F372*Scoring!$E$34+WR!G372/Scoring!$F$34+WR!H372*Scoring!$G$34+WR!I372*Scoring!$H$34+K372*Scoring!$I$34+WR!L372*Scoring!$J$34+U372</f>
        <v>37.330000000000005</v>
      </c>
      <c r="O372" s="66">
        <f>C373*Scoring!$B$34+D373/Scoring!$C$34+E373*Scoring!$D$34+WR!F373*Scoring!$E$34+WR!G373/Scoring!$F$34+WR!H373*Scoring!$G$34+WR!I373*Scoring!$H$34+K373*Scoring!$I$34+WR!L373*Scoring!$J$34+U372</f>
        <v>37.330000000000005</v>
      </c>
      <c r="P372" s="20">
        <f>IF(COUNTIF(Rookies!$A:$A,A372)&gt;0,1,0)</f>
        <v>0</v>
      </c>
      <c r="S372" s="20">
        <f>V372/17</f>
        <v>2.1958823529411768</v>
      </c>
      <c r="T372" s="20">
        <f>IF(P372=1,MAX(0,0.28*(12-S372)),0)</f>
        <v>0</v>
      </c>
      <c r="U372" s="20">
        <f>T372*17</f>
        <v>0</v>
      </c>
      <c r="V372" s="20">
        <f>C372*Scoring!$B$34+D372/Scoring!$C$34+E372*Scoring!$D$34+WR!F372*Scoring!$E$34+WR!G372/Scoring!$F$34+WR!H372*Scoring!$G$34+WR!I372*Scoring!$H$34+K372*Scoring!$I$34+WR!L372*Scoring!$J$34</f>
        <v>37.330000000000005</v>
      </c>
    </row>
    <row r="373" spans="1:22" ht="14.25" customHeight="1" x14ac:dyDescent="0.3">
      <c r="B373" t="s">
        <v>472</v>
      </c>
      <c r="C373">
        <v>19.399999999999999</v>
      </c>
      <c r="D373">
        <v>187.5</v>
      </c>
      <c r="E373">
        <v>0.9</v>
      </c>
      <c r="F373">
        <v>4.5</v>
      </c>
      <c r="G373">
        <v>26.8</v>
      </c>
      <c r="H373">
        <v>0.2</v>
      </c>
      <c r="I373">
        <v>0.2</v>
      </c>
      <c r="J373">
        <v>38.4</v>
      </c>
      <c r="K373" s="64">
        <f t="shared" si="10"/>
        <v>1.6608998548621192</v>
      </c>
      <c r="L373" s="64">
        <f t="shared" si="11"/>
        <v>9.2220279720279734</v>
      </c>
      <c r="M373" s="67"/>
      <c r="N373" s="67"/>
      <c r="O373" s="67"/>
    </row>
    <row r="374" spans="1:22" ht="14.25" customHeight="1" x14ac:dyDescent="0.3">
      <c r="B374" t="s">
        <v>473</v>
      </c>
      <c r="C374">
        <v>19.399999999999999</v>
      </c>
      <c r="D374">
        <v>187.5</v>
      </c>
      <c r="E374">
        <v>0.9</v>
      </c>
      <c r="F374">
        <v>4.5</v>
      </c>
      <c r="G374">
        <v>26.8</v>
      </c>
      <c r="H374">
        <v>0.2</v>
      </c>
      <c r="I374">
        <v>0.2</v>
      </c>
      <c r="J374">
        <v>38.4</v>
      </c>
      <c r="K374" s="64">
        <f t="shared" si="10"/>
        <v>1.6608998548621192</v>
      </c>
      <c r="L374" s="64">
        <f t="shared" si="11"/>
        <v>9.2220279720279734</v>
      </c>
      <c r="M374" s="67"/>
      <c r="N374" s="67"/>
      <c r="O374" s="67"/>
    </row>
    <row r="375" spans="1:22" ht="14.25" customHeight="1" x14ac:dyDescent="0.3">
      <c r="A375" t="s">
        <v>824</v>
      </c>
      <c r="B375" t="s">
        <v>515</v>
      </c>
      <c r="C375">
        <v>13.3</v>
      </c>
      <c r="D375">
        <v>148.69999999999999</v>
      </c>
      <c r="E375">
        <v>1.1000000000000001</v>
      </c>
      <c r="F375">
        <v>8.8000000000000007</v>
      </c>
      <c r="G375">
        <v>46</v>
      </c>
      <c r="H375">
        <v>0.4</v>
      </c>
      <c r="I375">
        <v>0.2</v>
      </c>
      <c r="J375">
        <v>34.4</v>
      </c>
      <c r="K375" s="64">
        <f t="shared" si="10"/>
        <v>2.8507982583454283</v>
      </c>
      <c r="L375" s="64">
        <f t="shared" si="11"/>
        <v>7.3136829836829831</v>
      </c>
      <c r="M375" s="66">
        <f>C377*Scoring!$B$34+D377/Scoring!$C$34+E377*Scoring!$D$34+WR!F377*Scoring!$E$34+WR!G377/Scoring!$F$34+WR!H377*Scoring!$G$34+WR!I377*Scoring!$H$34+K377*Scoring!$I$34+WR!L377*Scoring!$J$34+U375</f>
        <v>34.72</v>
      </c>
      <c r="N375" s="66">
        <f>C375*Scoring!$B$34+D375/Scoring!$C$34+E375*Scoring!$D$34+WR!F375*Scoring!$E$34+WR!G375/Scoring!$F$34+WR!H375*Scoring!$G$34+WR!I375*Scoring!$H$34+K375*Scoring!$I$34+WR!L375*Scoring!$J$34+U375</f>
        <v>34.72</v>
      </c>
      <c r="O375" s="66">
        <f>C376*Scoring!$B$34+D376/Scoring!$C$34+E376*Scoring!$D$34+WR!F376*Scoring!$E$34+WR!G376/Scoring!$F$34+WR!H376*Scoring!$G$34+WR!I376*Scoring!$H$34+K376*Scoring!$I$34+WR!L376*Scoring!$J$34+U375</f>
        <v>34.72</v>
      </c>
      <c r="P375" s="20">
        <f>IF(COUNTIF(Rookies!$A:$A,A375)&gt;0,1,0)</f>
        <v>0</v>
      </c>
      <c r="S375" s="20">
        <f>V375/17</f>
        <v>2.0423529411764707</v>
      </c>
      <c r="T375" s="20">
        <f>IF(P375=1,MAX(0,0.28*(12-S375)),0)</f>
        <v>0</v>
      </c>
      <c r="U375" s="20">
        <f>T375*17</f>
        <v>0</v>
      </c>
      <c r="V375" s="20">
        <f>C375*Scoring!$B$34+D375/Scoring!$C$34+E375*Scoring!$D$34+WR!F375*Scoring!$E$34+WR!G375/Scoring!$F$34+WR!H375*Scoring!$G$34+WR!I375*Scoring!$H$34+K375*Scoring!$I$34+WR!L375*Scoring!$J$34</f>
        <v>34.72</v>
      </c>
    </row>
    <row r="376" spans="1:22" ht="14.25" customHeight="1" x14ac:dyDescent="0.3">
      <c r="B376" t="s">
        <v>472</v>
      </c>
      <c r="C376">
        <v>13.3</v>
      </c>
      <c r="D376">
        <v>148.69999999999999</v>
      </c>
      <c r="E376">
        <v>1.1000000000000001</v>
      </c>
      <c r="F376">
        <v>8.8000000000000007</v>
      </c>
      <c r="G376">
        <v>46</v>
      </c>
      <c r="H376">
        <v>0.4</v>
      </c>
      <c r="I376">
        <v>0.2</v>
      </c>
      <c r="J376">
        <v>35.200000000000003</v>
      </c>
      <c r="K376" s="64">
        <f t="shared" si="10"/>
        <v>2.8507982583454283</v>
      </c>
      <c r="L376" s="64">
        <f t="shared" si="11"/>
        <v>7.3136829836829831</v>
      </c>
      <c r="M376" s="67"/>
      <c r="N376" s="67"/>
      <c r="O376" s="67"/>
    </row>
    <row r="377" spans="1:22" ht="14.25" customHeight="1" x14ac:dyDescent="0.3">
      <c r="B377" t="s">
        <v>473</v>
      </c>
      <c r="C377">
        <v>13.3</v>
      </c>
      <c r="D377">
        <v>148.69999999999999</v>
      </c>
      <c r="E377">
        <v>1.1000000000000001</v>
      </c>
      <c r="F377">
        <v>8.8000000000000007</v>
      </c>
      <c r="G377">
        <v>46</v>
      </c>
      <c r="H377">
        <v>0.4</v>
      </c>
      <c r="I377">
        <v>0.2</v>
      </c>
      <c r="J377">
        <v>35.200000000000003</v>
      </c>
      <c r="K377" s="64">
        <f t="shared" si="10"/>
        <v>2.8507982583454283</v>
      </c>
      <c r="L377" s="64">
        <f t="shared" si="11"/>
        <v>7.3136829836829831</v>
      </c>
      <c r="M377" s="67"/>
      <c r="N377" s="67"/>
      <c r="O377" s="67"/>
    </row>
    <row r="378" spans="1:22" ht="14.25" customHeight="1" x14ac:dyDescent="0.3">
      <c r="A378" t="s">
        <v>845</v>
      </c>
      <c r="B378" t="s">
        <v>535</v>
      </c>
      <c r="C378">
        <v>11.4</v>
      </c>
      <c r="D378">
        <v>151.69999999999999</v>
      </c>
      <c r="E378">
        <v>0.9</v>
      </c>
      <c r="F378">
        <v>4.3</v>
      </c>
      <c r="G378">
        <v>23.6</v>
      </c>
      <c r="H378">
        <v>0.1</v>
      </c>
      <c r="I378">
        <v>0.2</v>
      </c>
      <c r="J378">
        <v>29</v>
      </c>
      <c r="K378" s="64">
        <f t="shared" si="10"/>
        <v>1.4625834542815674</v>
      </c>
      <c r="L378" s="64">
        <f t="shared" si="11"/>
        <v>7.4612354312354316</v>
      </c>
      <c r="M378" s="66">
        <f>C380*Scoring!$B$34+D380/Scoring!$C$34+E380*Scoring!$D$34+WR!F380*Scoring!$E$34+WR!G380/Scoring!$F$34+WR!H380*Scoring!$G$34+WR!I380*Scoring!$H$34+K380*Scoring!$I$34+WR!L380*Scoring!$J$34+U378</f>
        <v>28.83</v>
      </c>
      <c r="N378" s="66">
        <f>C378*Scoring!$B$34+D378/Scoring!$C$34+E378*Scoring!$D$34+WR!F378*Scoring!$E$34+WR!G378/Scoring!$F$34+WR!H378*Scoring!$G$34+WR!I378*Scoring!$H$34+K378*Scoring!$I$34+WR!L378*Scoring!$J$34+U378</f>
        <v>28.83</v>
      </c>
      <c r="O378" s="66">
        <f>C379*Scoring!$B$34+D379/Scoring!$C$34+E379*Scoring!$D$34+WR!F379*Scoring!$E$34+WR!G379/Scoring!$F$34+WR!H379*Scoring!$G$34+WR!I379*Scoring!$H$34+K379*Scoring!$I$34+WR!L379*Scoring!$J$34+U378</f>
        <v>28.83</v>
      </c>
      <c r="P378" s="20">
        <f>IF(COUNTIF(Rookies!$A:$A,A378)&gt;0,1,0)</f>
        <v>0</v>
      </c>
      <c r="S378" s="20">
        <f>V378/17</f>
        <v>1.6958823529411764</v>
      </c>
      <c r="T378" s="20">
        <f>IF(P378=1,MAX(0,0.28*(12-S378)),0)</f>
        <v>0</v>
      </c>
      <c r="U378" s="20">
        <f>T378*17</f>
        <v>0</v>
      </c>
      <c r="V378" s="20">
        <f>C378*Scoring!$B$34+D378/Scoring!$C$34+E378*Scoring!$D$34+WR!F378*Scoring!$E$34+WR!G378/Scoring!$F$34+WR!H378*Scoring!$G$34+WR!I378*Scoring!$H$34+K378*Scoring!$I$34+WR!L378*Scoring!$J$34</f>
        <v>28.83</v>
      </c>
    </row>
    <row r="379" spans="1:22" ht="14.25" customHeight="1" x14ac:dyDescent="0.3">
      <c r="B379" t="s">
        <v>472</v>
      </c>
      <c r="C379">
        <v>11.4</v>
      </c>
      <c r="D379">
        <v>151.69999999999999</v>
      </c>
      <c r="E379">
        <v>0.9</v>
      </c>
      <c r="F379">
        <v>4.3</v>
      </c>
      <c r="G379">
        <v>23.6</v>
      </c>
      <c r="H379">
        <v>0.1</v>
      </c>
      <c r="I379">
        <v>0.2</v>
      </c>
      <c r="J379">
        <v>29.1</v>
      </c>
      <c r="K379" s="64">
        <f t="shared" si="10"/>
        <v>1.4625834542815674</v>
      </c>
      <c r="L379" s="64">
        <f t="shared" si="11"/>
        <v>7.4612354312354316</v>
      </c>
      <c r="M379" s="67"/>
      <c r="N379" s="67"/>
      <c r="O379" s="67"/>
    </row>
    <row r="380" spans="1:22" ht="14.25" customHeight="1" x14ac:dyDescent="0.3">
      <c r="B380" t="s">
        <v>473</v>
      </c>
      <c r="C380">
        <v>11.4</v>
      </c>
      <c r="D380">
        <v>151.69999999999999</v>
      </c>
      <c r="E380">
        <v>0.9</v>
      </c>
      <c r="F380">
        <v>4.3</v>
      </c>
      <c r="G380">
        <v>23.6</v>
      </c>
      <c r="H380">
        <v>0.1</v>
      </c>
      <c r="I380">
        <v>0.2</v>
      </c>
      <c r="J380">
        <v>29.1</v>
      </c>
      <c r="K380" s="64">
        <f t="shared" si="10"/>
        <v>1.4625834542815674</v>
      </c>
      <c r="L380" s="64">
        <f t="shared" si="11"/>
        <v>7.4612354312354316</v>
      </c>
      <c r="M380" s="67"/>
      <c r="N380" s="67"/>
      <c r="O380" s="67"/>
    </row>
    <row r="381" spans="1:22" ht="14.25" customHeight="1" x14ac:dyDescent="0.3">
      <c r="A381" t="s">
        <v>840</v>
      </c>
      <c r="B381" t="s">
        <v>495</v>
      </c>
      <c r="C381">
        <v>12.6</v>
      </c>
      <c r="D381">
        <v>154.1</v>
      </c>
      <c r="E381">
        <v>1.2</v>
      </c>
      <c r="F381">
        <v>0</v>
      </c>
      <c r="G381">
        <v>0</v>
      </c>
      <c r="H381">
        <v>0</v>
      </c>
      <c r="I381">
        <v>0.1</v>
      </c>
      <c r="J381">
        <v>28.7</v>
      </c>
      <c r="K381" s="64">
        <f t="shared" si="10"/>
        <v>0</v>
      </c>
      <c r="L381" s="64">
        <f t="shared" si="11"/>
        <v>7.5792773892773901</v>
      </c>
      <c r="M381" s="66">
        <f>C383*Scoring!$B$34+D383/Scoring!$C$34+E383*Scoring!$D$34+WR!F383*Scoring!$E$34+WR!G383/Scoring!$F$34+WR!H383*Scoring!$G$34+WR!I383*Scoring!$H$34+K383*Scoring!$I$34+WR!L383*Scoring!$J$34+U381</f>
        <v>77.791200000000003</v>
      </c>
      <c r="N381" s="66">
        <f>C381*Scoring!$B$34+D381/Scoring!$C$34+E381*Scoring!$D$34+WR!F381*Scoring!$E$34+WR!G381/Scoring!$F$34+WR!H381*Scoring!$G$34+WR!I381*Scoring!$H$34+K381*Scoring!$I$34+WR!L381*Scoring!$J$34+U381</f>
        <v>77.791200000000003</v>
      </c>
      <c r="O381" s="66">
        <f>C382*Scoring!$B$34+D382/Scoring!$C$34+E382*Scoring!$D$34+WR!F382*Scoring!$E$34+WR!G382/Scoring!$F$34+WR!H382*Scoring!$G$34+WR!I382*Scoring!$H$34+K382*Scoring!$I$34+WR!L382*Scoring!$J$34+U381</f>
        <v>77.791200000000003</v>
      </c>
      <c r="P381" s="20">
        <f>IF(COUNTIF(Rookies!$A:$A,A381)&gt;0,1,0)</f>
        <v>1</v>
      </c>
      <c r="S381" s="20">
        <f>V381/17</f>
        <v>1.6888235294117648</v>
      </c>
      <c r="T381" s="20">
        <f>IF(P381=1,MAX(0,0.28*(12-S381)),0)</f>
        <v>2.8871294117647062</v>
      </c>
      <c r="U381" s="20">
        <f>T381*17</f>
        <v>49.081200000000003</v>
      </c>
      <c r="V381" s="20">
        <f>C381*Scoring!$B$34+D381/Scoring!$C$34+E381*Scoring!$D$34+WR!F381*Scoring!$E$34+WR!G381/Scoring!$F$34+WR!H381*Scoring!$G$34+WR!I381*Scoring!$H$34+K381*Scoring!$I$34+WR!L381*Scoring!$J$34</f>
        <v>28.71</v>
      </c>
    </row>
    <row r="382" spans="1:22" ht="14.25" customHeight="1" x14ac:dyDescent="0.3">
      <c r="B382" t="s">
        <v>472</v>
      </c>
      <c r="C382">
        <v>12.6</v>
      </c>
      <c r="D382">
        <v>154.1</v>
      </c>
      <c r="E382">
        <v>1.2</v>
      </c>
      <c r="F382">
        <v>0</v>
      </c>
      <c r="G382">
        <v>0</v>
      </c>
      <c r="H382">
        <v>0</v>
      </c>
      <c r="I382">
        <v>0.1</v>
      </c>
      <c r="J382">
        <v>30.1</v>
      </c>
      <c r="K382" s="64">
        <f t="shared" si="10"/>
        <v>0</v>
      </c>
      <c r="L382" s="64">
        <f t="shared" si="11"/>
        <v>7.5792773892773901</v>
      </c>
      <c r="M382" s="67"/>
      <c r="N382" s="67"/>
      <c r="O382" s="67"/>
    </row>
    <row r="383" spans="1:22" ht="14.25" customHeight="1" x14ac:dyDescent="0.3">
      <c r="B383" t="s">
        <v>473</v>
      </c>
      <c r="C383">
        <v>12.6</v>
      </c>
      <c r="D383">
        <v>154.1</v>
      </c>
      <c r="E383">
        <v>1.2</v>
      </c>
      <c r="F383">
        <v>0</v>
      </c>
      <c r="G383">
        <v>0</v>
      </c>
      <c r="H383">
        <v>0</v>
      </c>
      <c r="I383">
        <v>0.1</v>
      </c>
      <c r="J383">
        <v>30.1</v>
      </c>
      <c r="K383" s="64">
        <f t="shared" si="10"/>
        <v>0</v>
      </c>
      <c r="L383" s="64">
        <f t="shared" si="11"/>
        <v>7.5792773892773901</v>
      </c>
      <c r="M383" s="67"/>
      <c r="N383" s="67"/>
      <c r="O383" s="67"/>
    </row>
    <row r="384" spans="1:22" ht="14.25" customHeight="1" x14ac:dyDescent="0.3">
      <c r="A384" t="s">
        <v>847</v>
      </c>
      <c r="B384" t="s">
        <v>471</v>
      </c>
      <c r="C384">
        <v>12.1</v>
      </c>
      <c r="D384">
        <v>163.6</v>
      </c>
      <c r="E384">
        <v>1</v>
      </c>
      <c r="F384">
        <v>0</v>
      </c>
      <c r="G384">
        <v>0</v>
      </c>
      <c r="H384">
        <v>0</v>
      </c>
      <c r="I384">
        <v>0.1</v>
      </c>
      <c r="J384">
        <v>27.9</v>
      </c>
      <c r="K384" s="64">
        <f t="shared" si="10"/>
        <v>0</v>
      </c>
      <c r="L384" s="64">
        <f t="shared" si="11"/>
        <v>8.0465268065268063</v>
      </c>
      <c r="M384" s="66">
        <f>C386*Scoring!$B$34+D386/Scoring!$C$34+E386*Scoring!$D$34+WR!F386*Scoring!$E$34+WR!G386/Scoring!$F$34+WR!H386*Scoring!$G$34+WR!I386*Scoring!$H$34+K386*Scoring!$I$34+WR!L386*Scoring!$J$34+U384</f>
        <v>77.43119999999999</v>
      </c>
      <c r="N384" s="66">
        <f>C384*Scoring!$B$34+D384/Scoring!$C$34+E384*Scoring!$D$34+WR!F384*Scoring!$E$34+WR!G384/Scoring!$F$34+WR!H384*Scoring!$G$34+WR!I384*Scoring!$H$34+K384*Scoring!$I$34+WR!L384*Scoring!$J$34+U384</f>
        <v>77.43119999999999</v>
      </c>
      <c r="O384" s="66">
        <f>C385*Scoring!$B$34+D385/Scoring!$C$34+E385*Scoring!$D$34+WR!F385*Scoring!$E$34+WR!G385/Scoring!$F$34+WR!H385*Scoring!$G$34+WR!I385*Scoring!$H$34+K385*Scoring!$I$34+WR!L385*Scoring!$J$34+U384</f>
        <v>77.43119999999999</v>
      </c>
      <c r="P384" s="20">
        <f>IF(COUNTIF(Rookies!$A:$A,A384)&gt;0,1,0)</f>
        <v>1</v>
      </c>
      <c r="S384" s="20">
        <f>V384/17</f>
        <v>1.6594117647058824</v>
      </c>
      <c r="T384" s="20">
        <f>IF(P384=1,MAX(0,0.28*(12-S384)),0)</f>
        <v>2.8953647058823528</v>
      </c>
      <c r="U384" s="20">
        <f>T384*17</f>
        <v>49.221199999999996</v>
      </c>
      <c r="V384" s="20">
        <f>C384*Scoring!$B$34+D384/Scoring!$C$34+E384*Scoring!$D$34+WR!F384*Scoring!$E$34+WR!G384/Scoring!$F$34+WR!H384*Scoring!$G$34+WR!I384*Scoring!$H$34+K384*Scoring!$I$34+WR!L384*Scoring!$J$34</f>
        <v>28.21</v>
      </c>
    </row>
    <row r="385" spans="1:22" ht="14.25" customHeight="1" x14ac:dyDescent="0.3">
      <c r="B385" t="s">
        <v>472</v>
      </c>
      <c r="C385">
        <v>12.1</v>
      </c>
      <c r="D385">
        <v>163.6</v>
      </c>
      <c r="E385">
        <v>1</v>
      </c>
      <c r="F385">
        <v>0</v>
      </c>
      <c r="G385">
        <v>0</v>
      </c>
      <c r="H385">
        <v>0</v>
      </c>
      <c r="I385">
        <v>0.1</v>
      </c>
      <c r="J385">
        <v>28.1</v>
      </c>
      <c r="K385" s="64">
        <f t="shared" si="10"/>
        <v>0</v>
      </c>
      <c r="L385" s="64">
        <f t="shared" si="11"/>
        <v>8.0465268065268063</v>
      </c>
      <c r="M385" s="67"/>
      <c r="N385" s="67"/>
      <c r="O385" s="67"/>
    </row>
    <row r="386" spans="1:22" ht="14.25" customHeight="1" x14ac:dyDescent="0.3">
      <c r="B386" t="s">
        <v>473</v>
      </c>
      <c r="C386">
        <v>12.1</v>
      </c>
      <c r="D386">
        <v>163.6</v>
      </c>
      <c r="E386">
        <v>1</v>
      </c>
      <c r="F386">
        <v>0</v>
      </c>
      <c r="G386">
        <v>0</v>
      </c>
      <c r="H386">
        <v>0</v>
      </c>
      <c r="I386">
        <v>0.1</v>
      </c>
      <c r="J386">
        <v>28.1</v>
      </c>
      <c r="K386" s="64">
        <f t="shared" si="10"/>
        <v>0</v>
      </c>
      <c r="L386" s="64">
        <f t="shared" si="11"/>
        <v>8.0465268065268063</v>
      </c>
      <c r="M386" s="67"/>
      <c r="N386" s="67"/>
      <c r="O386" s="67"/>
    </row>
    <row r="387" spans="1:22" ht="14.25" customHeight="1" x14ac:dyDescent="0.3">
      <c r="A387" t="s">
        <v>827</v>
      </c>
      <c r="B387" t="s">
        <v>501</v>
      </c>
      <c r="C387">
        <v>9.6999999999999993</v>
      </c>
      <c r="D387">
        <v>139.19999999999999</v>
      </c>
      <c r="E387">
        <v>0.9</v>
      </c>
      <c r="F387">
        <v>2.2999999999999998</v>
      </c>
      <c r="G387">
        <v>12</v>
      </c>
      <c r="H387">
        <v>0.1</v>
      </c>
      <c r="I387">
        <v>0.1</v>
      </c>
      <c r="J387">
        <v>26</v>
      </c>
      <c r="K387" s="64">
        <f t="shared" ref="K387:K450" si="12">IFERROR(G387/F387/6.89*0.427*F387,0)</f>
        <v>0.74368650217706811</v>
      </c>
      <c r="L387" s="64">
        <f t="shared" ref="L387:L450" si="13">IFERROR(D387/C387/12.87*0.633*C387,0)</f>
        <v>6.8464335664335678</v>
      </c>
      <c r="M387" s="66">
        <f>C389*Scoring!$B$34+D389/Scoring!$C$34+E389*Scoring!$D$34+WR!F389*Scoring!$E$34+WR!G389/Scoring!$F$34+WR!H389*Scoring!$G$34+WR!I389*Scoring!$H$34+K389*Scoring!$I$34+WR!L389*Scoring!$J$34+U387</f>
        <v>25.769999999999996</v>
      </c>
      <c r="N387" s="66">
        <f>C387*Scoring!$B$34+D387/Scoring!$C$34+E387*Scoring!$D$34+WR!F387*Scoring!$E$34+WR!G387/Scoring!$F$34+WR!H387*Scoring!$G$34+WR!I387*Scoring!$H$34+K387*Scoring!$I$34+WR!L387*Scoring!$J$34+U387</f>
        <v>25.769999999999996</v>
      </c>
      <c r="O387" s="66">
        <f>C388*Scoring!$B$34+D388/Scoring!$C$34+E388*Scoring!$D$34+WR!F388*Scoring!$E$34+WR!G388/Scoring!$F$34+WR!H388*Scoring!$G$34+WR!I388*Scoring!$H$34+K388*Scoring!$I$34+WR!L388*Scoring!$J$34+U387</f>
        <v>25.769999999999996</v>
      </c>
      <c r="P387" s="20">
        <f>IF(COUNTIF(Rookies!$A:$A,A387)&gt;0,1,0)</f>
        <v>0</v>
      </c>
      <c r="S387" s="20">
        <f>V387/17</f>
        <v>1.5158823529411762</v>
      </c>
      <c r="T387" s="20">
        <f>IF(P387=1,MAX(0,0.28*(12-S387)),0)</f>
        <v>0</v>
      </c>
      <c r="U387" s="20">
        <f>T387*17</f>
        <v>0</v>
      </c>
      <c r="V387" s="20">
        <f>C387*Scoring!$B$34+D387/Scoring!$C$34+E387*Scoring!$D$34+WR!F387*Scoring!$E$34+WR!G387/Scoring!$F$34+WR!H387*Scoring!$G$34+WR!I387*Scoring!$H$34+K387*Scoring!$I$34+WR!L387*Scoring!$J$34</f>
        <v>25.769999999999996</v>
      </c>
    </row>
    <row r="388" spans="1:22" ht="14.25" customHeight="1" x14ac:dyDescent="0.3">
      <c r="B388" t="s">
        <v>472</v>
      </c>
      <c r="C388">
        <v>9.6999999999999993</v>
      </c>
      <c r="D388">
        <v>139.19999999999999</v>
      </c>
      <c r="E388">
        <v>0.9</v>
      </c>
      <c r="F388">
        <v>2.2999999999999998</v>
      </c>
      <c r="G388">
        <v>12</v>
      </c>
      <c r="H388">
        <v>0.1</v>
      </c>
      <c r="I388">
        <v>0.1</v>
      </c>
      <c r="J388">
        <v>26</v>
      </c>
      <c r="K388" s="64">
        <f t="shared" si="12"/>
        <v>0.74368650217706811</v>
      </c>
      <c r="L388" s="64">
        <f t="shared" si="13"/>
        <v>6.8464335664335678</v>
      </c>
      <c r="M388" s="67"/>
      <c r="N388" s="67"/>
      <c r="O388" s="67"/>
    </row>
    <row r="389" spans="1:22" ht="14.25" customHeight="1" x14ac:dyDescent="0.3">
      <c r="B389" t="s">
        <v>473</v>
      </c>
      <c r="C389">
        <v>9.6999999999999993</v>
      </c>
      <c r="D389">
        <v>139.19999999999999</v>
      </c>
      <c r="E389">
        <v>0.9</v>
      </c>
      <c r="F389">
        <v>2.2999999999999998</v>
      </c>
      <c r="G389">
        <v>12</v>
      </c>
      <c r="H389">
        <v>0.1</v>
      </c>
      <c r="I389">
        <v>0.1</v>
      </c>
      <c r="J389">
        <v>26</v>
      </c>
      <c r="K389" s="64">
        <f t="shared" si="12"/>
        <v>0.74368650217706811</v>
      </c>
      <c r="L389" s="64">
        <f t="shared" si="13"/>
        <v>6.8464335664335678</v>
      </c>
      <c r="M389" s="67"/>
      <c r="N389" s="67"/>
      <c r="O389" s="67"/>
    </row>
    <row r="390" spans="1:22" ht="14.25" customHeight="1" x14ac:dyDescent="0.3">
      <c r="A390" t="s">
        <v>820</v>
      </c>
      <c r="B390" t="s">
        <v>533</v>
      </c>
      <c r="C390">
        <v>14.3</v>
      </c>
      <c r="D390">
        <v>142.30000000000001</v>
      </c>
      <c r="E390">
        <v>0.6</v>
      </c>
      <c r="F390">
        <v>0</v>
      </c>
      <c r="G390">
        <v>0</v>
      </c>
      <c r="H390">
        <v>0</v>
      </c>
      <c r="I390">
        <v>0.2</v>
      </c>
      <c r="J390">
        <v>24.8</v>
      </c>
      <c r="K390" s="64">
        <f t="shared" si="12"/>
        <v>0</v>
      </c>
      <c r="L390" s="64">
        <f t="shared" si="13"/>
        <v>6.9989044289044298</v>
      </c>
      <c r="M390" s="66">
        <f>C392*Scoring!$B$34+D392/Scoring!$C$34+E392*Scoring!$D$34+WR!F392*Scoring!$E$34+WR!G392/Scoring!$F$34+WR!H392*Scoring!$G$34+WR!I392*Scoring!$H$34+K392*Scoring!$I$34+WR!L392*Scoring!$J$34+U390</f>
        <v>24.580000000000005</v>
      </c>
      <c r="N390" s="66">
        <f>C390*Scoring!$B$34+D390/Scoring!$C$34+E390*Scoring!$D$34+WR!F390*Scoring!$E$34+WR!G390/Scoring!$F$34+WR!H390*Scoring!$G$34+WR!I390*Scoring!$H$34+K390*Scoring!$I$34+WR!L390*Scoring!$J$34+U390</f>
        <v>24.580000000000005</v>
      </c>
      <c r="O390" s="66">
        <f>C391*Scoring!$B$34+D391/Scoring!$C$34+E391*Scoring!$D$34+WR!F391*Scoring!$E$34+WR!G391/Scoring!$F$34+WR!H391*Scoring!$G$34+WR!I391*Scoring!$H$34+K391*Scoring!$I$34+WR!L391*Scoring!$J$34+U390</f>
        <v>24.580000000000005</v>
      </c>
      <c r="P390" s="20">
        <f>IF(COUNTIF(Rookies!$A:$A,A390)&gt;0,1,0)</f>
        <v>0</v>
      </c>
      <c r="S390" s="20">
        <f>V390/17</f>
        <v>1.4458823529411768</v>
      </c>
      <c r="T390" s="20">
        <f>IF(P390=1,MAX(0,0.28*(12-S390)),0)</f>
        <v>0</v>
      </c>
      <c r="U390" s="20">
        <f>T390*17</f>
        <v>0</v>
      </c>
      <c r="V390" s="20">
        <f>C390*Scoring!$B$34+D390/Scoring!$C$34+E390*Scoring!$D$34+WR!F390*Scoring!$E$34+WR!G390/Scoring!$F$34+WR!H390*Scoring!$G$34+WR!I390*Scoring!$H$34+K390*Scoring!$I$34+WR!L390*Scoring!$J$34</f>
        <v>24.580000000000005</v>
      </c>
    </row>
    <row r="391" spans="1:22" ht="14.25" customHeight="1" x14ac:dyDescent="0.3">
      <c r="B391" t="s">
        <v>472</v>
      </c>
      <c r="C391">
        <v>14.3</v>
      </c>
      <c r="D391">
        <v>142.30000000000001</v>
      </c>
      <c r="E391">
        <v>0.6</v>
      </c>
      <c r="F391">
        <v>0</v>
      </c>
      <c r="G391">
        <v>0</v>
      </c>
      <c r="H391">
        <v>0</v>
      </c>
      <c r="I391">
        <v>0.2</v>
      </c>
      <c r="J391">
        <v>25.2</v>
      </c>
      <c r="K391" s="64">
        <f t="shared" si="12"/>
        <v>0</v>
      </c>
      <c r="L391" s="64">
        <f t="shared" si="13"/>
        <v>6.9989044289044298</v>
      </c>
      <c r="M391" s="67"/>
      <c r="N391" s="67"/>
      <c r="O391" s="67"/>
    </row>
    <row r="392" spans="1:22" ht="14.25" customHeight="1" x14ac:dyDescent="0.3">
      <c r="B392" t="s">
        <v>473</v>
      </c>
      <c r="C392">
        <v>14.3</v>
      </c>
      <c r="D392">
        <v>142.30000000000001</v>
      </c>
      <c r="E392">
        <v>0.6</v>
      </c>
      <c r="F392">
        <v>0</v>
      </c>
      <c r="G392">
        <v>0</v>
      </c>
      <c r="H392">
        <v>0</v>
      </c>
      <c r="I392">
        <v>0.2</v>
      </c>
      <c r="J392">
        <v>25.2</v>
      </c>
      <c r="K392" s="64">
        <f t="shared" si="12"/>
        <v>0</v>
      </c>
      <c r="L392" s="64">
        <f t="shared" si="13"/>
        <v>6.9989044289044298</v>
      </c>
      <c r="M392" s="67"/>
      <c r="N392" s="67"/>
      <c r="O392" s="67"/>
    </row>
    <row r="393" spans="1:22" ht="14.25" customHeight="1" x14ac:dyDescent="0.3">
      <c r="A393" t="s">
        <v>838</v>
      </c>
      <c r="B393" t="s">
        <v>483</v>
      </c>
      <c r="C393">
        <v>10.6</v>
      </c>
      <c r="D393">
        <v>131.19999999999999</v>
      </c>
      <c r="E393">
        <v>1</v>
      </c>
      <c r="F393">
        <v>0</v>
      </c>
      <c r="G393">
        <v>0</v>
      </c>
      <c r="H393">
        <v>0</v>
      </c>
      <c r="I393">
        <v>0.1</v>
      </c>
      <c r="J393">
        <v>24.2</v>
      </c>
      <c r="K393" s="64">
        <f t="shared" si="12"/>
        <v>0</v>
      </c>
      <c r="L393" s="64">
        <f t="shared" si="13"/>
        <v>6.4529603729603728</v>
      </c>
      <c r="M393" s="66">
        <f>C395*Scoring!$B$34+D395/Scoring!$C$34+E395*Scoring!$D$34+WR!F395*Scoring!$E$34+WR!G395/Scoring!$F$34+WR!H395*Scoring!$G$34+WR!I395*Scoring!$H$34+K395*Scoring!$I$34+WR!L395*Scoring!$J$34+U393</f>
        <v>74.558400000000006</v>
      </c>
      <c r="N393" s="66">
        <f>C393*Scoring!$B$34+D393/Scoring!$C$34+E393*Scoring!$D$34+WR!F393*Scoring!$E$34+WR!G393/Scoring!$F$34+WR!H393*Scoring!$G$34+WR!I393*Scoring!$H$34+K393*Scoring!$I$34+WR!L393*Scoring!$J$34+U393</f>
        <v>74.558400000000006</v>
      </c>
      <c r="O393" s="66">
        <f>C394*Scoring!$B$34+D394/Scoring!$C$34+E394*Scoring!$D$34+WR!F394*Scoring!$E$34+WR!G394/Scoring!$F$34+WR!H394*Scoring!$G$34+WR!I394*Scoring!$H$34+K394*Scoring!$I$34+WR!L394*Scoring!$J$34+U393</f>
        <v>74.558400000000006</v>
      </c>
      <c r="P393" s="20">
        <f>IF(COUNTIF(Rookies!$A:$A,A393)&gt;0,1,0)</f>
        <v>1</v>
      </c>
      <c r="S393" s="20">
        <f>V393/17</f>
        <v>1.424705882352941</v>
      </c>
      <c r="T393" s="20">
        <f>IF(P393=1,MAX(0,0.28*(12-S393)),0)</f>
        <v>2.9610823529411769</v>
      </c>
      <c r="U393" s="20">
        <f>T393*17</f>
        <v>50.338400000000007</v>
      </c>
      <c r="V393" s="20">
        <f>C393*Scoring!$B$34+D393/Scoring!$C$34+E393*Scoring!$D$34+WR!F393*Scoring!$E$34+WR!G393/Scoring!$F$34+WR!H393*Scoring!$G$34+WR!I393*Scoring!$H$34+K393*Scoring!$I$34+WR!L393*Scoring!$J$34</f>
        <v>24.22</v>
      </c>
    </row>
    <row r="394" spans="1:22" ht="14.25" customHeight="1" x14ac:dyDescent="0.3">
      <c r="B394" t="s">
        <v>472</v>
      </c>
      <c r="C394">
        <v>10.6</v>
      </c>
      <c r="D394">
        <v>131.19999999999999</v>
      </c>
      <c r="E394">
        <v>1</v>
      </c>
      <c r="F394">
        <v>0</v>
      </c>
      <c r="G394">
        <v>0</v>
      </c>
      <c r="H394">
        <v>0</v>
      </c>
      <c r="I394">
        <v>0.1</v>
      </c>
      <c r="J394">
        <v>24.3</v>
      </c>
      <c r="K394" s="64">
        <f t="shared" si="12"/>
        <v>0</v>
      </c>
      <c r="L394" s="64">
        <f t="shared" si="13"/>
        <v>6.4529603729603728</v>
      </c>
      <c r="M394" s="67"/>
      <c r="N394" s="67"/>
      <c r="O394" s="67"/>
    </row>
    <row r="395" spans="1:22" ht="14.25" customHeight="1" x14ac:dyDescent="0.3">
      <c r="B395" t="s">
        <v>473</v>
      </c>
      <c r="C395">
        <v>10.6</v>
      </c>
      <c r="D395">
        <v>131.19999999999999</v>
      </c>
      <c r="E395">
        <v>1</v>
      </c>
      <c r="F395">
        <v>0</v>
      </c>
      <c r="G395">
        <v>0</v>
      </c>
      <c r="H395">
        <v>0</v>
      </c>
      <c r="I395">
        <v>0.1</v>
      </c>
      <c r="J395">
        <v>24.3</v>
      </c>
      <c r="K395" s="64">
        <f t="shared" si="12"/>
        <v>0</v>
      </c>
      <c r="L395" s="64">
        <f t="shared" si="13"/>
        <v>6.4529603729603728</v>
      </c>
      <c r="M395" s="67"/>
      <c r="N395" s="67"/>
      <c r="O395" s="67"/>
    </row>
    <row r="396" spans="1:22" ht="14.25" customHeight="1" x14ac:dyDescent="0.3">
      <c r="A396" t="s">
        <v>848</v>
      </c>
      <c r="B396" t="s">
        <v>529</v>
      </c>
      <c r="C396">
        <v>11.8</v>
      </c>
      <c r="D396">
        <v>135</v>
      </c>
      <c r="E396">
        <v>0.6</v>
      </c>
      <c r="F396">
        <v>0</v>
      </c>
      <c r="G396">
        <v>0</v>
      </c>
      <c r="H396">
        <v>0</v>
      </c>
      <c r="I396">
        <v>0.1</v>
      </c>
      <c r="J396">
        <v>22.9</v>
      </c>
      <c r="K396" s="64">
        <f t="shared" si="12"/>
        <v>0</v>
      </c>
      <c r="L396" s="64">
        <f t="shared" si="13"/>
        <v>6.6398601398601409</v>
      </c>
      <c r="M396" s="66">
        <f>C398*Scoring!$B$34+D398/Scoring!$C$34+E398*Scoring!$D$34+WR!F398*Scoring!$E$34+WR!G398/Scoring!$F$34+WR!H398*Scoring!$G$34+WR!I398*Scoring!$H$34+K398*Scoring!$I$34+WR!L398*Scoring!$J$34+U396</f>
        <v>22.8</v>
      </c>
      <c r="N396" s="66">
        <f>C396*Scoring!$B$34+D396/Scoring!$C$34+E396*Scoring!$D$34+WR!F396*Scoring!$E$34+WR!G396/Scoring!$F$34+WR!H396*Scoring!$G$34+WR!I396*Scoring!$H$34+K396*Scoring!$I$34+WR!L396*Scoring!$J$34+U396</f>
        <v>22.8</v>
      </c>
      <c r="O396" s="66">
        <f>C397*Scoring!$B$34+D397/Scoring!$C$34+E397*Scoring!$D$34+WR!F397*Scoring!$E$34+WR!G397/Scoring!$F$34+WR!H397*Scoring!$G$34+WR!I397*Scoring!$H$34+K397*Scoring!$I$34+WR!L397*Scoring!$J$34+U396</f>
        <v>22.8</v>
      </c>
      <c r="P396" s="20">
        <f>IF(COUNTIF(Rookies!$A:$A,A396)&gt;0,1,0)</f>
        <v>0</v>
      </c>
      <c r="S396" s="20">
        <f>V396/17</f>
        <v>1.3411764705882354</v>
      </c>
      <c r="T396" s="20">
        <f>IF(P396=1,MAX(0,0.28*(12-S396)),0)</f>
        <v>0</v>
      </c>
      <c r="U396" s="20">
        <f>T396*17</f>
        <v>0</v>
      </c>
      <c r="V396" s="20">
        <f>C396*Scoring!$B$34+D396/Scoring!$C$34+E396*Scoring!$D$34+WR!F396*Scoring!$E$34+WR!G396/Scoring!$F$34+WR!H396*Scoring!$G$34+WR!I396*Scoring!$H$34+K396*Scoring!$I$34+WR!L396*Scoring!$J$34</f>
        <v>22.8</v>
      </c>
    </row>
    <row r="397" spans="1:22" ht="14.25" customHeight="1" x14ac:dyDescent="0.3">
      <c r="B397" t="s">
        <v>472</v>
      </c>
      <c r="C397">
        <v>11.8</v>
      </c>
      <c r="D397">
        <v>135</v>
      </c>
      <c r="E397">
        <v>0.6</v>
      </c>
      <c r="F397">
        <v>0</v>
      </c>
      <c r="G397">
        <v>0</v>
      </c>
      <c r="H397">
        <v>0</v>
      </c>
      <c r="I397">
        <v>0.1</v>
      </c>
      <c r="J397">
        <v>23</v>
      </c>
      <c r="K397" s="64">
        <f t="shared" si="12"/>
        <v>0</v>
      </c>
      <c r="L397" s="64">
        <f t="shared" si="13"/>
        <v>6.6398601398601409</v>
      </c>
      <c r="M397" s="67"/>
      <c r="N397" s="67"/>
      <c r="O397" s="67"/>
    </row>
    <row r="398" spans="1:22" ht="14.25" customHeight="1" x14ac:dyDescent="0.3">
      <c r="B398" t="s">
        <v>473</v>
      </c>
      <c r="C398">
        <v>11.8</v>
      </c>
      <c r="D398">
        <v>135</v>
      </c>
      <c r="E398">
        <v>0.6</v>
      </c>
      <c r="F398">
        <v>0</v>
      </c>
      <c r="G398">
        <v>0</v>
      </c>
      <c r="H398">
        <v>0</v>
      </c>
      <c r="I398">
        <v>0.1</v>
      </c>
      <c r="J398">
        <v>23</v>
      </c>
      <c r="K398" s="64">
        <f t="shared" si="12"/>
        <v>0</v>
      </c>
      <c r="L398" s="64">
        <f t="shared" si="13"/>
        <v>6.6398601398601409</v>
      </c>
      <c r="M398" s="67"/>
      <c r="N398" s="67"/>
      <c r="O398" s="67"/>
    </row>
    <row r="399" spans="1:22" ht="14.25" customHeight="1" x14ac:dyDescent="0.3">
      <c r="A399" t="s">
        <v>849</v>
      </c>
      <c r="B399" t="s">
        <v>497</v>
      </c>
      <c r="C399">
        <v>9.5</v>
      </c>
      <c r="D399">
        <v>121.7</v>
      </c>
      <c r="E399">
        <v>0.7</v>
      </c>
      <c r="F399">
        <v>2.1</v>
      </c>
      <c r="G399">
        <v>11.3</v>
      </c>
      <c r="H399">
        <v>0.1</v>
      </c>
      <c r="I399">
        <v>0.1</v>
      </c>
      <c r="J399">
        <v>22.7</v>
      </c>
      <c r="K399" s="64">
        <f t="shared" si="12"/>
        <v>0.70030478955007258</v>
      </c>
      <c r="L399" s="64">
        <f t="shared" si="13"/>
        <v>5.9857109557109558</v>
      </c>
      <c r="M399" s="66">
        <f>C401*Scoring!$B$34+D401/Scoring!$C$34+E401*Scoring!$D$34+WR!F401*Scoring!$E$34+WR!G401/Scoring!$F$34+WR!H401*Scoring!$G$34+WR!I401*Scoring!$H$34+K401*Scoring!$I$34+WR!L401*Scoring!$J$34+U399</f>
        <v>73.428000000000011</v>
      </c>
      <c r="N399" s="66">
        <f>C399*Scoring!$B$34+D399/Scoring!$C$34+E399*Scoring!$D$34+WR!F399*Scoring!$E$34+WR!G399/Scoring!$F$34+WR!H399*Scoring!$G$34+WR!I399*Scoring!$H$34+K399*Scoring!$I$34+WR!L399*Scoring!$J$34+U399</f>
        <v>73.428000000000011</v>
      </c>
      <c r="O399" s="66">
        <f>C400*Scoring!$B$34+D400/Scoring!$C$34+E400*Scoring!$D$34+WR!F400*Scoring!$E$34+WR!G400/Scoring!$F$34+WR!H400*Scoring!$G$34+WR!I400*Scoring!$H$34+K400*Scoring!$I$34+WR!L400*Scoring!$J$34+U399</f>
        <v>73.428000000000011</v>
      </c>
      <c r="P399" s="20">
        <f>IF(COUNTIF(Rookies!$A:$A,A399)&gt;0,1,0)</f>
        <v>1</v>
      </c>
      <c r="S399" s="20">
        <f>V399/17</f>
        <v>1.3323529411764707</v>
      </c>
      <c r="T399" s="20">
        <f>IF(P399=1,MAX(0,0.28*(12-S399)),0)</f>
        <v>2.9869411764705887</v>
      </c>
      <c r="U399" s="20">
        <f>T399*17</f>
        <v>50.778000000000006</v>
      </c>
      <c r="V399" s="20">
        <f>C399*Scoring!$B$34+D399/Scoring!$C$34+E399*Scoring!$D$34+WR!F399*Scoring!$E$34+WR!G399/Scoring!$F$34+WR!H399*Scoring!$G$34+WR!I399*Scoring!$H$34+K399*Scoring!$I$34+WR!L399*Scoring!$J$34</f>
        <v>22.650000000000002</v>
      </c>
    </row>
    <row r="400" spans="1:22" ht="14.25" customHeight="1" x14ac:dyDescent="0.3">
      <c r="B400" t="s">
        <v>472</v>
      </c>
      <c r="C400">
        <v>9.5</v>
      </c>
      <c r="D400">
        <v>121.7</v>
      </c>
      <c r="E400">
        <v>0.7</v>
      </c>
      <c r="F400">
        <v>2.1</v>
      </c>
      <c r="G400">
        <v>11.3</v>
      </c>
      <c r="H400">
        <v>0.1</v>
      </c>
      <c r="I400">
        <v>0.1</v>
      </c>
      <c r="J400">
        <v>22.8</v>
      </c>
      <c r="K400" s="64">
        <f t="shared" si="12"/>
        <v>0.70030478955007258</v>
      </c>
      <c r="L400" s="64">
        <f t="shared" si="13"/>
        <v>5.9857109557109558</v>
      </c>
      <c r="M400" s="67"/>
      <c r="N400" s="67"/>
      <c r="O400" s="67"/>
    </row>
    <row r="401" spans="1:22" ht="14.25" customHeight="1" x14ac:dyDescent="0.3">
      <c r="B401" t="s">
        <v>473</v>
      </c>
      <c r="C401">
        <v>9.5</v>
      </c>
      <c r="D401">
        <v>121.7</v>
      </c>
      <c r="E401">
        <v>0.7</v>
      </c>
      <c r="F401">
        <v>2.1</v>
      </c>
      <c r="G401">
        <v>11.3</v>
      </c>
      <c r="H401">
        <v>0.1</v>
      </c>
      <c r="I401">
        <v>0.1</v>
      </c>
      <c r="J401">
        <v>22.8</v>
      </c>
      <c r="K401" s="64">
        <f t="shared" si="12"/>
        <v>0.70030478955007258</v>
      </c>
      <c r="L401" s="64">
        <f t="shared" si="13"/>
        <v>5.9857109557109558</v>
      </c>
      <c r="M401" s="67"/>
      <c r="N401" s="67"/>
      <c r="O401" s="67"/>
    </row>
    <row r="402" spans="1:22" ht="14.25" customHeight="1" x14ac:dyDescent="0.3">
      <c r="A402" t="s">
        <v>837</v>
      </c>
      <c r="B402" t="s">
        <v>523</v>
      </c>
      <c r="C402">
        <v>11.8</v>
      </c>
      <c r="D402">
        <v>114.5</v>
      </c>
      <c r="E402">
        <v>0.4</v>
      </c>
      <c r="F402">
        <v>2.2000000000000002</v>
      </c>
      <c r="G402">
        <v>12.7</v>
      </c>
      <c r="H402">
        <v>0.1</v>
      </c>
      <c r="I402">
        <v>0.1</v>
      </c>
      <c r="J402">
        <v>21.6</v>
      </c>
      <c r="K402" s="64">
        <f t="shared" si="12"/>
        <v>0.78706821480406375</v>
      </c>
      <c r="L402" s="64">
        <f t="shared" si="13"/>
        <v>5.6315850815850821</v>
      </c>
      <c r="M402" s="66">
        <f>C404*Scoring!$B$34+D404/Scoring!$C$34+E404*Scoring!$D$34+WR!F404*Scoring!$E$34+WR!G404/Scoring!$F$34+WR!H404*Scoring!$G$34+WR!I404*Scoring!$H$34+K404*Scoring!$I$34+WR!L404*Scoring!$J$34+U402</f>
        <v>21.42</v>
      </c>
      <c r="N402" s="66">
        <f>C402*Scoring!$B$34+D402/Scoring!$C$34+E402*Scoring!$D$34+WR!F402*Scoring!$E$34+WR!G402/Scoring!$F$34+WR!H402*Scoring!$G$34+WR!I402*Scoring!$H$34+K402*Scoring!$I$34+WR!L402*Scoring!$J$34+U402</f>
        <v>21.42</v>
      </c>
      <c r="O402" s="66">
        <f>C403*Scoring!$B$34+D403/Scoring!$C$34+E403*Scoring!$D$34+WR!F403*Scoring!$E$34+WR!G403/Scoring!$F$34+WR!H403*Scoring!$G$34+WR!I403*Scoring!$H$34+K403*Scoring!$I$34+WR!L403*Scoring!$J$34+U402</f>
        <v>21.42</v>
      </c>
      <c r="P402" s="20">
        <f>IF(COUNTIF(Rookies!$A:$A,A402)&gt;0,1,0)</f>
        <v>0</v>
      </c>
      <c r="S402" s="20">
        <f>V402/17</f>
        <v>1.26</v>
      </c>
      <c r="T402" s="20">
        <f>IF(P402=1,MAX(0,0.28*(12-S402)),0)</f>
        <v>0</v>
      </c>
      <c r="U402" s="20">
        <f>T402*17</f>
        <v>0</v>
      </c>
      <c r="V402" s="20">
        <f>C402*Scoring!$B$34+D402/Scoring!$C$34+E402*Scoring!$D$34+WR!F402*Scoring!$E$34+WR!G402/Scoring!$F$34+WR!H402*Scoring!$G$34+WR!I402*Scoring!$H$34+K402*Scoring!$I$34+WR!L402*Scoring!$J$34</f>
        <v>21.42</v>
      </c>
    </row>
    <row r="403" spans="1:22" ht="14.25" customHeight="1" x14ac:dyDescent="0.3">
      <c r="B403" t="s">
        <v>472</v>
      </c>
      <c r="C403">
        <v>11.8</v>
      </c>
      <c r="D403">
        <v>114.5</v>
      </c>
      <c r="E403">
        <v>0.4</v>
      </c>
      <c r="F403">
        <v>2.2000000000000002</v>
      </c>
      <c r="G403">
        <v>12.7</v>
      </c>
      <c r="H403">
        <v>0.1</v>
      </c>
      <c r="I403">
        <v>0.1</v>
      </c>
      <c r="J403">
        <v>25.2</v>
      </c>
      <c r="K403" s="64">
        <f t="shared" si="12"/>
        <v>0.78706821480406375</v>
      </c>
      <c r="L403" s="64">
        <f t="shared" si="13"/>
        <v>5.6315850815850821</v>
      </c>
      <c r="M403" s="67"/>
      <c r="N403" s="67"/>
      <c r="O403" s="67"/>
    </row>
    <row r="404" spans="1:22" ht="14.25" customHeight="1" x14ac:dyDescent="0.3">
      <c r="B404" t="s">
        <v>473</v>
      </c>
      <c r="C404">
        <v>11.8</v>
      </c>
      <c r="D404">
        <v>114.5</v>
      </c>
      <c r="E404">
        <v>0.4</v>
      </c>
      <c r="F404">
        <v>2.2000000000000002</v>
      </c>
      <c r="G404">
        <v>12.7</v>
      </c>
      <c r="H404">
        <v>0.1</v>
      </c>
      <c r="I404">
        <v>0.1</v>
      </c>
      <c r="J404">
        <v>25.2</v>
      </c>
      <c r="K404" s="64">
        <f t="shared" si="12"/>
        <v>0.78706821480406375</v>
      </c>
      <c r="L404" s="64">
        <f t="shared" si="13"/>
        <v>5.6315850815850821</v>
      </c>
      <c r="M404" s="67"/>
      <c r="N404" s="67"/>
      <c r="O404" s="67"/>
    </row>
    <row r="405" spans="1:22" ht="14.25" customHeight="1" x14ac:dyDescent="0.3">
      <c r="A405" t="s">
        <v>841</v>
      </c>
      <c r="B405" t="s">
        <v>479</v>
      </c>
      <c r="C405">
        <v>9.3000000000000007</v>
      </c>
      <c r="D405">
        <v>118.7</v>
      </c>
      <c r="E405">
        <v>0.8</v>
      </c>
      <c r="F405">
        <v>0</v>
      </c>
      <c r="G405">
        <v>0</v>
      </c>
      <c r="H405">
        <v>0</v>
      </c>
      <c r="I405">
        <v>0.1</v>
      </c>
      <c r="J405">
        <v>21.2</v>
      </c>
      <c r="K405" s="64">
        <f t="shared" si="12"/>
        <v>0</v>
      </c>
      <c r="L405" s="64">
        <f t="shared" si="13"/>
        <v>5.838158508158509</v>
      </c>
      <c r="M405" s="66">
        <f>C407*Scoring!$B$34+D407/Scoring!$C$34+E407*Scoring!$D$34+WR!F407*Scoring!$E$34+WR!G407/Scoring!$F$34+WR!H407*Scoring!$G$34+WR!I407*Scoring!$H$34+K407*Scoring!$I$34+WR!L407*Scoring!$J$34+U405</f>
        <v>21.120000000000005</v>
      </c>
      <c r="N405" s="66">
        <f>C405*Scoring!$B$34+D405/Scoring!$C$34+E405*Scoring!$D$34+WR!F405*Scoring!$E$34+WR!G405/Scoring!$F$34+WR!H405*Scoring!$G$34+WR!I405*Scoring!$H$34+K405*Scoring!$I$34+WR!L405*Scoring!$J$34+U405</f>
        <v>21.120000000000005</v>
      </c>
      <c r="O405" s="66">
        <f>C406*Scoring!$B$34+D406/Scoring!$C$34+E406*Scoring!$D$34+WR!F406*Scoring!$E$34+WR!G406/Scoring!$F$34+WR!H406*Scoring!$G$34+WR!I406*Scoring!$H$34+K406*Scoring!$I$34+WR!L406*Scoring!$J$34+U405</f>
        <v>21.120000000000005</v>
      </c>
      <c r="P405" s="20">
        <f>IF(COUNTIF(Rookies!$A:$A,A405)&gt;0,1,0)</f>
        <v>0</v>
      </c>
      <c r="S405" s="20">
        <f>V405/17</f>
        <v>1.2423529411764709</v>
      </c>
      <c r="T405" s="20">
        <f>IF(P405=1,MAX(0,0.28*(12-S405)),0)</f>
        <v>0</v>
      </c>
      <c r="U405" s="20">
        <f>T405*17</f>
        <v>0</v>
      </c>
      <c r="V405" s="20">
        <f>C405*Scoring!$B$34+D405/Scoring!$C$34+E405*Scoring!$D$34+WR!F405*Scoring!$E$34+WR!G405/Scoring!$F$34+WR!H405*Scoring!$G$34+WR!I405*Scoring!$H$34+K405*Scoring!$I$34+WR!L405*Scoring!$J$34</f>
        <v>21.120000000000005</v>
      </c>
    </row>
    <row r="406" spans="1:22" ht="14.25" customHeight="1" x14ac:dyDescent="0.3">
      <c r="B406" t="s">
        <v>472</v>
      </c>
      <c r="C406">
        <v>9.3000000000000007</v>
      </c>
      <c r="D406">
        <v>118.7</v>
      </c>
      <c r="E406">
        <v>0.8</v>
      </c>
      <c r="F406">
        <v>0</v>
      </c>
      <c r="G406">
        <v>0</v>
      </c>
      <c r="H406">
        <v>0</v>
      </c>
      <c r="I406">
        <v>0.1</v>
      </c>
      <c r="J406">
        <v>23.9</v>
      </c>
      <c r="K406" s="64">
        <f t="shared" si="12"/>
        <v>0</v>
      </c>
      <c r="L406" s="64">
        <f t="shared" si="13"/>
        <v>5.838158508158509</v>
      </c>
      <c r="M406" s="67"/>
      <c r="N406" s="67"/>
      <c r="O406" s="67"/>
    </row>
    <row r="407" spans="1:22" ht="14.25" customHeight="1" x14ac:dyDescent="0.3">
      <c r="B407" t="s">
        <v>473</v>
      </c>
      <c r="C407">
        <v>9.3000000000000007</v>
      </c>
      <c r="D407">
        <v>118.7</v>
      </c>
      <c r="E407">
        <v>0.8</v>
      </c>
      <c r="F407">
        <v>0</v>
      </c>
      <c r="G407">
        <v>0</v>
      </c>
      <c r="H407">
        <v>0</v>
      </c>
      <c r="I407">
        <v>0.1</v>
      </c>
      <c r="J407">
        <v>23.9</v>
      </c>
      <c r="K407" s="64">
        <f t="shared" si="12"/>
        <v>0</v>
      </c>
      <c r="L407" s="64">
        <f t="shared" si="13"/>
        <v>5.838158508158509</v>
      </c>
      <c r="M407" s="67"/>
      <c r="N407" s="67"/>
      <c r="O407" s="67"/>
    </row>
    <row r="408" spans="1:22" ht="14.25" customHeight="1" x14ac:dyDescent="0.3">
      <c r="A408" t="s">
        <v>842</v>
      </c>
      <c r="B408" t="s">
        <v>475</v>
      </c>
      <c r="C408">
        <v>8.3000000000000007</v>
      </c>
      <c r="D408">
        <v>123.6</v>
      </c>
      <c r="E408">
        <v>0.8</v>
      </c>
      <c r="F408">
        <v>0</v>
      </c>
      <c r="G408">
        <v>0</v>
      </c>
      <c r="H408">
        <v>0</v>
      </c>
      <c r="I408">
        <v>0.1</v>
      </c>
      <c r="J408">
        <v>20.9</v>
      </c>
      <c r="K408" s="64">
        <f t="shared" si="12"/>
        <v>0</v>
      </c>
      <c r="L408" s="64">
        <f t="shared" si="13"/>
        <v>6.0791608391608394</v>
      </c>
      <c r="M408" s="66">
        <f>C410*Scoring!$B$34+D410/Scoring!$C$34+E410*Scoring!$D$34+WR!F410*Scoring!$E$34+WR!G410/Scoring!$F$34+WR!H410*Scoring!$G$34+WR!I410*Scoring!$H$34+K410*Scoring!$I$34+WR!L410*Scoring!$J$34+U408</f>
        <v>72.319199999999995</v>
      </c>
      <c r="N408" s="66">
        <f>C408*Scoring!$B$34+D408/Scoring!$C$34+E408*Scoring!$D$34+WR!F408*Scoring!$E$34+WR!G408/Scoring!$F$34+WR!H408*Scoring!$G$34+WR!I408*Scoring!$H$34+K408*Scoring!$I$34+WR!L408*Scoring!$J$34+U408</f>
        <v>72.319199999999995</v>
      </c>
      <c r="O408" s="66">
        <f>C409*Scoring!$B$34+D409/Scoring!$C$34+E409*Scoring!$D$34+WR!F409*Scoring!$E$34+WR!G409/Scoring!$F$34+WR!H409*Scoring!$G$34+WR!I409*Scoring!$H$34+K409*Scoring!$I$34+WR!L409*Scoring!$J$34+U408</f>
        <v>72.319199999999995</v>
      </c>
      <c r="P408" s="20">
        <f>IF(COUNTIF(Rookies!$A:$A,A408)&gt;0,1,0)</f>
        <v>1</v>
      </c>
      <c r="S408" s="20">
        <f>V408/17</f>
        <v>1.2417647058823529</v>
      </c>
      <c r="T408" s="20">
        <f>IF(P408=1,MAX(0,0.28*(12-S408)),0)</f>
        <v>3.0123058823529414</v>
      </c>
      <c r="U408" s="20">
        <f>T408*17</f>
        <v>51.209200000000003</v>
      </c>
      <c r="V408" s="20">
        <f>C408*Scoring!$B$34+D408/Scoring!$C$34+E408*Scoring!$D$34+WR!F408*Scoring!$E$34+WR!G408/Scoring!$F$34+WR!H408*Scoring!$G$34+WR!I408*Scoring!$H$34+K408*Scoring!$I$34+WR!L408*Scoring!$J$34</f>
        <v>21.11</v>
      </c>
    </row>
    <row r="409" spans="1:22" ht="14.25" customHeight="1" x14ac:dyDescent="0.3">
      <c r="B409" t="s">
        <v>472</v>
      </c>
      <c r="C409">
        <v>8.3000000000000007</v>
      </c>
      <c r="D409">
        <v>123.6</v>
      </c>
      <c r="E409">
        <v>0.8</v>
      </c>
      <c r="F409">
        <v>0</v>
      </c>
      <c r="G409">
        <v>0</v>
      </c>
      <c r="H409">
        <v>0</v>
      </c>
      <c r="I409">
        <v>0.1</v>
      </c>
      <c r="J409">
        <v>20.9</v>
      </c>
      <c r="K409" s="64">
        <f t="shared" si="12"/>
        <v>0</v>
      </c>
      <c r="L409" s="64">
        <f t="shared" si="13"/>
        <v>6.0791608391608394</v>
      </c>
      <c r="M409" s="67"/>
      <c r="N409" s="67"/>
      <c r="O409" s="67"/>
    </row>
    <row r="410" spans="1:22" ht="14.25" customHeight="1" x14ac:dyDescent="0.3">
      <c r="B410" t="s">
        <v>473</v>
      </c>
      <c r="C410">
        <v>8.3000000000000007</v>
      </c>
      <c r="D410">
        <v>123.6</v>
      </c>
      <c r="E410">
        <v>0.8</v>
      </c>
      <c r="F410">
        <v>0</v>
      </c>
      <c r="G410">
        <v>0</v>
      </c>
      <c r="H410">
        <v>0</v>
      </c>
      <c r="I410">
        <v>0.1</v>
      </c>
      <c r="J410">
        <v>20.9</v>
      </c>
      <c r="K410" s="64">
        <f t="shared" si="12"/>
        <v>0</v>
      </c>
      <c r="L410" s="64">
        <f t="shared" si="13"/>
        <v>6.0791608391608394</v>
      </c>
      <c r="M410" s="67"/>
      <c r="N410" s="67"/>
      <c r="O410" s="67"/>
    </row>
    <row r="411" spans="1:22" ht="14.25" customHeight="1" x14ac:dyDescent="0.3">
      <c r="A411" t="s">
        <v>852</v>
      </c>
      <c r="B411" t="s">
        <v>485</v>
      </c>
      <c r="C411">
        <v>9.1999999999999993</v>
      </c>
      <c r="D411">
        <v>113.1</v>
      </c>
      <c r="E411">
        <v>0.6</v>
      </c>
      <c r="F411">
        <v>0</v>
      </c>
      <c r="G411">
        <v>0</v>
      </c>
      <c r="H411">
        <v>0</v>
      </c>
      <c r="I411">
        <v>0.1</v>
      </c>
      <c r="J411">
        <v>19.3</v>
      </c>
      <c r="K411" s="64">
        <f t="shared" si="12"/>
        <v>0</v>
      </c>
      <c r="L411" s="64">
        <f t="shared" si="13"/>
        <v>5.5627272727272734</v>
      </c>
      <c r="M411" s="66">
        <f>C413*Scoring!$B$34+D413/Scoring!$C$34+E413*Scoring!$D$34+WR!F413*Scoring!$E$34+WR!G413/Scoring!$F$34+WR!H413*Scoring!$G$34+WR!I413*Scoring!$H$34+K413*Scoring!$I$34+WR!L413*Scoring!$J$34+U411</f>
        <v>19.309999999999999</v>
      </c>
      <c r="N411" s="66">
        <f>C411*Scoring!$B$34+D411/Scoring!$C$34+E411*Scoring!$D$34+WR!F411*Scoring!$E$34+WR!G411/Scoring!$F$34+WR!H411*Scoring!$G$34+WR!I411*Scoring!$H$34+K411*Scoring!$I$34+WR!L411*Scoring!$J$34+U411</f>
        <v>19.309999999999999</v>
      </c>
      <c r="O411" s="66">
        <f>C412*Scoring!$B$34+D412/Scoring!$C$34+E412*Scoring!$D$34+WR!F412*Scoring!$E$34+WR!G412/Scoring!$F$34+WR!H412*Scoring!$G$34+WR!I412*Scoring!$H$34+K412*Scoring!$I$34+WR!L412*Scoring!$J$34+U411</f>
        <v>19.309999999999999</v>
      </c>
      <c r="P411" s="20">
        <f>IF(COUNTIF(Rookies!$A:$A,A411)&gt;0,1,0)</f>
        <v>0</v>
      </c>
      <c r="S411" s="20">
        <f>V411/17</f>
        <v>1.1358823529411763</v>
      </c>
      <c r="T411" s="20">
        <f>IF(P411=1,MAX(0,0.28*(12-S411)),0)</f>
        <v>0</v>
      </c>
      <c r="U411" s="20">
        <f>T411*17</f>
        <v>0</v>
      </c>
      <c r="V411" s="20">
        <f>C411*Scoring!$B$34+D411/Scoring!$C$34+E411*Scoring!$D$34+WR!F411*Scoring!$E$34+WR!G411/Scoring!$F$34+WR!H411*Scoring!$G$34+WR!I411*Scoring!$H$34+K411*Scoring!$I$34+WR!L411*Scoring!$J$34</f>
        <v>19.309999999999999</v>
      </c>
    </row>
    <row r="412" spans="1:22" ht="14.25" customHeight="1" x14ac:dyDescent="0.3">
      <c r="B412" t="s">
        <v>472</v>
      </c>
      <c r="C412">
        <v>9.1999999999999993</v>
      </c>
      <c r="D412">
        <v>113.1</v>
      </c>
      <c r="E412">
        <v>0.6</v>
      </c>
      <c r="F412">
        <v>0</v>
      </c>
      <c r="G412">
        <v>0</v>
      </c>
      <c r="H412">
        <v>0</v>
      </c>
      <c r="I412">
        <v>0.1</v>
      </c>
      <c r="J412">
        <v>19.399999999999999</v>
      </c>
      <c r="K412" s="64">
        <f t="shared" si="12"/>
        <v>0</v>
      </c>
      <c r="L412" s="64">
        <f t="shared" si="13"/>
        <v>5.5627272727272734</v>
      </c>
      <c r="M412" s="67"/>
      <c r="N412" s="67"/>
      <c r="O412" s="67"/>
    </row>
    <row r="413" spans="1:22" ht="14.25" customHeight="1" x14ac:dyDescent="0.3">
      <c r="B413" t="s">
        <v>473</v>
      </c>
      <c r="C413">
        <v>9.1999999999999993</v>
      </c>
      <c r="D413">
        <v>113.1</v>
      </c>
      <c r="E413">
        <v>0.6</v>
      </c>
      <c r="F413">
        <v>0</v>
      </c>
      <c r="G413">
        <v>0</v>
      </c>
      <c r="H413">
        <v>0</v>
      </c>
      <c r="I413">
        <v>0.1</v>
      </c>
      <c r="J413">
        <v>19.399999999999999</v>
      </c>
      <c r="K413" s="64">
        <f t="shared" si="12"/>
        <v>0</v>
      </c>
      <c r="L413" s="64">
        <f t="shared" si="13"/>
        <v>5.5627272727272734</v>
      </c>
      <c r="M413" s="67"/>
      <c r="N413" s="67"/>
      <c r="O413" s="67"/>
    </row>
    <row r="414" spans="1:22" ht="14.25" customHeight="1" x14ac:dyDescent="0.3">
      <c r="A414" t="s">
        <v>854</v>
      </c>
      <c r="B414" t="s">
        <v>507</v>
      </c>
      <c r="C414">
        <v>6.7</v>
      </c>
      <c r="D414">
        <v>77.5</v>
      </c>
      <c r="E414">
        <v>0.6</v>
      </c>
      <c r="F414">
        <v>4.4000000000000004</v>
      </c>
      <c r="G414">
        <v>23.2</v>
      </c>
      <c r="H414">
        <v>0.2</v>
      </c>
      <c r="I414">
        <v>0.1</v>
      </c>
      <c r="J414">
        <v>18.100000000000001</v>
      </c>
      <c r="K414" s="64">
        <f t="shared" si="12"/>
        <v>1.4377939042089987</v>
      </c>
      <c r="L414" s="64">
        <f t="shared" si="13"/>
        <v>3.8117715617715615</v>
      </c>
      <c r="M414" s="66">
        <f>C416*Scoring!$B$34+D416/Scoring!$C$34+E416*Scoring!$D$34+WR!F416*Scoring!$E$34+WR!G416/Scoring!$F$34+WR!H416*Scoring!$G$34+WR!I416*Scoring!$H$34+K416*Scoring!$I$34+WR!L416*Scoring!$J$34+U414</f>
        <v>18.02</v>
      </c>
      <c r="N414" s="66">
        <f>C414*Scoring!$B$34+D414/Scoring!$C$34+E414*Scoring!$D$34+WR!F414*Scoring!$E$34+WR!G414/Scoring!$F$34+WR!H414*Scoring!$G$34+WR!I414*Scoring!$H$34+K414*Scoring!$I$34+WR!L414*Scoring!$J$34+U414</f>
        <v>18.02</v>
      </c>
      <c r="O414" s="66">
        <f>C415*Scoring!$B$34+D415/Scoring!$C$34+E415*Scoring!$D$34+WR!F415*Scoring!$E$34+WR!G415/Scoring!$F$34+WR!H415*Scoring!$G$34+WR!I415*Scoring!$H$34+K415*Scoring!$I$34+WR!L415*Scoring!$J$34+U414</f>
        <v>18.02</v>
      </c>
      <c r="P414" s="20">
        <f>IF(COUNTIF(Rookies!$A:$A,A414)&gt;0,1,0)</f>
        <v>0</v>
      </c>
      <c r="S414" s="20">
        <f>V414/17</f>
        <v>1.06</v>
      </c>
      <c r="T414" s="20">
        <f>IF(P414=1,MAX(0,0.28*(12-S414)),0)</f>
        <v>0</v>
      </c>
      <c r="U414" s="20">
        <f>T414*17</f>
        <v>0</v>
      </c>
      <c r="V414" s="20">
        <f>C414*Scoring!$B$34+D414/Scoring!$C$34+E414*Scoring!$D$34+WR!F414*Scoring!$E$34+WR!G414/Scoring!$F$34+WR!H414*Scoring!$G$34+WR!I414*Scoring!$H$34+K414*Scoring!$I$34+WR!L414*Scoring!$J$34</f>
        <v>18.02</v>
      </c>
    </row>
    <row r="415" spans="1:22" ht="14.25" customHeight="1" x14ac:dyDescent="0.3">
      <c r="B415" t="s">
        <v>472</v>
      </c>
      <c r="C415">
        <v>6.7</v>
      </c>
      <c r="D415">
        <v>77.5</v>
      </c>
      <c r="E415">
        <v>0.6</v>
      </c>
      <c r="F415">
        <v>4.4000000000000004</v>
      </c>
      <c r="G415">
        <v>23.2</v>
      </c>
      <c r="H415">
        <v>0.2</v>
      </c>
      <c r="I415">
        <v>0.1</v>
      </c>
      <c r="J415">
        <v>18.2</v>
      </c>
      <c r="K415" s="64">
        <f t="shared" si="12"/>
        <v>1.4377939042089987</v>
      </c>
      <c r="L415" s="64">
        <f t="shared" si="13"/>
        <v>3.8117715617715615</v>
      </c>
      <c r="M415" s="67"/>
      <c r="N415" s="67"/>
      <c r="O415" s="67"/>
    </row>
    <row r="416" spans="1:22" ht="14.25" customHeight="1" x14ac:dyDescent="0.3">
      <c r="B416" t="s">
        <v>473</v>
      </c>
      <c r="C416">
        <v>6.7</v>
      </c>
      <c r="D416">
        <v>77.5</v>
      </c>
      <c r="E416">
        <v>0.6</v>
      </c>
      <c r="F416">
        <v>4.4000000000000004</v>
      </c>
      <c r="G416">
        <v>23.2</v>
      </c>
      <c r="H416">
        <v>0.2</v>
      </c>
      <c r="I416">
        <v>0.1</v>
      </c>
      <c r="J416">
        <v>18.2</v>
      </c>
      <c r="K416" s="64">
        <f t="shared" si="12"/>
        <v>1.4377939042089987</v>
      </c>
      <c r="L416" s="64">
        <f t="shared" si="13"/>
        <v>3.8117715617715615</v>
      </c>
      <c r="M416" s="67"/>
      <c r="N416" s="67"/>
      <c r="O416" s="67"/>
    </row>
    <row r="417" spans="1:22" ht="14.25" customHeight="1" x14ac:dyDescent="0.3">
      <c r="A417" t="s">
        <v>855</v>
      </c>
      <c r="B417" t="s">
        <v>521</v>
      </c>
      <c r="C417">
        <v>6.6</v>
      </c>
      <c r="D417">
        <v>75.5</v>
      </c>
      <c r="E417">
        <v>0.4</v>
      </c>
      <c r="F417">
        <v>6.2</v>
      </c>
      <c r="G417">
        <v>37</v>
      </c>
      <c r="H417">
        <v>0.2</v>
      </c>
      <c r="I417">
        <v>0.1</v>
      </c>
      <c r="J417">
        <v>17.899999999999999</v>
      </c>
      <c r="K417" s="64">
        <f t="shared" si="12"/>
        <v>2.2930333817126272</v>
      </c>
      <c r="L417" s="64">
        <f t="shared" si="13"/>
        <v>3.7134032634032637</v>
      </c>
      <c r="M417" s="66">
        <f>C419*Scoring!$B$34+D419/Scoring!$C$34+E419*Scoring!$D$34+WR!F419*Scoring!$E$34+WR!G419/Scoring!$F$34+WR!H419*Scoring!$G$34+WR!I419*Scoring!$H$34+K419*Scoring!$I$34+WR!L419*Scoring!$J$34+U417</f>
        <v>17.95</v>
      </c>
      <c r="N417" s="66">
        <f>C417*Scoring!$B$34+D417/Scoring!$C$34+E417*Scoring!$D$34+WR!F417*Scoring!$E$34+WR!G417/Scoring!$F$34+WR!H417*Scoring!$G$34+WR!I417*Scoring!$H$34+K417*Scoring!$I$34+WR!L417*Scoring!$J$34+U417</f>
        <v>17.95</v>
      </c>
      <c r="O417" s="66">
        <f>C418*Scoring!$B$34+D418/Scoring!$C$34+E418*Scoring!$D$34+WR!F418*Scoring!$E$34+WR!G418/Scoring!$F$34+WR!H418*Scoring!$G$34+WR!I418*Scoring!$H$34+K418*Scoring!$I$34+WR!L418*Scoring!$J$34+U417</f>
        <v>17.95</v>
      </c>
      <c r="P417" s="20">
        <f>IF(COUNTIF(Rookies!$A:$A,A417)&gt;0,1,0)</f>
        <v>0</v>
      </c>
      <c r="S417" s="20">
        <f>V417/17</f>
        <v>1.0558823529411765</v>
      </c>
      <c r="T417" s="20">
        <f>IF(P417=1,MAX(0,0.28*(12-S417)),0)</f>
        <v>0</v>
      </c>
      <c r="U417" s="20">
        <f>T417*17</f>
        <v>0</v>
      </c>
      <c r="V417" s="20">
        <f>C417*Scoring!$B$34+D417/Scoring!$C$34+E417*Scoring!$D$34+WR!F417*Scoring!$E$34+WR!G417/Scoring!$F$34+WR!H417*Scoring!$G$34+WR!I417*Scoring!$H$34+K417*Scoring!$I$34+WR!L417*Scoring!$J$34</f>
        <v>17.95</v>
      </c>
    </row>
    <row r="418" spans="1:22" ht="14.25" customHeight="1" x14ac:dyDescent="0.3">
      <c r="B418" t="s">
        <v>472</v>
      </c>
      <c r="C418">
        <v>6.6</v>
      </c>
      <c r="D418">
        <v>75.5</v>
      </c>
      <c r="E418">
        <v>0.4</v>
      </c>
      <c r="F418">
        <v>6.2</v>
      </c>
      <c r="G418">
        <v>37</v>
      </c>
      <c r="H418">
        <v>0.2</v>
      </c>
      <c r="I418">
        <v>0.1</v>
      </c>
      <c r="J418">
        <v>17.899999999999999</v>
      </c>
      <c r="K418" s="64">
        <f t="shared" si="12"/>
        <v>2.2930333817126272</v>
      </c>
      <c r="L418" s="64">
        <f t="shared" si="13"/>
        <v>3.7134032634032637</v>
      </c>
      <c r="M418" s="67"/>
      <c r="N418" s="67"/>
      <c r="O418" s="67"/>
    </row>
    <row r="419" spans="1:22" ht="14.25" customHeight="1" x14ac:dyDescent="0.3">
      <c r="B419" t="s">
        <v>473</v>
      </c>
      <c r="C419">
        <v>6.6</v>
      </c>
      <c r="D419">
        <v>75.5</v>
      </c>
      <c r="E419">
        <v>0.4</v>
      </c>
      <c r="F419">
        <v>6.2</v>
      </c>
      <c r="G419">
        <v>37</v>
      </c>
      <c r="H419">
        <v>0.2</v>
      </c>
      <c r="I419">
        <v>0.1</v>
      </c>
      <c r="J419">
        <v>17.899999999999999</v>
      </c>
      <c r="K419" s="64">
        <f t="shared" si="12"/>
        <v>2.2930333817126272</v>
      </c>
      <c r="L419" s="64">
        <f t="shared" si="13"/>
        <v>3.7134032634032637</v>
      </c>
      <c r="M419" s="67"/>
      <c r="N419" s="67"/>
      <c r="O419" s="67"/>
    </row>
    <row r="420" spans="1:22" ht="14.25" customHeight="1" x14ac:dyDescent="0.3">
      <c r="A420" t="s">
        <v>844</v>
      </c>
      <c r="B420" t="s">
        <v>501</v>
      </c>
      <c r="C420">
        <v>7.5</v>
      </c>
      <c r="D420">
        <v>84.7</v>
      </c>
      <c r="E420">
        <v>0.6</v>
      </c>
      <c r="F420">
        <v>2.2999999999999998</v>
      </c>
      <c r="G420">
        <v>12.1</v>
      </c>
      <c r="H420">
        <v>0.1</v>
      </c>
      <c r="I420">
        <v>0.1</v>
      </c>
      <c r="J420">
        <v>17.600000000000001</v>
      </c>
      <c r="K420" s="64">
        <f t="shared" si="12"/>
        <v>0.74988388969521047</v>
      </c>
      <c r="L420" s="64">
        <f t="shared" si="13"/>
        <v>4.1658974358974357</v>
      </c>
      <c r="M420" s="66">
        <f>C422*Scoring!$B$34+D422/Scoring!$C$34+E422*Scoring!$D$34+WR!F422*Scoring!$E$34+WR!G422/Scoring!$F$34+WR!H422*Scoring!$G$34+WR!I422*Scoring!$H$34+K422*Scoring!$I$34+WR!L422*Scoring!$J$34+U420</f>
        <v>17.430000000000003</v>
      </c>
      <c r="N420" s="66">
        <f>C420*Scoring!$B$34+D420/Scoring!$C$34+E420*Scoring!$D$34+WR!F420*Scoring!$E$34+WR!G420/Scoring!$F$34+WR!H420*Scoring!$G$34+WR!I420*Scoring!$H$34+K420*Scoring!$I$34+WR!L420*Scoring!$J$34+U420</f>
        <v>17.430000000000003</v>
      </c>
      <c r="O420" s="66">
        <f>C421*Scoring!$B$34+D421/Scoring!$C$34+E421*Scoring!$D$34+WR!F421*Scoring!$E$34+WR!G421/Scoring!$F$34+WR!H421*Scoring!$G$34+WR!I421*Scoring!$H$34+K421*Scoring!$I$34+WR!L421*Scoring!$J$34+U420</f>
        <v>17.430000000000003</v>
      </c>
      <c r="P420" s="20">
        <f>IF(COUNTIF(Rookies!$A:$A,A420)&gt;0,1,0)</f>
        <v>0</v>
      </c>
      <c r="S420" s="20">
        <f>V420/17</f>
        <v>1.0252941176470589</v>
      </c>
      <c r="T420" s="20">
        <f>IF(P420=1,MAX(0,0.28*(12-S420)),0)</f>
        <v>0</v>
      </c>
      <c r="U420" s="20">
        <f>T420*17</f>
        <v>0</v>
      </c>
      <c r="V420" s="20">
        <f>C420*Scoring!$B$34+D420/Scoring!$C$34+E420*Scoring!$D$34+WR!F420*Scoring!$E$34+WR!G420/Scoring!$F$34+WR!H420*Scoring!$G$34+WR!I420*Scoring!$H$34+K420*Scoring!$I$34+WR!L420*Scoring!$J$34</f>
        <v>17.430000000000003</v>
      </c>
    </row>
    <row r="421" spans="1:22" ht="14.25" customHeight="1" x14ac:dyDescent="0.3">
      <c r="B421" t="s">
        <v>472</v>
      </c>
      <c r="C421">
        <v>7.5</v>
      </c>
      <c r="D421">
        <v>84.7</v>
      </c>
      <c r="E421">
        <v>0.6</v>
      </c>
      <c r="F421">
        <v>2.2999999999999998</v>
      </c>
      <c r="G421">
        <v>12.1</v>
      </c>
      <c r="H421">
        <v>0.1</v>
      </c>
      <c r="I421">
        <v>0.1</v>
      </c>
      <c r="J421">
        <v>18</v>
      </c>
      <c r="K421" s="64">
        <f t="shared" si="12"/>
        <v>0.74988388969521047</v>
      </c>
      <c r="L421" s="64">
        <f t="shared" si="13"/>
        <v>4.1658974358974357</v>
      </c>
      <c r="M421" s="67"/>
      <c r="N421" s="67"/>
      <c r="O421" s="67"/>
    </row>
    <row r="422" spans="1:22" ht="14.25" customHeight="1" x14ac:dyDescent="0.3">
      <c r="B422" t="s">
        <v>473</v>
      </c>
      <c r="C422">
        <v>7.5</v>
      </c>
      <c r="D422">
        <v>84.7</v>
      </c>
      <c r="E422">
        <v>0.6</v>
      </c>
      <c r="F422">
        <v>2.2999999999999998</v>
      </c>
      <c r="G422">
        <v>12.1</v>
      </c>
      <c r="H422">
        <v>0.1</v>
      </c>
      <c r="I422">
        <v>0.1</v>
      </c>
      <c r="J422">
        <v>18</v>
      </c>
      <c r="K422" s="64">
        <f t="shared" si="12"/>
        <v>0.74988388969521047</v>
      </c>
      <c r="L422" s="64">
        <f t="shared" si="13"/>
        <v>4.1658974358974357</v>
      </c>
      <c r="M422" s="67"/>
      <c r="N422" s="67"/>
      <c r="O422" s="67"/>
    </row>
    <row r="423" spans="1:22" ht="14.25" customHeight="1" x14ac:dyDescent="0.3">
      <c r="A423" t="s">
        <v>846</v>
      </c>
      <c r="B423" t="s">
        <v>501</v>
      </c>
      <c r="C423">
        <v>6.6</v>
      </c>
      <c r="D423">
        <v>83.7</v>
      </c>
      <c r="E423">
        <v>0.8</v>
      </c>
      <c r="F423">
        <v>0</v>
      </c>
      <c r="G423">
        <v>0</v>
      </c>
      <c r="H423">
        <v>0</v>
      </c>
      <c r="I423">
        <v>0.1</v>
      </c>
      <c r="J423">
        <v>16.100000000000001</v>
      </c>
      <c r="K423" s="64">
        <f t="shared" si="12"/>
        <v>0</v>
      </c>
      <c r="L423" s="64">
        <f t="shared" si="13"/>
        <v>4.1167132867132867</v>
      </c>
      <c r="M423" s="66">
        <f>C425*Scoring!$B$34+D425/Scoring!$C$34+E425*Scoring!$D$34+WR!F425*Scoring!$E$34+WR!G425/Scoring!$F$34+WR!H425*Scoring!$G$34+WR!I425*Scoring!$H$34+K425*Scoring!$I$34+WR!L425*Scoring!$J$34+U423</f>
        <v>16.270000000000003</v>
      </c>
      <c r="N423" s="66">
        <f>C423*Scoring!$B$34+D423/Scoring!$C$34+E423*Scoring!$D$34+WR!F423*Scoring!$E$34+WR!G423/Scoring!$F$34+WR!H423*Scoring!$G$34+WR!I423*Scoring!$H$34+K423*Scoring!$I$34+WR!L423*Scoring!$J$34+U423</f>
        <v>16.270000000000003</v>
      </c>
      <c r="O423" s="66">
        <f>C424*Scoring!$B$34+D424/Scoring!$C$34+E424*Scoring!$D$34+WR!F424*Scoring!$E$34+WR!G424/Scoring!$F$34+WR!H424*Scoring!$G$34+WR!I424*Scoring!$H$34+K424*Scoring!$I$34+WR!L424*Scoring!$J$34+U423</f>
        <v>16.270000000000003</v>
      </c>
      <c r="P423" s="20">
        <f>IF(COUNTIF(Rookies!$A:$A,A423)&gt;0,1,0)</f>
        <v>0</v>
      </c>
      <c r="S423" s="20">
        <f>V423/17</f>
        <v>0.95705882352941196</v>
      </c>
      <c r="T423" s="20">
        <f>IF(P423=1,MAX(0,0.28*(12-S423)),0)</f>
        <v>0</v>
      </c>
      <c r="U423" s="20">
        <f>T423*17</f>
        <v>0</v>
      </c>
      <c r="V423" s="20">
        <f>C423*Scoring!$B$34+D423/Scoring!$C$34+E423*Scoring!$D$34+WR!F423*Scoring!$E$34+WR!G423/Scoring!$F$34+WR!H423*Scoring!$G$34+WR!I423*Scoring!$H$34+K423*Scoring!$I$34+WR!L423*Scoring!$J$34</f>
        <v>16.270000000000003</v>
      </c>
    </row>
    <row r="424" spans="1:22" ht="14.25" customHeight="1" x14ac:dyDescent="0.3">
      <c r="B424" t="s">
        <v>472</v>
      </c>
      <c r="C424">
        <v>6.6</v>
      </c>
      <c r="D424">
        <v>83.7</v>
      </c>
      <c r="E424">
        <v>0.8</v>
      </c>
      <c r="F424">
        <v>0</v>
      </c>
      <c r="G424">
        <v>0</v>
      </c>
      <c r="H424">
        <v>0</v>
      </c>
      <c r="I424">
        <v>0.1</v>
      </c>
      <c r="J424">
        <v>16.2</v>
      </c>
      <c r="K424" s="64">
        <f t="shared" si="12"/>
        <v>0</v>
      </c>
      <c r="L424" s="64">
        <f t="shared" si="13"/>
        <v>4.1167132867132867</v>
      </c>
      <c r="M424" s="67"/>
      <c r="N424" s="67"/>
      <c r="O424" s="67"/>
    </row>
    <row r="425" spans="1:22" ht="14.25" customHeight="1" x14ac:dyDescent="0.3">
      <c r="B425" t="s">
        <v>473</v>
      </c>
      <c r="C425">
        <v>6.6</v>
      </c>
      <c r="D425">
        <v>83.7</v>
      </c>
      <c r="E425">
        <v>0.8</v>
      </c>
      <c r="F425">
        <v>0</v>
      </c>
      <c r="G425">
        <v>0</v>
      </c>
      <c r="H425">
        <v>0</v>
      </c>
      <c r="I425">
        <v>0.1</v>
      </c>
      <c r="J425">
        <v>16.2</v>
      </c>
      <c r="K425" s="64">
        <f t="shared" si="12"/>
        <v>0</v>
      </c>
      <c r="L425" s="64">
        <f t="shared" si="13"/>
        <v>4.1167132867132867</v>
      </c>
      <c r="M425" s="67"/>
      <c r="N425" s="67"/>
      <c r="O425" s="67"/>
    </row>
    <row r="426" spans="1:22" ht="14.25" customHeight="1" x14ac:dyDescent="0.3">
      <c r="A426" t="s">
        <v>863</v>
      </c>
      <c r="B426" t="s">
        <v>505</v>
      </c>
      <c r="C426">
        <v>7.2</v>
      </c>
      <c r="D426">
        <v>91.4</v>
      </c>
      <c r="E426">
        <v>0.4</v>
      </c>
      <c r="F426">
        <v>0</v>
      </c>
      <c r="G426">
        <v>0</v>
      </c>
      <c r="H426">
        <v>0</v>
      </c>
      <c r="I426">
        <v>0.1</v>
      </c>
      <c r="J426">
        <v>15.1</v>
      </c>
      <c r="K426" s="64">
        <f t="shared" si="12"/>
        <v>0</v>
      </c>
      <c r="L426" s="64">
        <f t="shared" si="13"/>
        <v>4.4954312354312362</v>
      </c>
      <c r="M426" s="66">
        <f>C428*Scoring!$B$34+D428/Scoring!$C$34+E428*Scoring!$D$34+WR!F428*Scoring!$E$34+WR!G428/Scoring!$F$34+WR!H428*Scoring!$G$34+WR!I428*Scoring!$H$34+K428*Scoring!$I$34+WR!L428*Scoring!$J$34+U426</f>
        <v>67.876800000000003</v>
      </c>
      <c r="N426" s="66">
        <f>C426*Scoring!$B$34+D426/Scoring!$C$34+E426*Scoring!$D$34+WR!F426*Scoring!$E$34+WR!G426/Scoring!$F$34+WR!H426*Scoring!$G$34+WR!I426*Scoring!$H$34+K426*Scoring!$I$34+WR!L426*Scoring!$J$34+U426</f>
        <v>67.876800000000003</v>
      </c>
      <c r="O426" s="66">
        <f>C427*Scoring!$B$34+D427/Scoring!$C$34+E427*Scoring!$D$34+WR!F427*Scoring!$E$34+WR!G427/Scoring!$F$34+WR!H427*Scoring!$G$34+WR!I427*Scoring!$H$34+K427*Scoring!$I$34+WR!L427*Scoring!$J$34+U426</f>
        <v>67.876800000000003</v>
      </c>
      <c r="P426" s="20">
        <f>IF(COUNTIF(Rookies!$A:$A,A426)&gt;0,1,0)</f>
        <v>1</v>
      </c>
      <c r="S426" s="20">
        <f>V426/17</f>
        <v>0.87882352941176478</v>
      </c>
      <c r="T426" s="20">
        <f>IF(P426=1,MAX(0,0.28*(12-S426)),0)</f>
        <v>3.1139294117647061</v>
      </c>
      <c r="U426" s="20">
        <f>T426*17</f>
        <v>52.936800000000005</v>
      </c>
      <c r="V426" s="20">
        <f>C426*Scoring!$B$34+D426/Scoring!$C$34+E426*Scoring!$D$34+WR!F426*Scoring!$E$34+WR!G426/Scoring!$F$34+WR!H426*Scoring!$G$34+WR!I426*Scoring!$H$34+K426*Scoring!$I$34+WR!L426*Scoring!$J$34</f>
        <v>14.940000000000001</v>
      </c>
    </row>
    <row r="427" spans="1:22" ht="14.25" customHeight="1" x14ac:dyDescent="0.3">
      <c r="B427" t="s">
        <v>472</v>
      </c>
      <c r="C427">
        <v>7.2</v>
      </c>
      <c r="D427">
        <v>91.4</v>
      </c>
      <c r="E427">
        <v>0.4</v>
      </c>
      <c r="F427">
        <v>0</v>
      </c>
      <c r="G427">
        <v>0</v>
      </c>
      <c r="H427">
        <v>0</v>
      </c>
      <c r="I427">
        <v>0.1</v>
      </c>
      <c r="J427">
        <v>17.2</v>
      </c>
      <c r="K427" s="64">
        <f t="shared" si="12"/>
        <v>0</v>
      </c>
      <c r="L427" s="64">
        <f t="shared" si="13"/>
        <v>4.4954312354312362</v>
      </c>
      <c r="M427" s="67"/>
      <c r="N427" s="67"/>
      <c r="O427" s="67"/>
    </row>
    <row r="428" spans="1:22" ht="14.25" customHeight="1" x14ac:dyDescent="0.3">
      <c r="B428" t="s">
        <v>473</v>
      </c>
      <c r="C428">
        <v>7.2</v>
      </c>
      <c r="D428">
        <v>91.4</v>
      </c>
      <c r="E428">
        <v>0.4</v>
      </c>
      <c r="F428">
        <v>0</v>
      </c>
      <c r="G428">
        <v>0</v>
      </c>
      <c r="H428">
        <v>0</v>
      </c>
      <c r="I428">
        <v>0.1</v>
      </c>
      <c r="J428">
        <v>17.2</v>
      </c>
      <c r="K428" s="64">
        <f t="shared" si="12"/>
        <v>0</v>
      </c>
      <c r="L428" s="64">
        <f t="shared" si="13"/>
        <v>4.4954312354312362</v>
      </c>
      <c r="M428" s="67"/>
      <c r="N428" s="67"/>
      <c r="O428" s="67"/>
    </row>
    <row r="429" spans="1:22" ht="14.25" customHeight="1" x14ac:dyDescent="0.3">
      <c r="A429" t="s">
        <v>856</v>
      </c>
      <c r="B429" t="s">
        <v>493</v>
      </c>
      <c r="C429">
        <v>6.8</v>
      </c>
      <c r="D429">
        <v>78.099999999999994</v>
      </c>
      <c r="E429">
        <v>0.6</v>
      </c>
      <c r="F429">
        <v>0</v>
      </c>
      <c r="G429">
        <v>0</v>
      </c>
      <c r="H429">
        <v>0</v>
      </c>
      <c r="I429">
        <v>0.1</v>
      </c>
      <c r="J429">
        <v>14.9</v>
      </c>
      <c r="K429" s="64">
        <f t="shared" si="12"/>
        <v>0</v>
      </c>
      <c r="L429" s="64">
        <f t="shared" si="13"/>
        <v>3.8412820512820511</v>
      </c>
      <c r="M429" s="66">
        <f>C431*Scoring!$B$34+D431/Scoring!$C$34+E431*Scoring!$D$34+WR!F431*Scoring!$E$34+WR!G431/Scoring!$F$34+WR!H431*Scoring!$G$34+WR!I431*Scoring!$H$34+K431*Scoring!$I$34+WR!L431*Scoring!$J$34+U429</f>
        <v>14.61</v>
      </c>
      <c r="N429" s="66">
        <f>C429*Scoring!$B$34+D429/Scoring!$C$34+E429*Scoring!$D$34+WR!F429*Scoring!$E$34+WR!G429/Scoring!$F$34+WR!H429*Scoring!$G$34+WR!I429*Scoring!$H$34+K429*Scoring!$I$34+WR!L429*Scoring!$J$34+U429</f>
        <v>14.61</v>
      </c>
      <c r="O429" s="66">
        <f>C430*Scoring!$B$34+D430/Scoring!$C$34+E430*Scoring!$D$34+WR!F430*Scoring!$E$34+WR!G430/Scoring!$F$34+WR!H430*Scoring!$G$34+WR!I430*Scoring!$H$34+K430*Scoring!$I$34+WR!L430*Scoring!$J$34+U429</f>
        <v>14.61</v>
      </c>
      <c r="P429" s="20">
        <f>IF(COUNTIF(Rookies!$A:$A,A429)&gt;0,1,0)</f>
        <v>0</v>
      </c>
      <c r="S429" s="20">
        <f>V429/17</f>
        <v>0.85941176470588232</v>
      </c>
      <c r="T429" s="20">
        <f>IF(P429=1,MAX(0,0.28*(12-S429)),0)</f>
        <v>0</v>
      </c>
      <c r="U429" s="20">
        <f>T429*17</f>
        <v>0</v>
      </c>
      <c r="V429" s="20">
        <f>C429*Scoring!$B$34+D429/Scoring!$C$34+E429*Scoring!$D$34+WR!F429*Scoring!$E$34+WR!G429/Scoring!$F$34+WR!H429*Scoring!$G$34+WR!I429*Scoring!$H$34+K429*Scoring!$I$34+WR!L429*Scoring!$J$34</f>
        <v>14.61</v>
      </c>
    </row>
    <row r="430" spans="1:22" ht="14.25" customHeight="1" x14ac:dyDescent="0.3">
      <c r="B430" t="s">
        <v>472</v>
      </c>
      <c r="C430">
        <v>6.8</v>
      </c>
      <c r="D430">
        <v>78.099999999999994</v>
      </c>
      <c r="E430">
        <v>0.6</v>
      </c>
      <c r="F430">
        <v>0</v>
      </c>
      <c r="G430">
        <v>0</v>
      </c>
      <c r="H430">
        <v>0</v>
      </c>
      <c r="I430">
        <v>0.1</v>
      </c>
      <c r="J430">
        <v>14.9</v>
      </c>
      <c r="K430" s="64">
        <f t="shared" si="12"/>
        <v>0</v>
      </c>
      <c r="L430" s="64">
        <f t="shared" si="13"/>
        <v>3.8412820512820511</v>
      </c>
      <c r="M430" s="67"/>
      <c r="N430" s="67"/>
      <c r="O430" s="67"/>
    </row>
    <row r="431" spans="1:22" ht="14.25" customHeight="1" x14ac:dyDescent="0.3">
      <c r="B431" t="s">
        <v>473</v>
      </c>
      <c r="C431">
        <v>6.8</v>
      </c>
      <c r="D431">
        <v>78.099999999999994</v>
      </c>
      <c r="E431">
        <v>0.6</v>
      </c>
      <c r="F431">
        <v>0</v>
      </c>
      <c r="G431">
        <v>0</v>
      </c>
      <c r="H431">
        <v>0</v>
      </c>
      <c r="I431">
        <v>0.1</v>
      </c>
      <c r="J431">
        <v>14.9</v>
      </c>
      <c r="K431" s="64">
        <f t="shared" si="12"/>
        <v>0</v>
      </c>
      <c r="L431" s="64">
        <f t="shared" si="13"/>
        <v>3.8412820512820511</v>
      </c>
      <c r="M431" s="67"/>
      <c r="N431" s="67"/>
      <c r="O431" s="67"/>
    </row>
    <row r="432" spans="1:22" ht="14.25" customHeight="1" x14ac:dyDescent="0.3">
      <c r="A432" t="s">
        <v>857</v>
      </c>
      <c r="B432" t="s">
        <v>497</v>
      </c>
      <c r="C432">
        <v>6.4</v>
      </c>
      <c r="D432">
        <v>80.599999999999994</v>
      </c>
      <c r="E432">
        <v>0.6</v>
      </c>
      <c r="F432">
        <v>0</v>
      </c>
      <c r="G432">
        <v>0</v>
      </c>
      <c r="H432">
        <v>0</v>
      </c>
      <c r="I432">
        <v>0.1</v>
      </c>
      <c r="J432">
        <v>14.6</v>
      </c>
      <c r="K432" s="64">
        <f t="shared" si="12"/>
        <v>0</v>
      </c>
      <c r="L432" s="64">
        <f t="shared" si="13"/>
        <v>3.9642424242424243</v>
      </c>
      <c r="M432" s="66">
        <f>C434*Scoring!$B$34+D434/Scoring!$C$34+E434*Scoring!$D$34+WR!F434*Scoring!$E$34+WR!G434/Scoring!$F$34+WR!H434*Scoring!$G$34+WR!I434*Scoring!$H$34+K434*Scoring!$I$34+WR!L434*Scoring!$J$34+U432</f>
        <v>14.659999999999998</v>
      </c>
      <c r="N432" s="66">
        <f>C432*Scoring!$B$34+D432/Scoring!$C$34+E432*Scoring!$D$34+WR!F432*Scoring!$E$34+WR!G432/Scoring!$F$34+WR!H432*Scoring!$G$34+WR!I432*Scoring!$H$34+K432*Scoring!$I$34+WR!L432*Scoring!$J$34+U432</f>
        <v>14.659999999999998</v>
      </c>
      <c r="O432" s="66">
        <f>C433*Scoring!$B$34+D433/Scoring!$C$34+E433*Scoring!$D$34+WR!F433*Scoring!$E$34+WR!G433/Scoring!$F$34+WR!H433*Scoring!$G$34+WR!I433*Scoring!$H$34+K433*Scoring!$I$34+WR!L433*Scoring!$J$34+U432</f>
        <v>14.659999999999998</v>
      </c>
      <c r="P432" s="20">
        <f>IF(COUNTIF(Rookies!$A:$A,A432)&gt;0,1,0)</f>
        <v>0</v>
      </c>
      <c r="S432" s="20">
        <f>V432/17</f>
        <v>0.86235294117647054</v>
      </c>
      <c r="T432" s="20">
        <f>IF(P432=1,MAX(0,0.28*(12-S432)),0)</f>
        <v>0</v>
      </c>
      <c r="U432" s="20">
        <f>T432*17</f>
        <v>0</v>
      </c>
      <c r="V432" s="20">
        <f>C432*Scoring!$B$34+D432/Scoring!$C$34+E432*Scoring!$D$34+WR!F432*Scoring!$E$34+WR!G432/Scoring!$F$34+WR!H432*Scoring!$G$34+WR!I432*Scoring!$H$34+K432*Scoring!$I$34+WR!L432*Scoring!$J$34</f>
        <v>14.659999999999998</v>
      </c>
    </row>
    <row r="433" spans="1:22" ht="14.25" customHeight="1" x14ac:dyDescent="0.3">
      <c r="B433" t="s">
        <v>472</v>
      </c>
      <c r="C433">
        <v>6.4</v>
      </c>
      <c r="D433">
        <v>80.599999999999994</v>
      </c>
      <c r="E433">
        <v>0.6</v>
      </c>
      <c r="F433">
        <v>0</v>
      </c>
      <c r="G433">
        <v>0</v>
      </c>
      <c r="H433">
        <v>0</v>
      </c>
      <c r="I433">
        <v>0.1</v>
      </c>
      <c r="J433">
        <v>14.9</v>
      </c>
      <c r="K433" s="64">
        <f t="shared" si="12"/>
        <v>0</v>
      </c>
      <c r="L433" s="64">
        <f t="shared" si="13"/>
        <v>3.9642424242424243</v>
      </c>
      <c r="M433" s="67"/>
      <c r="N433" s="67"/>
      <c r="O433" s="67"/>
    </row>
    <row r="434" spans="1:22" ht="14.25" customHeight="1" x14ac:dyDescent="0.3">
      <c r="B434" t="s">
        <v>473</v>
      </c>
      <c r="C434">
        <v>6.4</v>
      </c>
      <c r="D434">
        <v>80.599999999999994</v>
      </c>
      <c r="E434">
        <v>0.6</v>
      </c>
      <c r="F434">
        <v>0</v>
      </c>
      <c r="G434">
        <v>0</v>
      </c>
      <c r="H434">
        <v>0</v>
      </c>
      <c r="I434">
        <v>0.1</v>
      </c>
      <c r="J434">
        <v>14.9</v>
      </c>
      <c r="K434" s="64">
        <f t="shared" si="12"/>
        <v>0</v>
      </c>
      <c r="L434" s="64">
        <f t="shared" si="13"/>
        <v>3.9642424242424243</v>
      </c>
      <c r="M434" s="67"/>
      <c r="N434" s="67"/>
      <c r="O434" s="67"/>
    </row>
    <row r="435" spans="1:22" ht="14.25" customHeight="1" x14ac:dyDescent="0.3">
      <c r="A435" t="s">
        <v>881</v>
      </c>
      <c r="B435" t="s">
        <v>511</v>
      </c>
      <c r="C435">
        <v>7.1</v>
      </c>
      <c r="D435">
        <v>78.3</v>
      </c>
      <c r="E435">
        <v>0.4</v>
      </c>
      <c r="F435">
        <v>0</v>
      </c>
      <c r="G435">
        <v>0</v>
      </c>
      <c r="H435">
        <v>0</v>
      </c>
      <c r="I435">
        <v>0.1</v>
      </c>
      <c r="J435">
        <v>13.7</v>
      </c>
      <c r="K435" s="64">
        <f t="shared" si="12"/>
        <v>0</v>
      </c>
      <c r="L435" s="64">
        <f t="shared" si="13"/>
        <v>3.8511188811188815</v>
      </c>
      <c r="M435" s="66">
        <f>C437*Scoring!$B$34+D437/Scoring!$C$34+E437*Scoring!$D$34+WR!F437*Scoring!$E$34+WR!G437/Scoring!$F$34+WR!H437*Scoring!$G$34+WR!I437*Scoring!$H$34+K437*Scoring!$I$34+WR!L437*Scoring!$J$34+U435</f>
        <v>13.58</v>
      </c>
      <c r="N435" s="66">
        <f>C435*Scoring!$B$34+D435/Scoring!$C$34+E435*Scoring!$D$34+WR!F435*Scoring!$E$34+WR!G435/Scoring!$F$34+WR!H435*Scoring!$G$34+WR!I435*Scoring!$H$34+K435*Scoring!$I$34+WR!L435*Scoring!$J$34+U435</f>
        <v>13.58</v>
      </c>
      <c r="O435" s="66">
        <f>C436*Scoring!$B$34+D436/Scoring!$C$34+E436*Scoring!$D$34+WR!F436*Scoring!$E$34+WR!G436/Scoring!$F$34+WR!H436*Scoring!$G$34+WR!I436*Scoring!$H$34+K436*Scoring!$I$34+WR!L436*Scoring!$J$34+U435</f>
        <v>13.58</v>
      </c>
      <c r="P435" s="20">
        <f>IF(COUNTIF(Rookies!$A:$A,A435)&gt;0,1,0)</f>
        <v>0</v>
      </c>
      <c r="S435" s="20">
        <f>V435/17</f>
        <v>0.79882352941176471</v>
      </c>
      <c r="T435" s="20">
        <f>IF(P435=1,MAX(0,0.28*(12-S435)),0)</f>
        <v>0</v>
      </c>
      <c r="U435" s="20">
        <f>T435*17</f>
        <v>0</v>
      </c>
      <c r="V435" s="20">
        <f>C435*Scoring!$B$34+D435/Scoring!$C$34+E435*Scoring!$D$34+WR!F435*Scoring!$E$34+WR!G435/Scoring!$F$34+WR!H435*Scoring!$G$34+WR!I435*Scoring!$H$34+K435*Scoring!$I$34+WR!L435*Scoring!$J$34</f>
        <v>13.58</v>
      </c>
    </row>
    <row r="436" spans="1:22" ht="14.25" customHeight="1" x14ac:dyDescent="0.3">
      <c r="B436" t="s">
        <v>472</v>
      </c>
      <c r="C436">
        <v>7.1</v>
      </c>
      <c r="D436">
        <v>78.3</v>
      </c>
      <c r="E436">
        <v>0.4</v>
      </c>
      <c r="F436">
        <v>0</v>
      </c>
      <c r="G436">
        <v>0</v>
      </c>
      <c r="H436">
        <v>0</v>
      </c>
      <c r="I436">
        <v>0.1</v>
      </c>
      <c r="J436">
        <v>13.8</v>
      </c>
      <c r="K436" s="64">
        <f t="shared" si="12"/>
        <v>0</v>
      </c>
      <c r="L436" s="64">
        <f t="shared" si="13"/>
        <v>3.8511188811188815</v>
      </c>
      <c r="M436" s="67"/>
      <c r="N436" s="67"/>
      <c r="O436" s="67"/>
    </row>
    <row r="437" spans="1:22" ht="14.25" customHeight="1" x14ac:dyDescent="0.3">
      <c r="B437" t="s">
        <v>473</v>
      </c>
      <c r="C437">
        <v>7.1</v>
      </c>
      <c r="D437">
        <v>78.3</v>
      </c>
      <c r="E437">
        <v>0.4</v>
      </c>
      <c r="F437">
        <v>0</v>
      </c>
      <c r="G437">
        <v>0</v>
      </c>
      <c r="H437">
        <v>0</v>
      </c>
      <c r="I437">
        <v>0.1</v>
      </c>
      <c r="J437">
        <v>13.8</v>
      </c>
      <c r="K437" s="64">
        <f t="shared" si="12"/>
        <v>0</v>
      </c>
      <c r="L437" s="64">
        <f t="shared" si="13"/>
        <v>3.8511188811188815</v>
      </c>
      <c r="M437" s="67"/>
      <c r="N437" s="67"/>
      <c r="O437" s="67"/>
    </row>
    <row r="438" spans="1:22" ht="14.25" customHeight="1" x14ac:dyDescent="0.3">
      <c r="A438" t="s">
        <v>862</v>
      </c>
      <c r="B438" t="s">
        <v>515</v>
      </c>
      <c r="C438">
        <v>5.0999999999999996</v>
      </c>
      <c r="D438">
        <v>65.8</v>
      </c>
      <c r="E438">
        <v>0.4</v>
      </c>
      <c r="F438">
        <v>2.2000000000000002</v>
      </c>
      <c r="G438">
        <v>12.7</v>
      </c>
      <c r="H438">
        <v>0.1</v>
      </c>
      <c r="I438">
        <v>0.1</v>
      </c>
      <c r="J438">
        <v>13.4</v>
      </c>
      <c r="K438" s="64">
        <f t="shared" si="12"/>
        <v>0.78706821480406375</v>
      </c>
      <c r="L438" s="64">
        <f t="shared" si="13"/>
        <v>3.2363170163170167</v>
      </c>
      <c r="M438" s="66">
        <f>C440*Scoring!$B$34+D440/Scoring!$C$34+E440*Scoring!$D$34+WR!F440*Scoring!$E$34+WR!G440/Scoring!$F$34+WR!H440*Scoring!$G$34+WR!I440*Scoring!$H$34+K440*Scoring!$I$34+WR!L440*Scoring!$J$34+U438</f>
        <v>13.2</v>
      </c>
      <c r="N438" s="66">
        <f>C438*Scoring!$B$34+D438/Scoring!$C$34+E438*Scoring!$D$34+WR!F438*Scoring!$E$34+WR!G438/Scoring!$F$34+WR!H438*Scoring!$G$34+WR!I438*Scoring!$H$34+K438*Scoring!$I$34+WR!L438*Scoring!$J$34+U438</f>
        <v>13.2</v>
      </c>
      <c r="O438" s="66">
        <f>C439*Scoring!$B$34+D439/Scoring!$C$34+E439*Scoring!$D$34+WR!F439*Scoring!$E$34+WR!G439/Scoring!$F$34+WR!H439*Scoring!$G$34+WR!I439*Scoring!$H$34+K439*Scoring!$I$34+WR!L439*Scoring!$J$34+U438</f>
        <v>13.2</v>
      </c>
      <c r="P438" s="20">
        <f>IF(COUNTIF(Rookies!$A:$A,A438)&gt;0,1,0)</f>
        <v>0</v>
      </c>
      <c r="S438" s="20">
        <f>V438/17</f>
        <v>0.77647058823529402</v>
      </c>
      <c r="T438" s="20">
        <f>IF(P438=1,MAX(0,0.28*(12-S438)),0)</f>
        <v>0</v>
      </c>
      <c r="U438" s="20">
        <f>T438*17</f>
        <v>0</v>
      </c>
      <c r="V438" s="20">
        <f>C438*Scoring!$B$34+D438/Scoring!$C$34+E438*Scoring!$D$34+WR!F438*Scoring!$E$34+WR!G438/Scoring!$F$34+WR!H438*Scoring!$G$34+WR!I438*Scoring!$H$34+K438*Scoring!$I$34+WR!L438*Scoring!$J$34</f>
        <v>13.2</v>
      </c>
    </row>
    <row r="439" spans="1:22" ht="14.25" customHeight="1" x14ac:dyDescent="0.3">
      <c r="B439" t="s">
        <v>472</v>
      </c>
      <c r="C439">
        <v>5.0999999999999996</v>
      </c>
      <c r="D439">
        <v>65.8</v>
      </c>
      <c r="E439">
        <v>0.4</v>
      </c>
      <c r="F439">
        <v>2.2000000000000002</v>
      </c>
      <c r="G439">
        <v>12.7</v>
      </c>
      <c r="H439">
        <v>0.1</v>
      </c>
      <c r="I439">
        <v>0.1</v>
      </c>
      <c r="J439">
        <v>13.6</v>
      </c>
      <c r="K439" s="64">
        <f t="shared" si="12"/>
        <v>0.78706821480406375</v>
      </c>
      <c r="L439" s="64">
        <f t="shared" si="13"/>
        <v>3.2363170163170167</v>
      </c>
      <c r="M439" s="67"/>
      <c r="N439" s="67"/>
      <c r="O439" s="67"/>
    </row>
    <row r="440" spans="1:22" ht="14.25" customHeight="1" x14ac:dyDescent="0.3">
      <c r="B440" t="s">
        <v>473</v>
      </c>
      <c r="C440">
        <v>5.0999999999999996</v>
      </c>
      <c r="D440">
        <v>65.8</v>
      </c>
      <c r="E440">
        <v>0.4</v>
      </c>
      <c r="F440">
        <v>2.2000000000000002</v>
      </c>
      <c r="G440">
        <v>12.7</v>
      </c>
      <c r="H440">
        <v>0.1</v>
      </c>
      <c r="I440">
        <v>0.1</v>
      </c>
      <c r="J440">
        <v>13.6</v>
      </c>
      <c r="K440" s="64">
        <f t="shared" si="12"/>
        <v>0.78706821480406375</v>
      </c>
      <c r="L440" s="64">
        <f t="shared" si="13"/>
        <v>3.2363170163170167</v>
      </c>
      <c r="M440" s="67"/>
      <c r="N440" s="67"/>
      <c r="O440" s="67"/>
    </row>
    <row r="441" spans="1:22" ht="14.25" customHeight="1" x14ac:dyDescent="0.3">
      <c r="A441" t="s">
        <v>1648</v>
      </c>
      <c r="B441" t="s">
        <v>503</v>
      </c>
      <c r="C441">
        <v>3.4</v>
      </c>
      <c r="D441">
        <v>40.700000000000003</v>
      </c>
      <c r="E441">
        <v>0.3</v>
      </c>
      <c r="F441">
        <v>4.7</v>
      </c>
      <c r="G441">
        <v>25.7</v>
      </c>
      <c r="H441">
        <v>0.3</v>
      </c>
      <c r="I441">
        <v>0.1</v>
      </c>
      <c r="J441">
        <v>11.5</v>
      </c>
      <c r="K441" s="64">
        <f t="shared" si="12"/>
        <v>1.5927285921625545</v>
      </c>
      <c r="L441" s="64">
        <f t="shared" si="13"/>
        <v>2.0017948717948721</v>
      </c>
      <c r="M441" s="66">
        <f>C443*Scoring!$B$34+D443/Scoring!$C$34+E443*Scoring!$D$34+WR!F443*Scoring!$E$34+WR!G443/Scoring!$F$34+WR!H443*Scoring!$G$34+WR!I443*Scoring!$H$34+K443*Scoring!$I$34+WR!L443*Scoring!$J$34+U441</f>
        <v>11.740000000000002</v>
      </c>
      <c r="N441" s="66">
        <f>C441*Scoring!$B$34+D441/Scoring!$C$34+E441*Scoring!$D$34+WR!F441*Scoring!$E$34+WR!G441/Scoring!$F$34+WR!H441*Scoring!$G$34+WR!I441*Scoring!$H$34+K441*Scoring!$I$34+WR!L441*Scoring!$J$34+U441</f>
        <v>11.740000000000002</v>
      </c>
      <c r="O441" s="66">
        <f>C442*Scoring!$B$34+D442/Scoring!$C$34+E442*Scoring!$D$34+WR!F442*Scoring!$E$34+WR!G442/Scoring!$F$34+WR!H442*Scoring!$G$34+WR!I442*Scoring!$H$34+K442*Scoring!$I$34+WR!L442*Scoring!$J$34+U441</f>
        <v>11.740000000000002</v>
      </c>
      <c r="P441" s="20">
        <f>IF(COUNTIF(Rookies!$A:$A,A441)&gt;0,1,0)</f>
        <v>0</v>
      </c>
      <c r="S441" s="20">
        <f>V441/17</f>
        <v>0.69058823529411772</v>
      </c>
      <c r="T441" s="20">
        <f>IF(P441=1,MAX(0,0.28*(12-S441)),0)</f>
        <v>0</v>
      </c>
      <c r="U441" s="20">
        <f>T441*17</f>
        <v>0</v>
      </c>
      <c r="V441" s="20">
        <f>C441*Scoring!$B$34+D441/Scoring!$C$34+E441*Scoring!$D$34+WR!F441*Scoring!$E$34+WR!G441/Scoring!$F$34+WR!H441*Scoring!$G$34+WR!I441*Scoring!$H$34+K441*Scoring!$I$34+WR!L441*Scoring!$J$34</f>
        <v>11.740000000000002</v>
      </c>
    </row>
    <row r="442" spans="1:22" ht="14.25" customHeight="1" x14ac:dyDescent="0.3">
      <c r="B442" t="s">
        <v>472</v>
      </c>
      <c r="C442">
        <v>3.4</v>
      </c>
      <c r="D442">
        <v>40.700000000000003</v>
      </c>
      <c r="E442">
        <v>0.3</v>
      </c>
      <c r="F442">
        <v>4.7</v>
      </c>
      <c r="G442">
        <v>25.7</v>
      </c>
      <c r="H442">
        <v>0.3</v>
      </c>
      <c r="I442">
        <v>0.1</v>
      </c>
      <c r="J442">
        <v>11.5</v>
      </c>
      <c r="K442" s="64">
        <f t="shared" si="12"/>
        <v>1.5927285921625545</v>
      </c>
      <c r="L442" s="64">
        <f t="shared" si="13"/>
        <v>2.0017948717948721</v>
      </c>
      <c r="M442" s="67"/>
      <c r="N442" s="67"/>
      <c r="O442" s="67"/>
    </row>
    <row r="443" spans="1:22" ht="14.25" customHeight="1" x14ac:dyDescent="0.3">
      <c r="B443" t="s">
        <v>473</v>
      </c>
      <c r="C443">
        <v>3.4</v>
      </c>
      <c r="D443">
        <v>40.700000000000003</v>
      </c>
      <c r="E443">
        <v>0.3</v>
      </c>
      <c r="F443">
        <v>4.7</v>
      </c>
      <c r="G443">
        <v>25.7</v>
      </c>
      <c r="H443">
        <v>0.3</v>
      </c>
      <c r="I443">
        <v>0.1</v>
      </c>
      <c r="J443">
        <v>11.5</v>
      </c>
      <c r="K443" s="64">
        <f t="shared" si="12"/>
        <v>1.5927285921625545</v>
      </c>
      <c r="L443" s="64">
        <f t="shared" si="13"/>
        <v>2.0017948717948721</v>
      </c>
      <c r="M443" s="67"/>
      <c r="N443" s="67"/>
      <c r="O443" s="67"/>
    </row>
    <row r="444" spans="1:22" ht="14.25" customHeight="1" x14ac:dyDescent="0.3">
      <c r="A444" t="s">
        <v>866</v>
      </c>
      <c r="B444" t="s">
        <v>535</v>
      </c>
      <c r="C444">
        <v>3.4</v>
      </c>
      <c r="D444">
        <v>33.700000000000003</v>
      </c>
      <c r="E444">
        <v>0.1</v>
      </c>
      <c r="F444">
        <v>6.4</v>
      </c>
      <c r="G444">
        <v>43.9</v>
      </c>
      <c r="H444">
        <v>0.2</v>
      </c>
      <c r="I444">
        <v>0.1</v>
      </c>
      <c r="J444">
        <v>11.2</v>
      </c>
      <c r="K444" s="64">
        <f t="shared" si="12"/>
        <v>2.7206531204644411</v>
      </c>
      <c r="L444" s="64">
        <f t="shared" si="13"/>
        <v>1.6575058275058276</v>
      </c>
      <c r="M444" s="66">
        <f>C446*Scoring!$B$34+D446/Scoring!$C$34+E446*Scoring!$D$34+WR!F446*Scoring!$E$34+WR!G446/Scoring!$F$34+WR!H446*Scoring!$G$34+WR!I446*Scoring!$H$34+K446*Scoring!$I$34+WR!L446*Scoring!$J$34+U444</f>
        <v>11.059999999999999</v>
      </c>
      <c r="N444" s="66">
        <f>C444*Scoring!$B$34+D444/Scoring!$C$34+E444*Scoring!$D$34+WR!F444*Scoring!$E$34+WR!G444/Scoring!$F$34+WR!H444*Scoring!$G$34+WR!I444*Scoring!$H$34+K444*Scoring!$I$34+WR!L444*Scoring!$J$34+U444</f>
        <v>11.059999999999999</v>
      </c>
      <c r="O444" s="66">
        <f>C445*Scoring!$B$34+D445/Scoring!$C$34+E445*Scoring!$D$34+WR!F445*Scoring!$E$34+WR!G445/Scoring!$F$34+WR!H445*Scoring!$G$34+WR!I445*Scoring!$H$34+K445*Scoring!$I$34+WR!L445*Scoring!$J$34+U444</f>
        <v>11.059999999999999</v>
      </c>
      <c r="P444" s="20">
        <f>IF(COUNTIF(Rookies!$A:$A,A444)&gt;0,1,0)</f>
        <v>0</v>
      </c>
      <c r="S444" s="20">
        <f>V444/17</f>
        <v>0.65058823529411758</v>
      </c>
      <c r="T444" s="20">
        <f>IF(P444=1,MAX(0,0.28*(12-S444)),0)</f>
        <v>0</v>
      </c>
      <c r="U444" s="20">
        <f>T444*17</f>
        <v>0</v>
      </c>
      <c r="V444" s="20">
        <f>C444*Scoring!$B$34+D444/Scoring!$C$34+E444*Scoring!$D$34+WR!F444*Scoring!$E$34+WR!G444/Scoring!$F$34+WR!H444*Scoring!$G$34+WR!I444*Scoring!$H$34+K444*Scoring!$I$34+WR!L444*Scoring!$J$34</f>
        <v>11.059999999999999</v>
      </c>
    </row>
    <row r="445" spans="1:22" ht="14.25" customHeight="1" x14ac:dyDescent="0.3">
      <c r="B445" t="s">
        <v>472</v>
      </c>
      <c r="C445">
        <v>3.4</v>
      </c>
      <c r="D445">
        <v>33.700000000000003</v>
      </c>
      <c r="E445">
        <v>0.1</v>
      </c>
      <c r="F445">
        <v>6.4</v>
      </c>
      <c r="G445">
        <v>43.9</v>
      </c>
      <c r="H445">
        <v>0.2</v>
      </c>
      <c r="I445">
        <v>0.1</v>
      </c>
      <c r="J445">
        <v>11.9</v>
      </c>
      <c r="K445" s="64">
        <f t="shared" si="12"/>
        <v>2.7206531204644411</v>
      </c>
      <c r="L445" s="64">
        <f t="shared" si="13"/>
        <v>1.6575058275058276</v>
      </c>
      <c r="M445" s="67"/>
      <c r="N445" s="67"/>
      <c r="O445" s="67"/>
    </row>
    <row r="446" spans="1:22" ht="14.25" customHeight="1" x14ac:dyDescent="0.3">
      <c r="B446" t="s">
        <v>473</v>
      </c>
      <c r="C446">
        <v>3.4</v>
      </c>
      <c r="D446">
        <v>33.700000000000003</v>
      </c>
      <c r="E446">
        <v>0.1</v>
      </c>
      <c r="F446">
        <v>6.4</v>
      </c>
      <c r="G446">
        <v>43.9</v>
      </c>
      <c r="H446">
        <v>0.2</v>
      </c>
      <c r="I446">
        <v>0.1</v>
      </c>
      <c r="J446">
        <v>11.9</v>
      </c>
      <c r="K446" s="64">
        <f t="shared" si="12"/>
        <v>2.7206531204644411</v>
      </c>
      <c r="L446" s="64">
        <f t="shared" si="13"/>
        <v>1.6575058275058276</v>
      </c>
      <c r="M446" s="67"/>
      <c r="N446" s="67"/>
      <c r="O446" s="67"/>
    </row>
    <row r="447" spans="1:22" ht="14.25" customHeight="1" x14ac:dyDescent="0.3">
      <c r="A447" t="s">
        <v>865</v>
      </c>
      <c r="B447" t="s">
        <v>497</v>
      </c>
      <c r="C447">
        <v>3.5</v>
      </c>
      <c r="D447">
        <v>38.1</v>
      </c>
      <c r="E447">
        <v>0.3</v>
      </c>
      <c r="F447">
        <v>2.1</v>
      </c>
      <c r="G447">
        <v>11</v>
      </c>
      <c r="H447">
        <v>0.1</v>
      </c>
      <c r="I447">
        <v>0.1</v>
      </c>
      <c r="J447">
        <v>8.6</v>
      </c>
      <c r="K447" s="64">
        <f t="shared" si="12"/>
        <v>0.68171262699564583</v>
      </c>
      <c r="L447" s="64">
        <f t="shared" si="13"/>
        <v>1.8739160839160842</v>
      </c>
      <c r="M447" s="66">
        <f>C449*Scoring!$B$34+D449/Scoring!$C$34+E449*Scoring!$D$34+WR!F449*Scoring!$E$34+WR!G449/Scoring!$F$34+WR!H449*Scoring!$G$34+WR!I449*Scoring!$H$34+K449*Scoring!$I$34+WR!L449*Scoring!$J$34+U447</f>
        <v>8.8600000000000012</v>
      </c>
      <c r="N447" s="66">
        <f>C447*Scoring!$B$34+D447/Scoring!$C$34+E447*Scoring!$D$34+WR!F447*Scoring!$E$34+WR!G447/Scoring!$F$34+WR!H447*Scoring!$G$34+WR!I447*Scoring!$H$34+K447*Scoring!$I$34+WR!L447*Scoring!$J$34+U447</f>
        <v>8.8600000000000012</v>
      </c>
      <c r="O447" s="66">
        <f>C448*Scoring!$B$34+D448/Scoring!$C$34+E448*Scoring!$D$34+WR!F448*Scoring!$E$34+WR!G448/Scoring!$F$34+WR!H448*Scoring!$G$34+WR!I448*Scoring!$H$34+K448*Scoring!$I$34+WR!L448*Scoring!$J$34+U447</f>
        <v>8.8600000000000012</v>
      </c>
      <c r="P447" s="20">
        <f>IF(COUNTIF(Rookies!$A:$A,A447)&gt;0,1,0)</f>
        <v>0</v>
      </c>
      <c r="S447" s="20">
        <f>V447/17</f>
        <v>0.52117647058823535</v>
      </c>
      <c r="T447" s="20">
        <f>IF(P447=1,MAX(0,0.28*(12-S447)),0)</f>
        <v>0</v>
      </c>
      <c r="U447" s="20">
        <f>T447*17</f>
        <v>0</v>
      </c>
      <c r="V447" s="20">
        <f>C447*Scoring!$B$34+D447/Scoring!$C$34+E447*Scoring!$D$34+WR!F447*Scoring!$E$34+WR!G447/Scoring!$F$34+WR!H447*Scoring!$G$34+WR!I447*Scoring!$H$34+K447*Scoring!$I$34+WR!L447*Scoring!$J$34</f>
        <v>8.8600000000000012</v>
      </c>
    </row>
    <row r="448" spans="1:22" ht="14.25" customHeight="1" x14ac:dyDescent="0.3">
      <c r="B448" t="s">
        <v>472</v>
      </c>
      <c r="C448">
        <v>3.5</v>
      </c>
      <c r="D448">
        <v>38.1</v>
      </c>
      <c r="E448">
        <v>0.3</v>
      </c>
      <c r="F448">
        <v>2.1</v>
      </c>
      <c r="G448">
        <v>11</v>
      </c>
      <c r="H448">
        <v>0.1</v>
      </c>
      <c r="I448">
        <v>0.1</v>
      </c>
      <c r="J448">
        <v>9.9</v>
      </c>
      <c r="K448" s="64">
        <f t="shared" si="12"/>
        <v>0.68171262699564583</v>
      </c>
      <c r="L448" s="64">
        <f t="shared" si="13"/>
        <v>1.8739160839160842</v>
      </c>
      <c r="M448" s="67"/>
      <c r="N448" s="67"/>
      <c r="O448" s="67"/>
    </row>
    <row r="449" spans="1:22" ht="14.25" customHeight="1" x14ac:dyDescent="0.3">
      <c r="B449" t="s">
        <v>473</v>
      </c>
      <c r="C449">
        <v>3.5</v>
      </c>
      <c r="D449">
        <v>38.1</v>
      </c>
      <c r="E449">
        <v>0.3</v>
      </c>
      <c r="F449">
        <v>2.1</v>
      </c>
      <c r="G449">
        <v>11</v>
      </c>
      <c r="H449">
        <v>0.1</v>
      </c>
      <c r="I449">
        <v>0.1</v>
      </c>
      <c r="J449">
        <v>9.9</v>
      </c>
      <c r="K449" s="64">
        <f t="shared" si="12"/>
        <v>0.68171262699564583</v>
      </c>
      <c r="L449" s="64">
        <f t="shared" si="13"/>
        <v>1.8739160839160842</v>
      </c>
      <c r="M449" s="67"/>
      <c r="N449" s="67"/>
      <c r="O449" s="67"/>
    </row>
    <row r="450" spans="1:22" ht="14.25" customHeight="1" x14ac:dyDescent="0.3">
      <c r="A450" t="s">
        <v>1520</v>
      </c>
      <c r="B450" t="s">
        <v>483</v>
      </c>
      <c r="C450">
        <v>3.7</v>
      </c>
      <c r="D450">
        <v>42.5</v>
      </c>
      <c r="E450">
        <v>0.4</v>
      </c>
      <c r="F450">
        <v>0</v>
      </c>
      <c r="G450">
        <v>0</v>
      </c>
      <c r="H450">
        <v>0</v>
      </c>
      <c r="I450">
        <v>0</v>
      </c>
      <c r="J450">
        <v>8.3000000000000007</v>
      </c>
      <c r="K450" s="64">
        <f t="shared" si="12"/>
        <v>0</v>
      </c>
      <c r="L450" s="64">
        <f t="shared" si="13"/>
        <v>2.0903263403263406</v>
      </c>
      <c r="M450" s="66">
        <f>C452*Scoring!$B$34+D452/Scoring!$C$34+E452*Scoring!$D$34+WR!F452*Scoring!$E$34+WR!G452/Scoring!$F$34+WR!H452*Scoring!$G$34+WR!I452*Scoring!$H$34+K452*Scoring!$I$34+WR!L452*Scoring!$J$34+U450</f>
        <v>8.5</v>
      </c>
      <c r="N450" s="66">
        <f>C450*Scoring!$B$34+D450/Scoring!$C$34+E450*Scoring!$D$34+WR!F450*Scoring!$E$34+WR!G450/Scoring!$F$34+WR!H450*Scoring!$G$34+WR!I450*Scoring!$H$34+K450*Scoring!$I$34+WR!L450*Scoring!$J$34+U450</f>
        <v>8.5</v>
      </c>
      <c r="O450" s="66">
        <f>C451*Scoring!$B$34+D451/Scoring!$C$34+E451*Scoring!$D$34+WR!F451*Scoring!$E$34+WR!G451/Scoring!$F$34+WR!H451*Scoring!$G$34+WR!I451*Scoring!$H$34+K451*Scoring!$I$34+WR!L451*Scoring!$J$34+U450</f>
        <v>8.5</v>
      </c>
      <c r="P450" s="20">
        <f>IF(COUNTIF(Rookies!$A:$A,A450)&gt;0,1,0)</f>
        <v>0</v>
      </c>
      <c r="S450" s="20">
        <f>V450/17</f>
        <v>0.5</v>
      </c>
      <c r="T450" s="20">
        <f>IF(P450=1,MAX(0,0.28*(12-S450)),0)</f>
        <v>0</v>
      </c>
      <c r="U450" s="20">
        <f>T450*17</f>
        <v>0</v>
      </c>
      <c r="V450" s="20">
        <f>C450*Scoring!$B$34+D450/Scoring!$C$34+E450*Scoring!$D$34+WR!F450*Scoring!$E$34+WR!G450/Scoring!$F$34+WR!H450*Scoring!$G$34+WR!I450*Scoring!$H$34+K450*Scoring!$I$34+WR!L450*Scoring!$J$34</f>
        <v>8.5</v>
      </c>
    </row>
    <row r="451" spans="1:22" ht="14.25" customHeight="1" x14ac:dyDescent="0.3">
      <c r="B451" t="s">
        <v>472</v>
      </c>
      <c r="C451">
        <v>3.7</v>
      </c>
      <c r="D451">
        <v>42.5</v>
      </c>
      <c r="E451">
        <v>0.4</v>
      </c>
      <c r="F451">
        <v>0</v>
      </c>
      <c r="G451">
        <v>0</v>
      </c>
      <c r="H451">
        <v>0</v>
      </c>
      <c r="I451">
        <v>0</v>
      </c>
      <c r="J451">
        <v>8.3000000000000007</v>
      </c>
      <c r="K451" s="64">
        <f t="shared" ref="K451:K514" si="14">IFERROR(G451/F451/6.89*0.427*F451,0)</f>
        <v>0</v>
      </c>
      <c r="L451" s="64">
        <f t="shared" ref="L451:L514" si="15">IFERROR(D451/C451/12.87*0.633*C451,0)</f>
        <v>2.0903263403263406</v>
      </c>
      <c r="M451" s="67"/>
      <c r="N451" s="67"/>
      <c r="O451" s="67"/>
    </row>
    <row r="452" spans="1:22" ht="14.25" customHeight="1" x14ac:dyDescent="0.3">
      <c r="B452" t="s">
        <v>473</v>
      </c>
      <c r="C452">
        <v>3.7</v>
      </c>
      <c r="D452">
        <v>42.5</v>
      </c>
      <c r="E452">
        <v>0.4</v>
      </c>
      <c r="F452">
        <v>0</v>
      </c>
      <c r="G452">
        <v>0</v>
      </c>
      <c r="H452">
        <v>0</v>
      </c>
      <c r="I452">
        <v>0</v>
      </c>
      <c r="J452">
        <v>8.3000000000000007</v>
      </c>
      <c r="K452" s="64">
        <f t="shared" si="14"/>
        <v>0</v>
      </c>
      <c r="L452" s="64">
        <f t="shared" si="15"/>
        <v>2.0903263403263406</v>
      </c>
      <c r="M452" s="67"/>
      <c r="N452" s="67"/>
      <c r="O452" s="67"/>
    </row>
    <row r="453" spans="1:22" ht="14.25" customHeight="1" x14ac:dyDescent="0.3">
      <c r="A453" t="s">
        <v>868</v>
      </c>
      <c r="B453" t="s">
        <v>501</v>
      </c>
      <c r="C453">
        <v>3.6</v>
      </c>
      <c r="D453">
        <v>44.3</v>
      </c>
      <c r="E453">
        <v>0.3</v>
      </c>
      <c r="F453">
        <v>0</v>
      </c>
      <c r="G453">
        <v>0</v>
      </c>
      <c r="H453">
        <v>0</v>
      </c>
      <c r="I453">
        <v>0</v>
      </c>
      <c r="J453">
        <v>8.1</v>
      </c>
      <c r="K453" s="64">
        <f t="shared" si="14"/>
        <v>0</v>
      </c>
      <c r="L453" s="64">
        <f t="shared" si="15"/>
        <v>2.1788578088578086</v>
      </c>
      <c r="M453" s="66">
        <f>C455*Scoring!$B$34+D455/Scoring!$C$34+E455*Scoring!$D$34+WR!F455*Scoring!$E$34+WR!G455/Scoring!$F$34+WR!H455*Scoring!$G$34+WR!I455*Scoring!$H$34+K455*Scoring!$I$34+WR!L455*Scoring!$J$34+U453</f>
        <v>8.0299999999999994</v>
      </c>
      <c r="N453" s="66">
        <f>C453*Scoring!$B$34+D453/Scoring!$C$34+E453*Scoring!$D$34+WR!F453*Scoring!$E$34+WR!G453/Scoring!$F$34+WR!H453*Scoring!$G$34+WR!I453*Scoring!$H$34+K453*Scoring!$I$34+WR!L453*Scoring!$J$34+U453</f>
        <v>8.0299999999999994</v>
      </c>
      <c r="O453" s="66">
        <f>C454*Scoring!$B$34+D454/Scoring!$C$34+E454*Scoring!$D$34+WR!F454*Scoring!$E$34+WR!G454/Scoring!$F$34+WR!H454*Scoring!$G$34+WR!I454*Scoring!$H$34+K454*Scoring!$I$34+WR!L454*Scoring!$J$34+U453</f>
        <v>8.0299999999999994</v>
      </c>
      <c r="P453" s="20">
        <f>IF(COUNTIF(Rookies!$A:$A,A453)&gt;0,1,0)</f>
        <v>0</v>
      </c>
      <c r="S453" s="20">
        <f>V453/17</f>
        <v>0.47235294117647053</v>
      </c>
      <c r="T453" s="20">
        <f>IF(P453=1,MAX(0,0.28*(12-S453)),0)</f>
        <v>0</v>
      </c>
      <c r="U453" s="20">
        <f>T453*17</f>
        <v>0</v>
      </c>
      <c r="V453" s="20">
        <f>C453*Scoring!$B$34+D453/Scoring!$C$34+E453*Scoring!$D$34+WR!F453*Scoring!$E$34+WR!G453/Scoring!$F$34+WR!H453*Scoring!$G$34+WR!I453*Scoring!$H$34+K453*Scoring!$I$34+WR!L453*Scoring!$J$34</f>
        <v>8.0299999999999994</v>
      </c>
    </row>
    <row r="454" spans="1:22" ht="14.25" customHeight="1" x14ac:dyDescent="0.3">
      <c r="B454" t="s">
        <v>472</v>
      </c>
      <c r="C454">
        <v>3.6</v>
      </c>
      <c r="D454">
        <v>44.3</v>
      </c>
      <c r="E454">
        <v>0.3</v>
      </c>
      <c r="F454">
        <v>0</v>
      </c>
      <c r="G454">
        <v>0</v>
      </c>
      <c r="H454">
        <v>0</v>
      </c>
      <c r="I454">
        <v>0</v>
      </c>
      <c r="J454">
        <v>9.8000000000000007</v>
      </c>
      <c r="K454" s="64">
        <f t="shared" si="14"/>
        <v>0</v>
      </c>
      <c r="L454" s="64">
        <f t="shared" si="15"/>
        <v>2.1788578088578086</v>
      </c>
      <c r="M454" s="67"/>
      <c r="N454" s="67"/>
      <c r="O454" s="67"/>
    </row>
    <row r="455" spans="1:22" ht="14.25" customHeight="1" x14ac:dyDescent="0.3">
      <c r="B455" t="s">
        <v>473</v>
      </c>
      <c r="C455">
        <v>3.6</v>
      </c>
      <c r="D455">
        <v>44.3</v>
      </c>
      <c r="E455">
        <v>0.3</v>
      </c>
      <c r="F455">
        <v>0</v>
      </c>
      <c r="G455">
        <v>0</v>
      </c>
      <c r="H455">
        <v>0</v>
      </c>
      <c r="I455">
        <v>0</v>
      </c>
      <c r="J455">
        <v>9.8000000000000007</v>
      </c>
      <c r="K455" s="64">
        <f t="shared" si="14"/>
        <v>0</v>
      </c>
      <c r="L455" s="64">
        <f t="shared" si="15"/>
        <v>2.1788578088578086</v>
      </c>
      <c r="M455" s="67"/>
      <c r="N455" s="67"/>
      <c r="O455" s="67"/>
    </row>
    <row r="456" spans="1:22" ht="14.25" customHeight="1" x14ac:dyDescent="0.3">
      <c r="A456" t="s">
        <v>895</v>
      </c>
      <c r="B456" t="s">
        <v>477</v>
      </c>
      <c r="C456">
        <v>3.5</v>
      </c>
      <c r="D456">
        <v>42.7</v>
      </c>
      <c r="E456">
        <v>0.3</v>
      </c>
      <c r="F456">
        <v>0</v>
      </c>
      <c r="G456">
        <v>0</v>
      </c>
      <c r="H456">
        <v>0</v>
      </c>
      <c r="I456">
        <v>0</v>
      </c>
      <c r="J456">
        <v>7.8</v>
      </c>
      <c r="K456" s="64">
        <f t="shared" si="14"/>
        <v>0</v>
      </c>
      <c r="L456" s="64">
        <f t="shared" si="15"/>
        <v>2.1001631701631704</v>
      </c>
      <c r="M456" s="66">
        <f>C458*Scoring!$B$34+D458/Scoring!$C$34+E458*Scoring!$D$34+WR!F458*Scoring!$E$34+WR!G458/Scoring!$F$34+WR!H458*Scoring!$G$34+WR!I458*Scoring!$H$34+K458*Scoring!$I$34+WR!L458*Scoring!$J$34+U456</f>
        <v>7.82</v>
      </c>
      <c r="N456" s="66">
        <f>C456*Scoring!$B$34+D456/Scoring!$C$34+E456*Scoring!$D$34+WR!F456*Scoring!$E$34+WR!G456/Scoring!$F$34+WR!H456*Scoring!$G$34+WR!I456*Scoring!$H$34+K456*Scoring!$I$34+WR!L456*Scoring!$J$34+U456</f>
        <v>7.82</v>
      </c>
      <c r="O456" s="66">
        <f>C457*Scoring!$B$34+D457/Scoring!$C$34+E457*Scoring!$D$34+WR!F457*Scoring!$E$34+WR!G457/Scoring!$F$34+WR!H457*Scoring!$G$34+WR!I457*Scoring!$H$34+K457*Scoring!$I$34+WR!L457*Scoring!$J$34+U456</f>
        <v>7.82</v>
      </c>
      <c r="P456" s="20">
        <f>IF(COUNTIF(Rookies!$A:$A,A456)&gt;0,1,0)</f>
        <v>0</v>
      </c>
      <c r="S456" s="20">
        <f>V456/17</f>
        <v>0.46</v>
      </c>
      <c r="T456" s="20">
        <f>IF(P456=1,MAX(0,0.28*(12-S456)),0)</f>
        <v>0</v>
      </c>
      <c r="U456" s="20">
        <f>T456*17</f>
        <v>0</v>
      </c>
      <c r="V456" s="20">
        <f>C456*Scoring!$B$34+D456/Scoring!$C$34+E456*Scoring!$D$34+WR!F456*Scoring!$E$34+WR!G456/Scoring!$F$34+WR!H456*Scoring!$G$34+WR!I456*Scoring!$H$34+K456*Scoring!$I$34+WR!L456*Scoring!$J$34</f>
        <v>7.82</v>
      </c>
    </row>
    <row r="457" spans="1:22" ht="14.25" customHeight="1" x14ac:dyDescent="0.3">
      <c r="B457" t="s">
        <v>472</v>
      </c>
      <c r="C457">
        <v>3.5</v>
      </c>
      <c r="D457">
        <v>42.7</v>
      </c>
      <c r="E457">
        <v>0.3</v>
      </c>
      <c r="F457">
        <v>0</v>
      </c>
      <c r="G457">
        <v>0</v>
      </c>
      <c r="H457">
        <v>0</v>
      </c>
      <c r="I457">
        <v>0</v>
      </c>
      <c r="J457">
        <v>8.3000000000000007</v>
      </c>
      <c r="K457" s="64">
        <f t="shared" si="14"/>
        <v>0</v>
      </c>
      <c r="L457" s="64">
        <f t="shared" si="15"/>
        <v>2.1001631701631704</v>
      </c>
      <c r="M457" s="67"/>
      <c r="N457" s="67"/>
      <c r="O457" s="67"/>
    </row>
    <row r="458" spans="1:22" ht="14.25" customHeight="1" x14ac:dyDescent="0.3">
      <c r="B458" t="s">
        <v>473</v>
      </c>
      <c r="C458">
        <v>3.5</v>
      </c>
      <c r="D458">
        <v>42.7</v>
      </c>
      <c r="E458">
        <v>0.3</v>
      </c>
      <c r="F458">
        <v>0</v>
      </c>
      <c r="G458">
        <v>0</v>
      </c>
      <c r="H458">
        <v>0</v>
      </c>
      <c r="I458">
        <v>0</v>
      </c>
      <c r="J458">
        <v>8.3000000000000007</v>
      </c>
      <c r="K458" s="64">
        <f t="shared" si="14"/>
        <v>0</v>
      </c>
      <c r="L458" s="64">
        <f t="shared" si="15"/>
        <v>2.1001631701631704</v>
      </c>
      <c r="M458" s="67"/>
      <c r="N458" s="67"/>
      <c r="O458" s="67"/>
    </row>
    <row r="459" spans="1:22" ht="14.25" customHeight="1" x14ac:dyDescent="0.3">
      <c r="A459" t="s">
        <v>889</v>
      </c>
      <c r="B459" t="s">
        <v>487</v>
      </c>
      <c r="C459">
        <v>3.3</v>
      </c>
      <c r="D459">
        <v>44.1</v>
      </c>
      <c r="E459">
        <v>0.3</v>
      </c>
      <c r="F459">
        <v>0</v>
      </c>
      <c r="G459">
        <v>0</v>
      </c>
      <c r="H459">
        <v>0</v>
      </c>
      <c r="I459">
        <v>0</v>
      </c>
      <c r="J459">
        <v>7.7</v>
      </c>
      <c r="K459" s="64">
        <f t="shared" si="14"/>
        <v>0</v>
      </c>
      <c r="L459" s="64">
        <f t="shared" si="15"/>
        <v>2.1690209790209791</v>
      </c>
      <c r="M459" s="66">
        <f>C461*Scoring!$B$34+D461/Scoring!$C$34+E461*Scoring!$D$34+WR!F461*Scoring!$E$34+WR!G461/Scoring!$F$34+WR!H461*Scoring!$G$34+WR!I461*Scoring!$H$34+K461*Scoring!$I$34+WR!L461*Scoring!$J$34+U459</f>
        <v>7.86</v>
      </c>
      <c r="N459" s="66">
        <f>C459*Scoring!$B$34+D459/Scoring!$C$34+E459*Scoring!$D$34+WR!F459*Scoring!$E$34+WR!G459/Scoring!$F$34+WR!H459*Scoring!$G$34+WR!I459*Scoring!$H$34+K459*Scoring!$I$34+WR!L459*Scoring!$J$34+U459</f>
        <v>7.86</v>
      </c>
      <c r="O459" s="66">
        <f>C460*Scoring!$B$34+D460/Scoring!$C$34+E460*Scoring!$D$34+WR!F460*Scoring!$E$34+WR!G460/Scoring!$F$34+WR!H460*Scoring!$G$34+WR!I460*Scoring!$H$34+K460*Scoring!$I$34+WR!L460*Scoring!$J$34+U459</f>
        <v>7.86</v>
      </c>
      <c r="P459" s="20">
        <f>IF(COUNTIF(Rookies!$A:$A,A459)&gt;0,1,0)</f>
        <v>0</v>
      </c>
      <c r="S459" s="20">
        <f>V459/17</f>
        <v>0.46235294117647063</v>
      </c>
      <c r="T459" s="20">
        <f>IF(P459=1,MAX(0,0.28*(12-S459)),0)</f>
        <v>0</v>
      </c>
      <c r="U459" s="20">
        <f>T459*17</f>
        <v>0</v>
      </c>
      <c r="V459" s="20">
        <f>C459*Scoring!$B$34+D459/Scoring!$C$34+E459*Scoring!$D$34+WR!F459*Scoring!$E$34+WR!G459/Scoring!$F$34+WR!H459*Scoring!$G$34+WR!I459*Scoring!$H$34+K459*Scoring!$I$34+WR!L459*Scoring!$J$34</f>
        <v>7.86</v>
      </c>
    </row>
    <row r="460" spans="1:22" ht="14.25" customHeight="1" x14ac:dyDescent="0.3">
      <c r="B460" t="s">
        <v>472</v>
      </c>
      <c r="C460">
        <v>3.3</v>
      </c>
      <c r="D460">
        <v>44.1</v>
      </c>
      <c r="E460">
        <v>0.3</v>
      </c>
      <c r="F460">
        <v>0</v>
      </c>
      <c r="G460">
        <v>0</v>
      </c>
      <c r="H460">
        <v>0</v>
      </c>
      <c r="I460">
        <v>0</v>
      </c>
      <c r="J460">
        <v>8.8000000000000007</v>
      </c>
      <c r="K460" s="64">
        <f t="shared" si="14"/>
        <v>0</v>
      </c>
      <c r="L460" s="64">
        <f t="shared" si="15"/>
        <v>2.1690209790209791</v>
      </c>
      <c r="M460" s="67"/>
      <c r="N460" s="67"/>
      <c r="O460" s="67"/>
    </row>
    <row r="461" spans="1:22" ht="14.25" customHeight="1" x14ac:dyDescent="0.3">
      <c r="B461" t="s">
        <v>473</v>
      </c>
      <c r="C461">
        <v>3.3</v>
      </c>
      <c r="D461">
        <v>44.1</v>
      </c>
      <c r="E461">
        <v>0.3</v>
      </c>
      <c r="F461">
        <v>0</v>
      </c>
      <c r="G461">
        <v>0</v>
      </c>
      <c r="H461">
        <v>0</v>
      </c>
      <c r="I461">
        <v>0</v>
      </c>
      <c r="J461">
        <v>8.8000000000000007</v>
      </c>
      <c r="K461" s="64">
        <f t="shared" si="14"/>
        <v>0</v>
      </c>
      <c r="L461" s="64">
        <f t="shared" si="15"/>
        <v>2.1690209790209791</v>
      </c>
      <c r="M461" s="67"/>
      <c r="N461" s="67"/>
      <c r="O461" s="67"/>
    </row>
    <row r="462" spans="1:22" ht="14.25" customHeight="1" x14ac:dyDescent="0.3">
      <c r="A462" t="s">
        <v>900</v>
      </c>
      <c r="B462" t="s">
        <v>489</v>
      </c>
      <c r="C462">
        <v>3.2</v>
      </c>
      <c r="D462">
        <v>39.9</v>
      </c>
      <c r="E462">
        <v>0.2</v>
      </c>
      <c r="F462">
        <v>0</v>
      </c>
      <c r="G462">
        <v>0</v>
      </c>
      <c r="H462">
        <v>0</v>
      </c>
      <c r="I462">
        <v>0</v>
      </c>
      <c r="J462">
        <v>7</v>
      </c>
      <c r="K462" s="64">
        <f t="shared" si="14"/>
        <v>0</v>
      </c>
      <c r="L462" s="64">
        <f t="shared" si="15"/>
        <v>1.9624475524475526</v>
      </c>
      <c r="M462" s="66">
        <f>C464*Scoring!$B$34+D464/Scoring!$C$34+E464*Scoring!$D$34+WR!F464*Scoring!$E$34+WR!G464/Scoring!$F$34+WR!H464*Scoring!$G$34+WR!I464*Scoring!$H$34+K464*Scoring!$I$34+WR!L464*Scoring!$J$34+U462</f>
        <v>62.008800000000008</v>
      </c>
      <c r="N462" s="66">
        <f>C462*Scoring!$B$34+D462/Scoring!$C$34+E462*Scoring!$D$34+WR!F462*Scoring!$E$34+WR!G462/Scoring!$F$34+WR!H462*Scoring!$G$34+WR!I462*Scoring!$H$34+K462*Scoring!$I$34+WR!L462*Scoring!$J$34+U462</f>
        <v>62.008800000000008</v>
      </c>
      <c r="O462" s="66">
        <f>C463*Scoring!$B$34+D463/Scoring!$C$34+E463*Scoring!$D$34+WR!F463*Scoring!$E$34+WR!G463/Scoring!$F$34+WR!H463*Scoring!$G$34+WR!I463*Scoring!$H$34+K463*Scoring!$I$34+WR!L463*Scoring!$J$34+U462</f>
        <v>62.008800000000008</v>
      </c>
      <c r="P462" s="20">
        <f>IF(COUNTIF(Rookies!$A:$A,A462)&gt;0,1,0)</f>
        <v>1</v>
      </c>
      <c r="S462" s="20">
        <f>V462/17</f>
        <v>0.39941176470588236</v>
      </c>
      <c r="T462" s="20">
        <f>IF(P462=1,MAX(0,0.28*(12-S462)),0)</f>
        <v>3.2481647058823535</v>
      </c>
      <c r="U462" s="20">
        <f>T462*17</f>
        <v>55.218800000000009</v>
      </c>
      <c r="V462" s="20">
        <f>C462*Scoring!$B$34+D462/Scoring!$C$34+E462*Scoring!$D$34+WR!F462*Scoring!$E$34+WR!G462/Scoring!$F$34+WR!H462*Scoring!$G$34+WR!I462*Scoring!$H$34+K462*Scoring!$I$34+WR!L462*Scoring!$J$34</f>
        <v>6.79</v>
      </c>
    </row>
    <row r="463" spans="1:22" ht="14.25" customHeight="1" x14ac:dyDescent="0.3">
      <c r="B463" t="s">
        <v>472</v>
      </c>
      <c r="C463">
        <v>3.2</v>
      </c>
      <c r="D463">
        <v>39.9</v>
      </c>
      <c r="E463">
        <v>0.2</v>
      </c>
      <c r="F463">
        <v>0</v>
      </c>
      <c r="G463">
        <v>0</v>
      </c>
      <c r="H463">
        <v>0</v>
      </c>
      <c r="I463">
        <v>0</v>
      </c>
      <c r="J463">
        <v>7.4</v>
      </c>
      <c r="K463" s="64">
        <f t="shared" si="14"/>
        <v>0</v>
      </c>
      <c r="L463" s="64">
        <f t="shared" si="15"/>
        <v>1.9624475524475526</v>
      </c>
      <c r="M463" s="67"/>
      <c r="N463" s="67"/>
      <c r="O463" s="67"/>
    </row>
    <row r="464" spans="1:22" ht="14.25" customHeight="1" x14ac:dyDescent="0.3">
      <c r="B464" t="s">
        <v>473</v>
      </c>
      <c r="C464">
        <v>3.2</v>
      </c>
      <c r="D464">
        <v>39.9</v>
      </c>
      <c r="E464">
        <v>0.2</v>
      </c>
      <c r="F464">
        <v>0</v>
      </c>
      <c r="G464">
        <v>0</v>
      </c>
      <c r="H464">
        <v>0</v>
      </c>
      <c r="I464">
        <v>0</v>
      </c>
      <c r="J464">
        <v>7.4</v>
      </c>
      <c r="K464" s="64">
        <f t="shared" si="14"/>
        <v>0</v>
      </c>
      <c r="L464" s="64">
        <f t="shared" si="15"/>
        <v>1.9624475524475526</v>
      </c>
      <c r="M464" s="67"/>
      <c r="N464" s="67"/>
      <c r="O464" s="67"/>
    </row>
    <row r="465" spans="1:22" ht="14.25" customHeight="1" x14ac:dyDescent="0.3">
      <c r="A465" t="s">
        <v>870</v>
      </c>
      <c r="B465" t="s">
        <v>509</v>
      </c>
      <c r="C465">
        <v>3.7</v>
      </c>
      <c r="D465">
        <v>37</v>
      </c>
      <c r="E465">
        <v>0.2</v>
      </c>
      <c r="F465">
        <v>0</v>
      </c>
      <c r="G465">
        <v>0</v>
      </c>
      <c r="H465">
        <v>0</v>
      </c>
      <c r="I465">
        <v>0</v>
      </c>
      <c r="J465">
        <v>6.9</v>
      </c>
      <c r="K465" s="64">
        <f t="shared" si="14"/>
        <v>0</v>
      </c>
      <c r="L465" s="64">
        <f t="shared" si="15"/>
        <v>1.8198135198135201</v>
      </c>
      <c r="M465" s="66">
        <f>C467*Scoring!$B$34+D467/Scoring!$C$34+E467*Scoring!$D$34+WR!F467*Scoring!$E$34+WR!G467/Scoring!$F$34+WR!H467*Scoring!$G$34+WR!I467*Scoring!$H$34+K467*Scoring!$I$34+WR!L467*Scoring!$J$34+U465</f>
        <v>6.7500000000000009</v>
      </c>
      <c r="N465" s="66">
        <f>C465*Scoring!$B$34+D465/Scoring!$C$34+E465*Scoring!$D$34+WR!F465*Scoring!$E$34+WR!G465/Scoring!$F$34+WR!H465*Scoring!$G$34+WR!I465*Scoring!$H$34+K465*Scoring!$I$34+WR!L465*Scoring!$J$34+U465</f>
        <v>6.7500000000000009</v>
      </c>
      <c r="O465" s="66">
        <f>C466*Scoring!$B$34+D466/Scoring!$C$34+E466*Scoring!$D$34+WR!F466*Scoring!$E$34+WR!G466/Scoring!$F$34+WR!H466*Scoring!$G$34+WR!I466*Scoring!$H$34+K466*Scoring!$I$34+WR!L466*Scoring!$J$34+U465</f>
        <v>6.7500000000000009</v>
      </c>
      <c r="P465" s="20">
        <f>IF(COUNTIF(Rookies!$A:$A,A465)&gt;0,1,0)</f>
        <v>0</v>
      </c>
      <c r="S465" s="20">
        <f>V465/17</f>
        <v>0.3970588235294118</v>
      </c>
      <c r="T465" s="20">
        <f>IF(P465=1,MAX(0,0.28*(12-S465)),0)</f>
        <v>0</v>
      </c>
      <c r="U465" s="20">
        <f>T465*17</f>
        <v>0</v>
      </c>
      <c r="V465" s="20">
        <f>C465*Scoring!$B$34+D465/Scoring!$C$34+E465*Scoring!$D$34+WR!F465*Scoring!$E$34+WR!G465/Scoring!$F$34+WR!H465*Scoring!$G$34+WR!I465*Scoring!$H$34+K465*Scoring!$I$34+WR!L465*Scoring!$J$34</f>
        <v>6.7500000000000009</v>
      </c>
    </row>
    <row r="466" spans="1:22" ht="14.25" customHeight="1" x14ac:dyDescent="0.3">
      <c r="B466" t="s">
        <v>472</v>
      </c>
      <c r="C466">
        <v>3.7</v>
      </c>
      <c r="D466">
        <v>37</v>
      </c>
      <c r="E466">
        <v>0.2</v>
      </c>
      <c r="F466">
        <v>0</v>
      </c>
      <c r="G466">
        <v>0</v>
      </c>
      <c r="H466">
        <v>0</v>
      </c>
      <c r="I466">
        <v>0</v>
      </c>
      <c r="J466">
        <v>7.2</v>
      </c>
      <c r="K466" s="64">
        <f t="shared" si="14"/>
        <v>0</v>
      </c>
      <c r="L466" s="64">
        <f t="shared" si="15"/>
        <v>1.8198135198135201</v>
      </c>
      <c r="M466" s="67"/>
      <c r="N466" s="67"/>
      <c r="O466" s="67"/>
    </row>
    <row r="467" spans="1:22" ht="14.25" customHeight="1" x14ac:dyDescent="0.3">
      <c r="B467" t="s">
        <v>473</v>
      </c>
      <c r="C467">
        <v>3.7</v>
      </c>
      <c r="D467">
        <v>37</v>
      </c>
      <c r="E467">
        <v>0.2</v>
      </c>
      <c r="F467">
        <v>0</v>
      </c>
      <c r="G467">
        <v>0</v>
      </c>
      <c r="H467">
        <v>0</v>
      </c>
      <c r="I467">
        <v>0</v>
      </c>
      <c r="J467">
        <v>7.2</v>
      </c>
      <c r="K467" s="64">
        <f t="shared" si="14"/>
        <v>0</v>
      </c>
      <c r="L467" s="64">
        <f t="shared" si="15"/>
        <v>1.8198135198135201</v>
      </c>
      <c r="M467" s="67"/>
      <c r="N467" s="67"/>
      <c r="O467" s="67"/>
    </row>
    <row r="468" spans="1:22" ht="14.25" customHeight="1" x14ac:dyDescent="0.3">
      <c r="A468" t="s">
        <v>871</v>
      </c>
      <c r="B468" t="s">
        <v>491</v>
      </c>
      <c r="C468">
        <v>2.9</v>
      </c>
      <c r="D468">
        <v>40.5</v>
      </c>
      <c r="E468">
        <v>0.3</v>
      </c>
      <c r="F468">
        <v>0</v>
      </c>
      <c r="G468">
        <v>0</v>
      </c>
      <c r="H468">
        <v>0</v>
      </c>
      <c r="I468">
        <v>0</v>
      </c>
      <c r="J468">
        <v>6.9</v>
      </c>
      <c r="K468" s="64">
        <f t="shared" si="14"/>
        <v>0</v>
      </c>
      <c r="L468" s="64">
        <f t="shared" si="15"/>
        <v>1.991958041958042</v>
      </c>
      <c r="M468" s="66">
        <f>C470*Scoring!$B$34+D470/Scoring!$C$34+E470*Scoring!$D$34+WR!F470*Scoring!$E$34+WR!G470/Scoring!$F$34+WR!H470*Scoring!$G$34+WR!I470*Scoring!$H$34+K470*Scoring!$I$34+WR!L470*Scoring!$J$34+U468</f>
        <v>7.3</v>
      </c>
      <c r="N468" s="66">
        <f>C468*Scoring!$B$34+D468/Scoring!$C$34+E468*Scoring!$D$34+WR!F468*Scoring!$E$34+WR!G468/Scoring!$F$34+WR!H468*Scoring!$G$34+WR!I468*Scoring!$H$34+K468*Scoring!$I$34+WR!L468*Scoring!$J$34+U468</f>
        <v>7.3</v>
      </c>
      <c r="O468" s="66">
        <f>C469*Scoring!$B$34+D469/Scoring!$C$34+E469*Scoring!$D$34+WR!F469*Scoring!$E$34+WR!G469/Scoring!$F$34+WR!H469*Scoring!$G$34+WR!I469*Scoring!$H$34+K469*Scoring!$I$34+WR!L469*Scoring!$J$34+U468</f>
        <v>7.3</v>
      </c>
      <c r="P468" s="20">
        <f>IF(COUNTIF(Rookies!$A:$A,A468)&gt;0,1,0)</f>
        <v>0</v>
      </c>
      <c r="S468" s="20">
        <f>V468/17</f>
        <v>0.42941176470588233</v>
      </c>
      <c r="T468" s="20">
        <f>IF(P468=1,MAX(0,0.28*(12-S468)),0)</f>
        <v>0</v>
      </c>
      <c r="U468" s="20">
        <f>T468*17</f>
        <v>0</v>
      </c>
      <c r="V468" s="20">
        <f>C468*Scoring!$B$34+D468/Scoring!$C$34+E468*Scoring!$D$34+WR!F468*Scoring!$E$34+WR!G468/Scoring!$F$34+WR!H468*Scoring!$G$34+WR!I468*Scoring!$H$34+K468*Scoring!$I$34+WR!L468*Scoring!$J$34</f>
        <v>7.3</v>
      </c>
    </row>
    <row r="469" spans="1:22" ht="14.25" customHeight="1" x14ac:dyDescent="0.3">
      <c r="B469" t="s">
        <v>472</v>
      </c>
      <c r="C469">
        <v>2.9</v>
      </c>
      <c r="D469">
        <v>40.5</v>
      </c>
      <c r="E469">
        <v>0.3</v>
      </c>
      <c r="F469">
        <v>0</v>
      </c>
      <c r="G469">
        <v>0</v>
      </c>
      <c r="H469">
        <v>0</v>
      </c>
      <c r="I469">
        <v>0</v>
      </c>
      <c r="J469">
        <v>6.9</v>
      </c>
      <c r="K469" s="64">
        <f t="shared" si="14"/>
        <v>0</v>
      </c>
      <c r="L469" s="64">
        <f t="shared" si="15"/>
        <v>1.991958041958042</v>
      </c>
      <c r="M469" s="67"/>
      <c r="N469" s="67"/>
      <c r="O469" s="67"/>
    </row>
    <row r="470" spans="1:22" ht="14.25" customHeight="1" x14ac:dyDescent="0.3">
      <c r="B470" t="s">
        <v>473</v>
      </c>
      <c r="C470">
        <v>2.9</v>
      </c>
      <c r="D470">
        <v>40.5</v>
      </c>
      <c r="E470">
        <v>0.3</v>
      </c>
      <c r="F470">
        <v>0</v>
      </c>
      <c r="G470">
        <v>0</v>
      </c>
      <c r="H470">
        <v>0</v>
      </c>
      <c r="I470">
        <v>0</v>
      </c>
      <c r="J470">
        <v>6.9</v>
      </c>
      <c r="K470" s="64">
        <f t="shared" si="14"/>
        <v>0</v>
      </c>
      <c r="L470" s="64">
        <f t="shared" si="15"/>
        <v>1.991958041958042</v>
      </c>
      <c r="M470" s="67"/>
      <c r="N470" s="67"/>
      <c r="O470" s="67"/>
    </row>
    <row r="471" spans="1:22" ht="14.25" customHeight="1" x14ac:dyDescent="0.3">
      <c r="A471" t="s">
        <v>872</v>
      </c>
      <c r="B471" t="s">
        <v>481</v>
      </c>
      <c r="C471">
        <v>3.3</v>
      </c>
      <c r="D471">
        <v>37.700000000000003</v>
      </c>
      <c r="E471">
        <v>0.3</v>
      </c>
      <c r="F471">
        <v>0</v>
      </c>
      <c r="G471">
        <v>0</v>
      </c>
      <c r="H471">
        <v>0</v>
      </c>
      <c r="I471">
        <v>0</v>
      </c>
      <c r="J471">
        <v>6.8</v>
      </c>
      <c r="K471" s="64">
        <f t="shared" si="14"/>
        <v>0</v>
      </c>
      <c r="L471" s="64">
        <f t="shared" si="15"/>
        <v>1.8542424242424242</v>
      </c>
      <c r="M471" s="66">
        <f>C473*Scoring!$B$34+D473/Scoring!$C$34+E473*Scoring!$D$34+WR!F473*Scoring!$E$34+WR!G473/Scoring!$F$34+WR!H473*Scoring!$G$34+WR!I473*Scoring!$H$34+K473*Scoring!$I$34+WR!L473*Scoring!$J$34+U471</f>
        <v>7.22</v>
      </c>
      <c r="N471" s="66">
        <f>C471*Scoring!$B$34+D471/Scoring!$C$34+E471*Scoring!$D$34+WR!F471*Scoring!$E$34+WR!G471/Scoring!$F$34+WR!H471*Scoring!$G$34+WR!I471*Scoring!$H$34+K471*Scoring!$I$34+WR!L471*Scoring!$J$34+U471</f>
        <v>7.22</v>
      </c>
      <c r="O471" s="66">
        <f>C472*Scoring!$B$34+D472/Scoring!$C$34+E472*Scoring!$D$34+WR!F472*Scoring!$E$34+WR!G472/Scoring!$F$34+WR!H472*Scoring!$G$34+WR!I472*Scoring!$H$34+K472*Scoring!$I$34+WR!L472*Scoring!$J$34+U471</f>
        <v>7.22</v>
      </c>
      <c r="P471" s="20">
        <f>IF(COUNTIF(Rookies!$A:$A,A471)&gt;0,1,0)</f>
        <v>0</v>
      </c>
      <c r="S471" s="20">
        <f>V471/17</f>
        <v>0.42470588235294116</v>
      </c>
      <c r="T471" s="20">
        <f>IF(P471=1,MAX(0,0.28*(12-S471)),0)</f>
        <v>0</v>
      </c>
      <c r="U471" s="20">
        <f>T471*17</f>
        <v>0</v>
      </c>
      <c r="V471" s="20">
        <f>C471*Scoring!$B$34+D471/Scoring!$C$34+E471*Scoring!$D$34+WR!F471*Scoring!$E$34+WR!G471/Scoring!$F$34+WR!H471*Scoring!$G$34+WR!I471*Scoring!$H$34+K471*Scoring!$I$34+WR!L471*Scoring!$J$34</f>
        <v>7.22</v>
      </c>
    </row>
    <row r="472" spans="1:22" ht="14.25" customHeight="1" x14ac:dyDescent="0.3">
      <c r="B472" t="s">
        <v>472</v>
      </c>
      <c r="C472">
        <v>3.3</v>
      </c>
      <c r="D472">
        <v>37.700000000000003</v>
      </c>
      <c r="E472">
        <v>0.3</v>
      </c>
      <c r="F472">
        <v>0</v>
      </c>
      <c r="G472">
        <v>0</v>
      </c>
      <c r="H472">
        <v>0</v>
      </c>
      <c r="I472">
        <v>0</v>
      </c>
      <c r="J472">
        <v>6.9</v>
      </c>
      <c r="K472" s="64">
        <f t="shared" si="14"/>
        <v>0</v>
      </c>
      <c r="L472" s="64">
        <f t="shared" si="15"/>
        <v>1.8542424242424242</v>
      </c>
      <c r="M472" s="67"/>
      <c r="N472" s="67"/>
      <c r="O472" s="67"/>
    </row>
    <row r="473" spans="1:22" ht="14.25" customHeight="1" x14ac:dyDescent="0.3">
      <c r="B473" t="s">
        <v>473</v>
      </c>
      <c r="C473">
        <v>3.3</v>
      </c>
      <c r="D473">
        <v>37.700000000000003</v>
      </c>
      <c r="E473">
        <v>0.3</v>
      </c>
      <c r="F473">
        <v>0</v>
      </c>
      <c r="G473">
        <v>0</v>
      </c>
      <c r="H473">
        <v>0</v>
      </c>
      <c r="I473">
        <v>0</v>
      </c>
      <c r="J473">
        <v>6.9</v>
      </c>
      <c r="K473" s="64">
        <f t="shared" si="14"/>
        <v>0</v>
      </c>
      <c r="L473" s="64">
        <f t="shared" si="15"/>
        <v>1.8542424242424242</v>
      </c>
      <c r="M473" s="67"/>
      <c r="N473" s="67"/>
      <c r="O473" s="67"/>
    </row>
    <row r="474" spans="1:22" ht="14.25" customHeight="1" x14ac:dyDescent="0.3">
      <c r="A474" t="s">
        <v>874</v>
      </c>
      <c r="B474" t="s">
        <v>527</v>
      </c>
      <c r="C474">
        <v>3.4</v>
      </c>
      <c r="D474">
        <v>39.200000000000003</v>
      </c>
      <c r="E474">
        <v>0.1</v>
      </c>
      <c r="F474">
        <v>0</v>
      </c>
      <c r="G474">
        <v>0</v>
      </c>
      <c r="H474">
        <v>0</v>
      </c>
      <c r="I474">
        <v>0</v>
      </c>
      <c r="J474">
        <v>6.4</v>
      </c>
      <c r="K474" s="64">
        <f t="shared" si="14"/>
        <v>0</v>
      </c>
      <c r="L474" s="64">
        <f t="shared" si="15"/>
        <v>1.9280186480186483</v>
      </c>
      <c r="M474" s="66">
        <f>C476*Scoring!$B$34+D476/Scoring!$C$34+E476*Scoring!$D$34+WR!F476*Scoring!$E$34+WR!G476/Scoring!$F$34+WR!H476*Scoring!$G$34+WR!I476*Scoring!$H$34+K476*Scoring!$I$34+WR!L476*Scoring!$J$34+U474</f>
        <v>61.598400000000005</v>
      </c>
      <c r="N474" s="66">
        <f>C474*Scoring!$B$34+D474/Scoring!$C$34+E474*Scoring!$D$34+WR!F474*Scoring!$E$34+WR!G474/Scoring!$F$34+WR!H474*Scoring!$G$34+WR!I474*Scoring!$H$34+K474*Scoring!$I$34+WR!L474*Scoring!$J$34+U474</f>
        <v>61.598400000000005</v>
      </c>
      <c r="O474" s="66">
        <f>C475*Scoring!$B$34+D475/Scoring!$C$34+E475*Scoring!$D$34+WR!F475*Scoring!$E$34+WR!G475/Scoring!$F$34+WR!H475*Scoring!$G$34+WR!I475*Scoring!$H$34+K475*Scoring!$I$34+WR!L475*Scoring!$J$34+U474</f>
        <v>61.598400000000005</v>
      </c>
      <c r="P474" s="20">
        <f>IF(COUNTIF(Rookies!$A:$A,A474)&gt;0,1,0)</f>
        <v>1</v>
      </c>
      <c r="S474" s="20">
        <f>V474/17</f>
        <v>0.36588235294117649</v>
      </c>
      <c r="T474" s="20">
        <f>IF(P474=1,MAX(0,0.28*(12-S474)),0)</f>
        <v>3.257552941176471</v>
      </c>
      <c r="U474" s="20">
        <f>T474*17</f>
        <v>55.378400000000006</v>
      </c>
      <c r="V474" s="20">
        <f>C474*Scoring!$B$34+D474/Scoring!$C$34+E474*Scoring!$D$34+WR!F474*Scoring!$E$34+WR!G474/Scoring!$F$34+WR!H474*Scoring!$G$34+WR!I474*Scoring!$H$34+K474*Scoring!$I$34+WR!L474*Scoring!$J$34</f>
        <v>6.2200000000000006</v>
      </c>
    </row>
    <row r="475" spans="1:22" ht="14.25" customHeight="1" x14ac:dyDescent="0.3">
      <c r="B475" t="s">
        <v>472</v>
      </c>
      <c r="C475">
        <v>3.4</v>
      </c>
      <c r="D475">
        <v>39.200000000000003</v>
      </c>
      <c r="E475">
        <v>0.1</v>
      </c>
      <c r="F475">
        <v>0</v>
      </c>
      <c r="G475">
        <v>0</v>
      </c>
      <c r="H475">
        <v>0</v>
      </c>
      <c r="I475">
        <v>0</v>
      </c>
      <c r="J475">
        <v>6.4</v>
      </c>
      <c r="K475" s="64">
        <f t="shared" si="14"/>
        <v>0</v>
      </c>
      <c r="L475" s="64">
        <f t="shared" si="15"/>
        <v>1.9280186480186483</v>
      </c>
      <c r="M475" s="67"/>
      <c r="N475" s="67"/>
      <c r="O475" s="67"/>
    </row>
    <row r="476" spans="1:22" ht="14.25" customHeight="1" x14ac:dyDescent="0.3">
      <c r="B476" t="s">
        <v>473</v>
      </c>
      <c r="C476">
        <v>3.4</v>
      </c>
      <c r="D476">
        <v>39.200000000000003</v>
      </c>
      <c r="E476">
        <v>0.1</v>
      </c>
      <c r="F476">
        <v>0</v>
      </c>
      <c r="G476">
        <v>0</v>
      </c>
      <c r="H476">
        <v>0</v>
      </c>
      <c r="I476">
        <v>0</v>
      </c>
      <c r="J476">
        <v>6.4</v>
      </c>
      <c r="K476" s="64">
        <f t="shared" si="14"/>
        <v>0</v>
      </c>
      <c r="L476" s="64">
        <f t="shared" si="15"/>
        <v>1.9280186480186483</v>
      </c>
      <c r="M476" s="67"/>
      <c r="N476" s="67"/>
      <c r="O476" s="67"/>
    </row>
    <row r="477" spans="1:22" ht="14.25" customHeight="1" x14ac:dyDescent="0.3">
      <c r="A477" t="s">
        <v>888</v>
      </c>
      <c r="B477" t="s">
        <v>531</v>
      </c>
      <c r="C477">
        <v>3.3</v>
      </c>
      <c r="D477">
        <v>38.299999999999997</v>
      </c>
      <c r="E477">
        <v>0.1</v>
      </c>
      <c r="F477">
        <v>0</v>
      </c>
      <c r="G477">
        <v>0</v>
      </c>
      <c r="H477">
        <v>0</v>
      </c>
      <c r="I477">
        <v>0</v>
      </c>
      <c r="J477">
        <v>6.3</v>
      </c>
      <c r="K477" s="64">
        <f t="shared" si="14"/>
        <v>0</v>
      </c>
      <c r="L477" s="64">
        <f t="shared" si="15"/>
        <v>1.8837529137529136</v>
      </c>
      <c r="M477" s="66">
        <f>C479*Scoring!$B$34+D479/Scoring!$C$34+E479*Scoring!$D$34+WR!F479*Scoring!$E$34+WR!G479/Scoring!$F$34+WR!H479*Scoring!$G$34+WR!I479*Scoring!$H$34+K479*Scoring!$I$34+WR!L479*Scoring!$J$34+U477</f>
        <v>6.08</v>
      </c>
      <c r="N477" s="66">
        <f>C477*Scoring!$B$34+D477/Scoring!$C$34+E477*Scoring!$D$34+WR!F477*Scoring!$E$34+WR!G477/Scoring!$F$34+WR!H477*Scoring!$G$34+WR!I477*Scoring!$H$34+K477*Scoring!$I$34+WR!L477*Scoring!$J$34+U477</f>
        <v>6.08</v>
      </c>
      <c r="O477" s="66">
        <f>C478*Scoring!$B$34+D478/Scoring!$C$34+E478*Scoring!$D$34+WR!F478*Scoring!$E$34+WR!G478/Scoring!$F$34+WR!H478*Scoring!$G$34+WR!I478*Scoring!$H$34+K478*Scoring!$I$34+WR!L478*Scoring!$J$34+U477</f>
        <v>6.08</v>
      </c>
      <c r="P477" s="20">
        <f>IF(COUNTIF(Rookies!$A:$A,A477)&gt;0,1,0)</f>
        <v>0</v>
      </c>
      <c r="S477" s="20">
        <f>V477/17</f>
        <v>0.35764705882352943</v>
      </c>
      <c r="T477" s="20">
        <f>IF(P477=1,MAX(0,0.28*(12-S477)),0)</f>
        <v>0</v>
      </c>
      <c r="U477" s="20">
        <f>T477*17</f>
        <v>0</v>
      </c>
      <c r="V477" s="20">
        <f>C477*Scoring!$B$34+D477/Scoring!$C$34+E477*Scoring!$D$34+WR!F477*Scoring!$E$34+WR!G477/Scoring!$F$34+WR!H477*Scoring!$G$34+WR!I477*Scoring!$H$34+K477*Scoring!$I$34+WR!L477*Scoring!$J$34</f>
        <v>6.08</v>
      </c>
    </row>
    <row r="478" spans="1:22" ht="14.25" customHeight="1" x14ac:dyDescent="0.3">
      <c r="B478" t="s">
        <v>472</v>
      </c>
      <c r="C478">
        <v>3.3</v>
      </c>
      <c r="D478">
        <v>38.299999999999997</v>
      </c>
      <c r="E478">
        <v>0.1</v>
      </c>
      <c r="F478">
        <v>0</v>
      </c>
      <c r="G478">
        <v>0</v>
      </c>
      <c r="H478">
        <v>0</v>
      </c>
      <c r="I478">
        <v>0</v>
      </c>
      <c r="J478">
        <v>6.6</v>
      </c>
      <c r="K478" s="64">
        <f t="shared" si="14"/>
        <v>0</v>
      </c>
      <c r="L478" s="64">
        <f t="shared" si="15"/>
        <v>1.8837529137529136</v>
      </c>
      <c r="M478" s="67"/>
      <c r="N478" s="67"/>
      <c r="O478" s="67"/>
    </row>
    <row r="479" spans="1:22" ht="14.25" customHeight="1" x14ac:dyDescent="0.3">
      <c r="B479" t="s">
        <v>473</v>
      </c>
      <c r="C479">
        <v>3.3</v>
      </c>
      <c r="D479">
        <v>38.299999999999997</v>
      </c>
      <c r="E479">
        <v>0.1</v>
      </c>
      <c r="F479">
        <v>0</v>
      </c>
      <c r="G479">
        <v>0</v>
      </c>
      <c r="H479">
        <v>0</v>
      </c>
      <c r="I479">
        <v>0</v>
      </c>
      <c r="J479">
        <v>6.6</v>
      </c>
      <c r="K479" s="64">
        <f t="shared" si="14"/>
        <v>0</v>
      </c>
      <c r="L479" s="64">
        <f t="shared" si="15"/>
        <v>1.8837529137529136</v>
      </c>
      <c r="M479" s="67"/>
      <c r="N479" s="67"/>
      <c r="O479" s="67"/>
    </row>
    <row r="480" spans="1:22" ht="14.25" customHeight="1" x14ac:dyDescent="0.3">
      <c r="A480" t="s">
        <v>875</v>
      </c>
      <c r="B480" t="s">
        <v>521</v>
      </c>
      <c r="C480">
        <v>3.3</v>
      </c>
      <c r="D480">
        <v>36</v>
      </c>
      <c r="E480">
        <v>0.2</v>
      </c>
      <c r="F480">
        <v>0</v>
      </c>
      <c r="G480">
        <v>0</v>
      </c>
      <c r="H480">
        <v>0</v>
      </c>
      <c r="I480">
        <v>0</v>
      </c>
      <c r="J480">
        <v>6.1</v>
      </c>
      <c r="K480" s="64">
        <f t="shared" si="14"/>
        <v>0</v>
      </c>
      <c r="L480" s="64">
        <f t="shared" si="15"/>
        <v>1.7706293706293708</v>
      </c>
      <c r="M480" s="66">
        <f>C482*Scoring!$B$34+D482/Scoring!$C$34+E482*Scoring!$D$34+WR!F482*Scoring!$E$34+WR!G482/Scoring!$F$34+WR!H482*Scoring!$G$34+WR!I482*Scoring!$H$34+K482*Scoring!$I$34+WR!L482*Scoring!$J$34+U480</f>
        <v>6.45</v>
      </c>
      <c r="N480" s="66">
        <f>C480*Scoring!$B$34+D480/Scoring!$C$34+E480*Scoring!$D$34+WR!F480*Scoring!$E$34+WR!G480/Scoring!$F$34+WR!H480*Scoring!$G$34+WR!I480*Scoring!$H$34+K480*Scoring!$I$34+WR!L480*Scoring!$J$34+U480</f>
        <v>6.45</v>
      </c>
      <c r="O480" s="66">
        <f>C481*Scoring!$B$34+D481/Scoring!$C$34+E481*Scoring!$D$34+WR!F481*Scoring!$E$34+WR!G481/Scoring!$F$34+WR!H481*Scoring!$G$34+WR!I481*Scoring!$H$34+K481*Scoring!$I$34+WR!L481*Scoring!$J$34+U480</f>
        <v>6.45</v>
      </c>
      <c r="P480" s="20">
        <f>IF(COUNTIF(Rookies!$A:$A,A480)&gt;0,1,0)</f>
        <v>0</v>
      </c>
      <c r="S480" s="20">
        <f>V480/17</f>
        <v>0.37941176470588234</v>
      </c>
      <c r="T480" s="20">
        <f>IF(P480=1,MAX(0,0.28*(12-S480)),0)</f>
        <v>0</v>
      </c>
      <c r="U480" s="20">
        <f>T480*17</f>
        <v>0</v>
      </c>
      <c r="V480" s="20">
        <f>C480*Scoring!$B$34+D480/Scoring!$C$34+E480*Scoring!$D$34+WR!F480*Scoring!$E$34+WR!G480/Scoring!$F$34+WR!H480*Scoring!$G$34+WR!I480*Scoring!$H$34+K480*Scoring!$I$34+WR!L480*Scoring!$J$34</f>
        <v>6.45</v>
      </c>
    </row>
    <row r="481" spans="1:22" ht="14.25" customHeight="1" x14ac:dyDescent="0.3">
      <c r="B481" t="s">
        <v>472</v>
      </c>
      <c r="C481">
        <v>3.3</v>
      </c>
      <c r="D481">
        <v>36</v>
      </c>
      <c r="E481">
        <v>0.2</v>
      </c>
      <c r="F481">
        <v>0</v>
      </c>
      <c r="G481">
        <v>0</v>
      </c>
      <c r="H481">
        <v>0</v>
      </c>
      <c r="I481">
        <v>0</v>
      </c>
      <c r="J481">
        <v>6.3</v>
      </c>
      <c r="K481" s="64">
        <f t="shared" si="14"/>
        <v>0</v>
      </c>
      <c r="L481" s="64">
        <f t="shared" si="15"/>
        <v>1.7706293706293708</v>
      </c>
      <c r="M481" s="67"/>
      <c r="N481" s="67"/>
      <c r="O481" s="67"/>
    </row>
    <row r="482" spans="1:22" ht="14.25" customHeight="1" x14ac:dyDescent="0.3">
      <c r="B482" t="s">
        <v>473</v>
      </c>
      <c r="C482">
        <v>3.3</v>
      </c>
      <c r="D482">
        <v>36</v>
      </c>
      <c r="E482">
        <v>0.2</v>
      </c>
      <c r="F482">
        <v>0</v>
      </c>
      <c r="G482">
        <v>0</v>
      </c>
      <c r="H482">
        <v>0</v>
      </c>
      <c r="I482">
        <v>0</v>
      </c>
      <c r="J482">
        <v>6.3</v>
      </c>
      <c r="K482" s="64">
        <f t="shared" si="14"/>
        <v>0</v>
      </c>
      <c r="L482" s="64">
        <f t="shared" si="15"/>
        <v>1.7706293706293708</v>
      </c>
      <c r="M482" s="67"/>
      <c r="N482" s="67"/>
      <c r="O482" s="67"/>
    </row>
    <row r="483" spans="1:22" ht="14.25" customHeight="1" x14ac:dyDescent="0.3">
      <c r="A483" t="s">
        <v>876</v>
      </c>
      <c r="B483" t="s">
        <v>523</v>
      </c>
      <c r="C483">
        <v>0</v>
      </c>
      <c r="D483">
        <v>0</v>
      </c>
      <c r="E483">
        <v>0</v>
      </c>
      <c r="F483">
        <v>4.3</v>
      </c>
      <c r="G483">
        <v>23.7</v>
      </c>
      <c r="H483">
        <v>0.2</v>
      </c>
      <c r="I483">
        <v>0</v>
      </c>
      <c r="J483">
        <v>3.5</v>
      </c>
      <c r="K483" s="64">
        <f t="shared" si="14"/>
        <v>1.4687808417997097</v>
      </c>
      <c r="L483" s="64">
        <f t="shared" si="15"/>
        <v>0</v>
      </c>
      <c r="M483" s="66">
        <f>C485*Scoring!$B$34+D485/Scoring!$C$34+E485*Scoring!$D$34+WR!F485*Scoring!$E$34+WR!G485/Scoring!$F$34+WR!H485*Scoring!$G$34+WR!I485*Scoring!$H$34+K485*Scoring!$I$34+WR!L485*Scoring!$J$34+U483</f>
        <v>3.5700000000000003</v>
      </c>
      <c r="N483" s="66">
        <f>C483*Scoring!$B$34+D483/Scoring!$C$34+E483*Scoring!$D$34+WR!F483*Scoring!$E$34+WR!G483/Scoring!$F$34+WR!H483*Scoring!$G$34+WR!I483*Scoring!$H$34+K483*Scoring!$I$34+WR!L483*Scoring!$J$34+U483</f>
        <v>3.5700000000000003</v>
      </c>
      <c r="O483" s="66">
        <f>C484*Scoring!$B$34+D484/Scoring!$C$34+E484*Scoring!$D$34+WR!F484*Scoring!$E$34+WR!G484/Scoring!$F$34+WR!H484*Scoring!$G$34+WR!I484*Scoring!$H$34+K484*Scoring!$I$34+WR!L484*Scoring!$J$34+U483</f>
        <v>3.5700000000000003</v>
      </c>
      <c r="P483" s="20">
        <f>IF(COUNTIF(Rookies!$A:$A,A483)&gt;0,1,0)</f>
        <v>0</v>
      </c>
      <c r="S483" s="20">
        <f>V483/17</f>
        <v>0.21000000000000002</v>
      </c>
      <c r="T483" s="20">
        <f>IF(P483=1,MAX(0,0.28*(12-S483)),0)</f>
        <v>0</v>
      </c>
      <c r="U483" s="20">
        <f>T483*17</f>
        <v>0</v>
      </c>
      <c r="V483" s="20">
        <f>C483*Scoring!$B$34+D483/Scoring!$C$34+E483*Scoring!$D$34+WR!F483*Scoring!$E$34+WR!G483/Scoring!$F$34+WR!H483*Scoring!$G$34+WR!I483*Scoring!$H$34+K483*Scoring!$I$34+WR!L483*Scoring!$J$34</f>
        <v>3.5700000000000003</v>
      </c>
    </row>
    <row r="484" spans="1:22" ht="14.25" customHeight="1" x14ac:dyDescent="0.3">
      <c r="B484" t="s">
        <v>472</v>
      </c>
      <c r="C484">
        <v>0</v>
      </c>
      <c r="D484">
        <v>0</v>
      </c>
      <c r="E484">
        <v>0</v>
      </c>
      <c r="F484">
        <v>4.3</v>
      </c>
      <c r="G484">
        <v>23.7</v>
      </c>
      <c r="H484">
        <v>0.2</v>
      </c>
      <c r="I484">
        <v>0</v>
      </c>
      <c r="J484">
        <v>3.5</v>
      </c>
      <c r="K484" s="64">
        <f t="shared" si="14"/>
        <v>1.4687808417997097</v>
      </c>
      <c r="L484" s="64">
        <f t="shared" si="15"/>
        <v>0</v>
      </c>
      <c r="M484" s="67"/>
      <c r="N484" s="67"/>
      <c r="O484" s="67"/>
    </row>
    <row r="485" spans="1:22" ht="14.25" customHeight="1" x14ac:dyDescent="0.3">
      <c r="B485" t="s">
        <v>473</v>
      </c>
      <c r="C485">
        <v>0</v>
      </c>
      <c r="D485">
        <v>0</v>
      </c>
      <c r="E485">
        <v>0</v>
      </c>
      <c r="F485">
        <v>4.3</v>
      </c>
      <c r="G485">
        <v>23.7</v>
      </c>
      <c r="H485">
        <v>0.2</v>
      </c>
      <c r="I485">
        <v>0</v>
      </c>
      <c r="J485">
        <v>3.5</v>
      </c>
      <c r="K485" s="64">
        <f t="shared" si="14"/>
        <v>1.4687808417997097</v>
      </c>
      <c r="L485" s="64">
        <f t="shared" si="15"/>
        <v>0</v>
      </c>
      <c r="M485" s="67"/>
      <c r="N485" s="67"/>
      <c r="O485" s="67"/>
    </row>
    <row r="486" spans="1:22" ht="14.25" customHeight="1" x14ac:dyDescent="0.3">
      <c r="A486" t="s">
        <v>877</v>
      </c>
      <c r="B486" t="s">
        <v>529</v>
      </c>
      <c r="C486">
        <v>1.8</v>
      </c>
      <c r="D486">
        <v>16.899999999999999</v>
      </c>
      <c r="E486">
        <v>0.1</v>
      </c>
      <c r="F486">
        <v>0</v>
      </c>
      <c r="G486">
        <v>0</v>
      </c>
      <c r="H486">
        <v>0</v>
      </c>
      <c r="I486">
        <v>0</v>
      </c>
      <c r="J486">
        <v>3</v>
      </c>
      <c r="K486" s="64">
        <f t="shared" si="14"/>
        <v>0</v>
      </c>
      <c r="L486" s="64">
        <f t="shared" si="15"/>
        <v>0.83121212121212118</v>
      </c>
      <c r="M486" s="66">
        <f>C488*Scoring!$B$34+D488/Scoring!$C$34+E488*Scoring!$D$34+WR!F488*Scoring!$E$34+WR!G488/Scoring!$F$34+WR!H488*Scoring!$G$34+WR!I488*Scoring!$H$34+K488*Scoring!$I$34+WR!L488*Scoring!$J$34+U486</f>
        <v>3.19</v>
      </c>
      <c r="N486" s="66">
        <f>C486*Scoring!$B$34+D486/Scoring!$C$34+E486*Scoring!$D$34+WR!F486*Scoring!$E$34+WR!G486/Scoring!$F$34+WR!H486*Scoring!$G$34+WR!I486*Scoring!$H$34+K486*Scoring!$I$34+WR!L486*Scoring!$J$34+U486</f>
        <v>3.19</v>
      </c>
      <c r="O486" s="66">
        <f>C487*Scoring!$B$34+D487/Scoring!$C$34+E487*Scoring!$D$34+WR!F487*Scoring!$E$34+WR!G487/Scoring!$F$34+WR!H487*Scoring!$G$34+WR!I487*Scoring!$H$34+K487*Scoring!$I$34+WR!L487*Scoring!$J$34+U486</f>
        <v>3.19</v>
      </c>
      <c r="P486" s="20">
        <f>IF(COUNTIF(Rookies!$A:$A,A486)&gt;0,1,0)</f>
        <v>0</v>
      </c>
      <c r="S486" s="20">
        <f>V486/17</f>
        <v>0.18764705882352942</v>
      </c>
      <c r="T486" s="20">
        <f>IF(P486=1,MAX(0,0.28*(12-S486)),0)</f>
        <v>0</v>
      </c>
      <c r="U486" s="20">
        <f>T486*17</f>
        <v>0</v>
      </c>
      <c r="V486" s="20">
        <f>C486*Scoring!$B$34+D486/Scoring!$C$34+E486*Scoring!$D$34+WR!F486*Scoring!$E$34+WR!G486/Scoring!$F$34+WR!H486*Scoring!$G$34+WR!I486*Scoring!$H$34+K486*Scoring!$I$34+WR!L486*Scoring!$J$34</f>
        <v>3.19</v>
      </c>
    </row>
    <row r="487" spans="1:22" ht="14.25" customHeight="1" x14ac:dyDescent="0.3">
      <c r="B487" t="s">
        <v>472</v>
      </c>
      <c r="C487">
        <v>1.8</v>
      </c>
      <c r="D487">
        <v>16.899999999999999</v>
      </c>
      <c r="E487">
        <v>0.1</v>
      </c>
      <c r="F487">
        <v>0</v>
      </c>
      <c r="G487">
        <v>0</v>
      </c>
      <c r="H487">
        <v>0</v>
      </c>
      <c r="I487">
        <v>0</v>
      </c>
      <c r="J487">
        <v>3</v>
      </c>
      <c r="K487" s="64">
        <f t="shared" si="14"/>
        <v>0</v>
      </c>
      <c r="L487" s="64">
        <f t="shared" si="15"/>
        <v>0.83121212121212118</v>
      </c>
      <c r="M487" s="67"/>
      <c r="N487" s="67"/>
      <c r="O487" s="67"/>
    </row>
    <row r="488" spans="1:22" ht="14.25" customHeight="1" x14ac:dyDescent="0.3">
      <c r="B488" t="s">
        <v>473</v>
      </c>
      <c r="C488">
        <v>1.8</v>
      </c>
      <c r="D488">
        <v>16.899999999999999</v>
      </c>
      <c r="E488">
        <v>0.1</v>
      </c>
      <c r="F488">
        <v>0</v>
      </c>
      <c r="G488">
        <v>0</v>
      </c>
      <c r="H488">
        <v>0</v>
      </c>
      <c r="I488">
        <v>0</v>
      </c>
      <c r="J488">
        <v>3</v>
      </c>
      <c r="K488" s="64">
        <f t="shared" si="14"/>
        <v>0</v>
      </c>
      <c r="L488" s="64">
        <f t="shared" si="15"/>
        <v>0.83121212121212118</v>
      </c>
      <c r="M488" s="67"/>
      <c r="N488" s="67"/>
      <c r="O488" s="67"/>
    </row>
    <row r="489" spans="1:22" ht="14.25" customHeight="1" x14ac:dyDescent="0.3">
      <c r="A489" t="s">
        <v>879</v>
      </c>
      <c r="B489" t="s">
        <v>507</v>
      </c>
      <c r="C489">
        <v>0</v>
      </c>
      <c r="D489">
        <v>0</v>
      </c>
      <c r="E489">
        <v>0</v>
      </c>
      <c r="F489">
        <v>2.2000000000000002</v>
      </c>
      <c r="G489">
        <v>12.1</v>
      </c>
      <c r="H489">
        <v>0.1</v>
      </c>
      <c r="I489">
        <v>0</v>
      </c>
      <c r="J489">
        <v>1.8</v>
      </c>
      <c r="K489" s="64">
        <f t="shared" si="14"/>
        <v>0.74988388969521036</v>
      </c>
      <c r="L489" s="64">
        <f t="shared" si="15"/>
        <v>0</v>
      </c>
      <c r="M489" s="66">
        <f>C491*Scoring!$B$34+D491/Scoring!$C$34+E491*Scoring!$D$34+WR!F491*Scoring!$E$34+WR!G491/Scoring!$F$34+WR!H491*Scoring!$G$34+WR!I491*Scoring!$H$34+K491*Scoring!$I$34+WR!L491*Scoring!$J$34+U489</f>
        <v>1.81</v>
      </c>
      <c r="N489" s="66">
        <f>C489*Scoring!$B$34+D489/Scoring!$C$34+E489*Scoring!$D$34+WR!F489*Scoring!$E$34+WR!G489/Scoring!$F$34+WR!H489*Scoring!$G$34+WR!I489*Scoring!$H$34+K489*Scoring!$I$34+WR!L489*Scoring!$J$34+U489</f>
        <v>1.81</v>
      </c>
      <c r="O489" s="66">
        <f>C490*Scoring!$B$34+D490/Scoring!$C$34+E490*Scoring!$D$34+WR!F490*Scoring!$E$34+WR!G490/Scoring!$F$34+WR!H490*Scoring!$G$34+WR!I490*Scoring!$H$34+K490*Scoring!$I$34+WR!L490*Scoring!$J$34+U489</f>
        <v>1.81</v>
      </c>
      <c r="P489" s="20">
        <f>IF(COUNTIF(Rookies!$A:$A,A489)&gt;0,1,0)</f>
        <v>0</v>
      </c>
      <c r="S489" s="20">
        <f>V489/17</f>
        <v>0.10647058823529412</v>
      </c>
      <c r="T489" s="20">
        <f>IF(P489=1,MAX(0,0.28*(12-S489)),0)</f>
        <v>0</v>
      </c>
      <c r="U489" s="20">
        <f>T489*17</f>
        <v>0</v>
      </c>
      <c r="V489" s="20">
        <f>C489*Scoring!$B$34+D489/Scoring!$C$34+E489*Scoring!$D$34+WR!F489*Scoring!$E$34+WR!G489/Scoring!$F$34+WR!H489*Scoring!$G$34+WR!I489*Scoring!$H$34+K489*Scoring!$I$34+WR!L489*Scoring!$J$34</f>
        <v>1.81</v>
      </c>
    </row>
    <row r="490" spans="1:22" ht="14.25" customHeight="1" x14ac:dyDescent="0.3">
      <c r="B490" t="s">
        <v>472</v>
      </c>
      <c r="C490">
        <v>0</v>
      </c>
      <c r="D490">
        <v>0</v>
      </c>
      <c r="E490">
        <v>0</v>
      </c>
      <c r="F490">
        <v>2.2000000000000002</v>
      </c>
      <c r="G490">
        <v>12.1</v>
      </c>
      <c r="H490">
        <v>0.1</v>
      </c>
      <c r="I490">
        <v>0</v>
      </c>
      <c r="J490">
        <v>3.7</v>
      </c>
      <c r="K490" s="64">
        <f t="shared" si="14"/>
        <v>0.74988388969521036</v>
      </c>
      <c r="L490" s="64">
        <f t="shared" si="15"/>
        <v>0</v>
      </c>
      <c r="M490" s="67"/>
      <c r="N490" s="67"/>
      <c r="O490" s="67"/>
    </row>
    <row r="491" spans="1:22" ht="14.25" customHeight="1" x14ac:dyDescent="0.3">
      <c r="B491" t="s">
        <v>473</v>
      </c>
      <c r="C491">
        <v>0</v>
      </c>
      <c r="D491">
        <v>0</v>
      </c>
      <c r="E491">
        <v>0</v>
      </c>
      <c r="F491">
        <v>2.2000000000000002</v>
      </c>
      <c r="G491">
        <v>12.1</v>
      </c>
      <c r="H491">
        <v>0.1</v>
      </c>
      <c r="I491">
        <v>0</v>
      </c>
      <c r="J491">
        <v>3.7</v>
      </c>
      <c r="K491" s="64">
        <f t="shared" si="14"/>
        <v>0.74988388969521036</v>
      </c>
      <c r="L491" s="64">
        <f t="shared" si="15"/>
        <v>0</v>
      </c>
      <c r="M491" s="67"/>
      <c r="N491" s="67"/>
      <c r="O491" s="67"/>
    </row>
    <row r="492" spans="1:22" ht="14.25" customHeight="1" x14ac:dyDescent="0.3">
      <c r="A492" t="s">
        <v>880</v>
      </c>
      <c r="B492" t="s">
        <v>529</v>
      </c>
      <c r="C492">
        <v>0</v>
      </c>
      <c r="D492">
        <v>0</v>
      </c>
      <c r="E492">
        <v>0</v>
      </c>
      <c r="F492">
        <v>2.1</v>
      </c>
      <c r="G492">
        <v>11.7</v>
      </c>
      <c r="H492">
        <v>0.1</v>
      </c>
      <c r="I492">
        <v>0</v>
      </c>
      <c r="J492">
        <v>1.6</v>
      </c>
      <c r="K492" s="64">
        <f t="shared" si="14"/>
        <v>0.72509433962264147</v>
      </c>
      <c r="L492" s="64">
        <f t="shared" si="15"/>
        <v>0</v>
      </c>
      <c r="M492" s="66">
        <f>C494*Scoring!$B$34+D494/Scoring!$C$34+E494*Scoring!$D$34+WR!F494*Scoring!$E$34+WR!G494/Scoring!$F$34+WR!H494*Scoring!$G$34+WR!I494*Scoring!$H$34+K494*Scoring!$I$34+WR!L494*Scoring!$J$34+U492</f>
        <v>58.394400000000012</v>
      </c>
      <c r="N492" s="66">
        <f>C492*Scoring!$B$34+D492/Scoring!$C$34+E492*Scoring!$D$34+WR!F492*Scoring!$E$34+WR!G492/Scoring!$F$34+WR!H492*Scoring!$G$34+WR!I492*Scoring!$H$34+K492*Scoring!$I$34+WR!L492*Scoring!$J$34+U492</f>
        <v>58.394400000000012</v>
      </c>
      <c r="O492" s="66">
        <f>C493*Scoring!$B$34+D493/Scoring!$C$34+E493*Scoring!$D$34+WR!F493*Scoring!$E$34+WR!G493/Scoring!$F$34+WR!H493*Scoring!$G$34+WR!I493*Scoring!$H$34+K493*Scoring!$I$34+WR!L493*Scoring!$J$34+U492</f>
        <v>58.394400000000012</v>
      </c>
      <c r="P492" s="20">
        <f>IF(COUNTIF(Rookies!$A:$A,A492)&gt;0,1,0)</f>
        <v>1</v>
      </c>
      <c r="S492" s="20">
        <f>V492/17</f>
        <v>0.10411764705882354</v>
      </c>
      <c r="T492" s="20">
        <f>IF(P492=1,MAX(0,0.28*(12-S492)),0)</f>
        <v>3.3308470588235299</v>
      </c>
      <c r="U492" s="20">
        <f>T492*17</f>
        <v>56.624400000000009</v>
      </c>
      <c r="V492" s="20">
        <f>C492*Scoring!$B$34+D492/Scoring!$C$34+E492*Scoring!$D$34+WR!F492*Scoring!$E$34+WR!G492/Scoring!$F$34+WR!H492*Scoring!$G$34+WR!I492*Scoring!$H$34+K492*Scoring!$I$34+WR!L492*Scoring!$J$34</f>
        <v>1.77</v>
      </c>
    </row>
    <row r="493" spans="1:22" ht="14.25" customHeight="1" x14ac:dyDescent="0.3">
      <c r="B493" t="s">
        <v>472</v>
      </c>
      <c r="C493">
        <v>0</v>
      </c>
      <c r="D493">
        <v>0</v>
      </c>
      <c r="E493">
        <v>0</v>
      </c>
      <c r="F493">
        <v>2.1</v>
      </c>
      <c r="G493">
        <v>11.7</v>
      </c>
      <c r="H493">
        <v>0.1</v>
      </c>
      <c r="I493">
        <v>0</v>
      </c>
      <c r="J493">
        <v>4.0999999999999996</v>
      </c>
      <c r="K493" s="64">
        <f t="shared" si="14"/>
        <v>0.72509433962264147</v>
      </c>
      <c r="L493" s="64">
        <f t="shared" si="15"/>
        <v>0</v>
      </c>
      <c r="M493" s="67"/>
      <c r="N493" s="67"/>
      <c r="O493" s="67"/>
    </row>
    <row r="494" spans="1:22" ht="14.25" customHeight="1" x14ac:dyDescent="0.3">
      <c r="B494" t="s">
        <v>473</v>
      </c>
      <c r="C494">
        <v>0</v>
      </c>
      <c r="D494">
        <v>0</v>
      </c>
      <c r="E494">
        <v>0</v>
      </c>
      <c r="F494">
        <v>2.1</v>
      </c>
      <c r="G494">
        <v>11.7</v>
      </c>
      <c r="H494">
        <v>0.1</v>
      </c>
      <c r="I494">
        <v>0</v>
      </c>
      <c r="J494">
        <v>4.0999999999999996</v>
      </c>
      <c r="K494" s="64">
        <f t="shared" si="14"/>
        <v>0.72509433962264147</v>
      </c>
      <c r="L494" s="64">
        <f t="shared" si="15"/>
        <v>0</v>
      </c>
      <c r="M494" s="67"/>
      <c r="N494" s="67"/>
      <c r="O494" s="67"/>
    </row>
    <row r="495" spans="1:22" ht="14.25" customHeight="1" x14ac:dyDescent="0.3">
      <c r="A495" t="s">
        <v>883</v>
      </c>
      <c r="B495" t="s">
        <v>485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64">
        <f t="shared" si="14"/>
        <v>0</v>
      </c>
      <c r="L495" s="64">
        <f t="shared" si="15"/>
        <v>0</v>
      </c>
      <c r="M495" s="66">
        <f>C497*Scoring!$B$34+D497/Scoring!$C$34+E497*Scoring!$D$34+WR!F497*Scoring!$E$34+WR!G497/Scoring!$F$34+WR!H497*Scoring!$G$34+WR!I497*Scoring!$H$34+K497*Scoring!$I$34+WR!L497*Scoring!$J$34+U495</f>
        <v>0</v>
      </c>
      <c r="N495" s="66">
        <f>C495*Scoring!$B$34+D495/Scoring!$C$34+E495*Scoring!$D$34+WR!F495*Scoring!$E$34+WR!G495/Scoring!$F$34+WR!H495*Scoring!$G$34+WR!I495*Scoring!$H$34+K495*Scoring!$I$34+WR!L495*Scoring!$J$34+U495</f>
        <v>0</v>
      </c>
      <c r="O495" s="66">
        <f>C496*Scoring!$B$34+D496/Scoring!$C$34+E496*Scoring!$D$34+WR!F496*Scoring!$E$34+WR!G496/Scoring!$F$34+WR!H496*Scoring!$G$34+WR!I496*Scoring!$H$34+K496*Scoring!$I$34+WR!L496*Scoring!$J$34+U495</f>
        <v>0</v>
      </c>
      <c r="P495" s="20">
        <f>IF(COUNTIF(Rookies!$A:$A,A495)&gt;0,1,0)</f>
        <v>0</v>
      </c>
      <c r="S495" s="20">
        <f>V495/17</f>
        <v>0</v>
      </c>
      <c r="T495" s="20">
        <f>IF(P495=1,MAX(0,0.28*(12-S495)),0)</f>
        <v>0</v>
      </c>
      <c r="U495" s="20">
        <f>T495*17</f>
        <v>0</v>
      </c>
      <c r="V495" s="20">
        <f>C495*Scoring!$B$34+D495/Scoring!$C$34+E495*Scoring!$D$34+WR!F495*Scoring!$E$34+WR!G495/Scoring!$F$34+WR!H495*Scoring!$G$34+WR!I495*Scoring!$H$34+K495*Scoring!$I$34+WR!L495*Scoring!$J$34</f>
        <v>0</v>
      </c>
    </row>
    <row r="496" spans="1:22" ht="14.25" customHeight="1" x14ac:dyDescent="0.3">
      <c r="B496" t="s">
        <v>472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2.5</v>
      </c>
      <c r="K496" s="64">
        <f t="shared" si="14"/>
        <v>0</v>
      </c>
      <c r="L496" s="64">
        <f t="shared" si="15"/>
        <v>0</v>
      </c>
      <c r="M496" s="67"/>
      <c r="N496" s="67"/>
      <c r="O496" s="67"/>
    </row>
    <row r="497" spans="1:22" ht="14.25" customHeight="1" x14ac:dyDescent="0.3">
      <c r="B497" t="s">
        <v>473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2.5</v>
      </c>
      <c r="K497" s="64">
        <f t="shared" si="14"/>
        <v>0</v>
      </c>
      <c r="L497" s="64">
        <f t="shared" si="15"/>
        <v>0</v>
      </c>
      <c r="M497" s="67"/>
      <c r="N497" s="67"/>
      <c r="O497" s="67"/>
    </row>
    <row r="498" spans="1:22" ht="14.25" customHeight="1" x14ac:dyDescent="0.3">
      <c r="A498" t="s">
        <v>1637</v>
      </c>
      <c r="B498" t="s">
        <v>485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64">
        <f t="shared" si="14"/>
        <v>0</v>
      </c>
      <c r="L498" s="64">
        <f t="shared" si="15"/>
        <v>0</v>
      </c>
      <c r="M498" s="66">
        <f>C500*Scoring!$B$34+D500/Scoring!$C$34+E500*Scoring!$D$34+WR!F500*Scoring!$E$34+WR!G500/Scoring!$F$34+WR!H500*Scoring!$G$34+WR!I500*Scoring!$H$34+K500*Scoring!$I$34+WR!L500*Scoring!$J$34+U498</f>
        <v>0</v>
      </c>
      <c r="N498" s="66">
        <f>C498*Scoring!$B$34+D498/Scoring!$C$34+E498*Scoring!$D$34+WR!F498*Scoring!$E$34+WR!G498/Scoring!$F$34+WR!H498*Scoring!$G$34+WR!I498*Scoring!$H$34+K498*Scoring!$I$34+WR!L498*Scoring!$J$34+U498</f>
        <v>0</v>
      </c>
      <c r="O498" s="66">
        <f>C499*Scoring!$B$34+D499/Scoring!$C$34+E499*Scoring!$D$34+WR!F499*Scoring!$E$34+WR!G499/Scoring!$F$34+WR!H499*Scoring!$G$34+WR!I499*Scoring!$H$34+K499*Scoring!$I$34+WR!L499*Scoring!$J$34+U498</f>
        <v>0</v>
      </c>
      <c r="P498" s="20">
        <f>IF(COUNTIF(Rookies!$A:$A,A498)&gt;0,1,0)</f>
        <v>0</v>
      </c>
      <c r="S498" s="20">
        <f>V498/17</f>
        <v>0</v>
      </c>
      <c r="T498" s="20">
        <f>IF(P498=1,MAX(0,0.28*(12-S498)),0)</f>
        <v>0</v>
      </c>
      <c r="U498" s="20">
        <f>T498*17</f>
        <v>0</v>
      </c>
      <c r="V498" s="20">
        <f>C498*Scoring!$B$34+D498/Scoring!$C$34+E498*Scoring!$D$34+WR!F498*Scoring!$E$34+WR!G498/Scoring!$F$34+WR!H498*Scoring!$G$34+WR!I498*Scoring!$H$34+K498*Scoring!$I$34+WR!L498*Scoring!$J$34</f>
        <v>0</v>
      </c>
    </row>
    <row r="499" spans="1:22" ht="14.25" customHeight="1" x14ac:dyDescent="0.3">
      <c r="B499" t="s">
        <v>472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64">
        <f t="shared" si="14"/>
        <v>0</v>
      </c>
      <c r="L499" s="64">
        <f t="shared" si="15"/>
        <v>0</v>
      </c>
      <c r="M499" s="67"/>
      <c r="N499" s="67"/>
      <c r="O499" s="67"/>
    </row>
    <row r="500" spans="1:22" ht="14.25" customHeight="1" x14ac:dyDescent="0.3">
      <c r="B500" t="s">
        <v>473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64">
        <f t="shared" si="14"/>
        <v>0</v>
      </c>
      <c r="L500" s="64">
        <f t="shared" si="15"/>
        <v>0</v>
      </c>
      <c r="M500" s="67"/>
      <c r="N500" s="67"/>
      <c r="O500" s="67"/>
    </row>
    <row r="501" spans="1:22" ht="14.25" customHeight="1" x14ac:dyDescent="0.3">
      <c r="A501" t="s">
        <v>884</v>
      </c>
      <c r="B501" t="s">
        <v>527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64">
        <f t="shared" si="14"/>
        <v>0</v>
      </c>
      <c r="L501" s="64">
        <f t="shared" si="15"/>
        <v>0</v>
      </c>
      <c r="M501" s="66">
        <f>C503*Scoring!$B$34+D503/Scoring!$C$34+E503*Scoring!$D$34+WR!F503*Scoring!$E$34+WR!G503/Scoring!$F$34+WR!H503*Scoring!$G$34+WR!I503*Scoring!$H$34+K503*Scoring!$I$34+WR!L503*Scoring!$J$34+U501</f>
        <v>0</v>
      </c>
      <c r="N501" s="66">
        <f>C501*Scoring!$B$34+D501/Scoring!$C$34+E501*Scoring!$D$34+WR!F501*Scoring!$E$34+WR!G501/Scoring!$F$34+WR!H501*Scoring!$G$34+WR!I501*Scoring!$H$34+K501*Scoring!$I$34+WR!L501*Scoring!$J$34+U501</f>
        <v>0</v>
      </c>
      <c r="O501" s="66">
        <f>C502*Scoring!$B$34+D502/Scoring!$C$34+E502*Scoring!$D$34+WR!F502*Scoring!$E$34+WR!G502/Scoring!$F$34+WR!H502*Scoring!$G$34+WR!I502*Scoring!$H$34+K502*Scoring!$I$34+WR!L502*Scoring!$J$34+U501</f>
        <v>0</v>
      </c>
      <c r="P501" s="20">
        <f>IF(COUNTIF(Rookies!$A:$A,A501)&gt;0,1,0)</f>
        <v>0</v>
      </c>
      <c r="S501" s="20">
        <f>V501/17</f>
        <v>0</v>
      </c>
      <c r="T501" s="20">
        <f>IF(P501=1,MAX(0,0.28*(12-S501)),0)</f>
        <v>0</v>
      </c>
      <c r="U501" s="20">
        <f>T501*17</f>
        <v>0</v>
      </c>
      <c r="V501" s="20">
        <f>C501*Scoring!$B$34+D501/Scoring!$C$34+E501*Scoring!$D$34+WR!F501*Scoring!$E$34+WR!G501/Scoring!$F$34+WR!H501*Scoring!$G$34+WR!I501*Scoring!$H$34+K501*Scoring!$I$34+WR!L501*Scoring!$J$34</f>
        <v>0</v>
      </c>
    </row>
    <row r="502" spans="1:22" ht="14.25" customHeight="1" x14ac:dyDescent="0.3">
      <c r="B502" t="s">
        <v>472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1.7</v>
      </c>
      <c r="K502" s="64">
        <f t="shared" si="14"/>
        <v>0</v>
      </c>
      <c r="L502" s="64">
        <f t="shared" si="15"/>
        <v>0</v>
      </c>
      <c r="M502" s="67"/>
      <c r="N502" s="67"/>
      <c r="O502" s="67"/>
    </row>
    <row r="503" spans="1:22" ht="14.25" customHeight="1" x14ac:dyDescent="0.3">
      <c r="B503" t="s">
        <v>473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1.7</v>
      </c>
      <c r="K503" s="64">
        <f t="shared" si="14"/>
        <v>0</v>
      </c>
      <c r="L503" s="64">
        <f t="shared" si="15"/>
        <v>0</v>
      </c>
      <c r="M503" s="67"/>
      <c r="N503" s="67"/>
      <c r="O503" s="67"/>
    </row>
    <row r="504" spans="1:22" ht="14.25" customHeight="1" x14ac:dyDescent="0.3">
      <c r="A504" t="s">
        <v>1643</v>
      </c>
      <c r="B504" t="s">
        <v>535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64">
        <f t="shared" si="14"/>
        <v>0</v>
      </c>
      <c r="L504" s="64">
        <f t="shared" si="15"/>
        <v>0</v>
      </c>
      <c r="M504" s="66">
        <f>C506*Scoring!$B$34+D506/Scoring!$C$34+E506*Scoring!$D$34+WR!F506*Scoring!$E$34+WR!G506/Scoring!$F$34+WR!H506*Scoring!$G$34+WR!I506*Scoring!$H$34+K506*Scoring!$I$34+WR!L506*Scoring!$J$34+U504</f>
        <v>0</v>
      </c>
      <c r="N504" s="66">
        <f>C504*Scoring!$B$34+D504/Scoring!$C$34+E504*Scoring!$D$34+WR!F504*Scoring!$E$34+WR!G504/Scoring!$F$34+WR!H504*Scoring!$G$34+WR!I504*Scoring!$H$34+K504*Scoring!$I$34+WR!L504*Scoring!$J$34+U504</f>
        <v>0</v>
      </c>
      <c r="O504" s="66">
        <f>C505*Scoring!$B$34+D505/Scoring!$C$34+E505*Scoring!$D$34+WR!F505*Scoring!$E$34+WR!G505/Scoring!$F$34+WR!H505*Scoring!$G$34+WR!I505*Scoring!$H$34+K505*Scoring!$I$34+WR!L505*Scoring!$J$34+U504</f>
        <v>0</v>
      </c>
      <c r="P504" s="20">
        <f>IF(COUNTIF(Rookies!$A:$A,A504)&gt;0,1,0)</f>
        <v>0</v>
      </c>
      <c r="S504" s="20">
        <f>V504/17</f>
        <v>0</v>
      </c>
      <c r="T504" s="20">
        <f>IF(P504=1,MAX(0,0.28*(12-S504)),0)</f>
        <v>0</v>
      </c>
      <c r="U504" s="20">
        <f>T504*17</f>
        <v>0</v>
      </c>
      <c r="V504" s="20">
        <f>C504*Scoring!$B$34+D504/Scoring!$C$34+E504*Scoring!$D$34+WR!F504*Scoring!$E$34+WR!G504/Scoring!$F$34+WR!H504*Scoring!$G$34+WR!I504*Scoring!$H$34+K504*Scoring!$I$34+WR!L504*Scoring!$J$34</f>
        <v>0</v>
      </c>
    </row>
    <row r="505" spans="1:22" ht="14.25" customHeight="1" x14ac:dyDescent="0.3">
      <c r="B505" t="s">
        <v>472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64">
        <f t="shared" si="14"/>
        <v>0</v>
      </c>
      <c r="L505" s="64">
        <f t="shared" si="15"/>
        <v>0</v>
      </c>
      <c r="M505" s="67"/>
      <c r="N505" s="67"/>
      <c r="O505" s="67"/>
    </row>
    <row r="506" spans="1:22" ht="14.25" customHeight="1" x14ac:dyDescent="0.3">
      <c r="B506" t="s">
        <v>473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s="64">
        <f t="shared" si="14"/>
        <v>0</v>
      </c>
      <c r="L506" s="64">
        <f t="shared" si="15"/>
        <v>0</v>
      </c>
      <c r="M506" s="67"/>
      <c r="N506" s="67"/>
      <c r="O506" s="67"/>
    </row>
    <row r="507" spans="1:22" ht="14.25" customHeight="1" x14ac:dyDescent="0.3">
      <c r="A507" t="s">
        <v>886</v>
      </c>
      <c r="B507" t="s">
        <v>515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s="64">
        <f t="shared" si="14"/>
        <v>0</v>
      </c>
      <c r="L507" s="64">
        <f t="shared" si="15"/>
        <v>0</v>
      </c>
      <c r="M507" s="66">
        <f>C509*Scoring!$B$34+D509/Scoring!$C$34+E509*Scoring!$D$34+WR!F509*Scoring!$E$34+WR!G509/Scoring!$F$34+WR!H509*Scoring!$G$34+WR!I509*Scoring!$H$34+K509*Scoring!$I$34+WR!L509*Scoring!$J$34+U507</f>
        <v>0</v>
      </c>
      <c r="N507" s="66">
        <f>C507*Scoring!$B$34+D507/Scoring!$C$34+E507*Scoring!$D$34+WR!F507*Scoring!$E$34+WR!G507/Scoring!$F$34+WR!H507*Scoring!$G$34+WR!I507*Scoring!$H$34+K507*Scoring!$I$34+WR!L507*Scoring!$J$34+U507</f>
        <v>0</v>
      </c>
      <c r="O507" s="66">
        <f>C508*Scoring!$B$34+D508/Scoring!$C$34+E508*Scoring!$D$34+WR!F508*Scoring!$E$34+WR!G508/Scoring!$F$34+WR!H508*Scoring!$G$34+WR!I508*Scoring!$H$34+K508*Scoring!$I$34+WR!L508*Scoring!$J$34+U507</f>
        <v>0</v>
      </c>
      <c r="P507" s="20">
        <f>IF(COUNTIF(Rookies!$A:$A,A507)&gt;0,1,0)</f>
        <v>0</v>
      </c>
      <c r="S507" s="20">
        <f>V507/17</f>
        <v>0</v>
      </c>
      <c r="T507" s="20">
        <f>IF(P507=1,MAX(0,0.28*(12-S507)),0)</f>
        <v>0</v>
      </c>
      <c r="U507" s="20">
        <f>T507*17</f>
        <v>0</v>
      </c>
      <c r="V507" s="20">
        <f>C507*Scoring!$B$34+D507/Scoring!$C$34+E507*Scoring!$D$34+WR!F507*Scoring!$E$34+WR!G507/Scoring!$F$34+WR!H507*Scoring!$G$34+WR!I507*Scoring!$H$34+K507*Scoring!$I$34+WR!L507*Scoring!$J$34</f>
        <v>0</v>
      </c>
    </row>
    <row r="508" spans="1:22" ht="14.25" customHeight="1" x14ac:dyDescent="0.3">
      <c r="B508" t="s">
        <v>472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0.4</v>
      </c>
      <c r="K508" s="64">
        <f t="shared" si="14"/>
        <v>0</v>
      </c>
      <c r="L508" s="64">
        <f t="shared" si="15"/>
        <v>0</v>
      </c>
      <c r="M508" s="67"/>
      <c r="N508" s="67"/>
      <c r="O508" s="67"/>
    </row>
    <row r="509" spans="1:22" ht="14.25" customHeight="1" x14ac:dyDescent="0.3">
      <c r="B509" t="s">
        <v>473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0.4</v>
      </c>
      <c r="K509" s="64">
        <f t="shared" si="14"/>
        <v>0</v>
      </c>
      <c r="L509" s="64">
        <f t="shared" si="15"/>
        <v>0</v>
      </c>
      <c r="M509" s="67"/>
      <c r="N509" s="67"/>
      <c r="O509" s="67"/>
    </row>
    <row r="510" spans="1:22" ht="14.25" customHeight="1" x14ac:dyDescent="0.3">
      <c r="A510" t="s">
        <v>891</v>
      </c>
      <c r="B510" t="s">
        <v>527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s="64">
        <f t="shared" si="14"/>
        <v>0</v>
      </c>
      <c r="L510" s="64">
        <f t="shared" si="15"/>
        <v>0</v>
      </c>
      <c r="M510" s="66">
        <f>C512*Scoring!$B$34+D512/Scoring!$C$34+E512*Scoring!$D$34+WR!F512*Scoring!$E$34+WR!G512/Scoring!$F$34+WR!H512*Scoring!$G$34+WR!I512*Scoring!$H$34+K512*Scoring!$I$34+WR!L512*Scoring!$J$34+U510</f>
        <v>0</v>
      </c>
      <c r="N510" s="66">
        <f>C510*Scoring!$B$34+D510/Scoring!$C$34+E510*Scoring!$D$34+WR!F510*Scoring!$E$34+WR!G510/Scoring!$F$34+WR!H510*Scoring!$G$34+WR!I510*Scoring!$H$34+K510*Scoring!$I$34+WR!L510*Scoring!$J$34+U510</f>
        <v>0</v>
      </c>
      <c r="O510" s="66">
        <f>C511*Scoring!$B$34+D511/Scoring!$C$34+E511*Scoring!$D$34+WR!F511*Scoring!$E$34+WR!G511/Scoring!$F$34+WR!H511*Scoring!$G$34+WR!I511*Scoring!$H$34+K511*Scoring!$I$34+WR!L511*Scoring!$J$34+U510</f>
        <v>0</v>
      </c>
      <c r="P510" s="20">
        <f>IF(COUNTIF(Rookies!$A:$A,A510)&gt;0,1,0)</f>
        <v>0</v>
      </c>
      <c r="S510" s="20">
        <f>V510/17</f>
        <v>0</v>
      </c>
      <c r="T510" s="20">
        <f>IF(P510=1,MAX(0,0.28*(12-S510)),0)</f>
        <v>0</v>
      </c>
      <c r="U510" s="20">
        <f>T510*17</f>
        <v>0</v>
      </c>
      <c r="V510" s="20">
        <f>C510*Scoring!$B$34+D510/Scoring!$C$34+E510*Scoring!$D$34+WR!F510*Scoring!$E$34+WR!G510/Scoring!$F$34+WR!H510*Scoring!$G$34+WR!I510*Scoring!$H$34+K510*Scoring!$I$34+WR!L510*Scoring!$J$34</f>
        <v>0</v>
      </c>
    </row>
    <row r="511" spans="1:22" ht="14.25" customHeight="1" x14ac:dyDescent="0.3">
      <c r="B511" t="s">
        <v>472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0.3</v>
      </c>
      <c r="K511" s="64">
        <f t="shared" si="14"/>
        <v>0</v>
      </c>
      <c r="L511" s="64">
        <f t="shared" si="15"/>
        <v>0</v>
      </c>
      <c r="M511" s="67"/>
      <c r="N511" s="67"/>
      <c r="O511" s="67"/>
    </row>
    <row r="512" spans="1:22" ht="14.25" customHeight="1" x14ac:dyDescent="0.3">
      <c r="B512" t="s">
        <v>473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0.3</v>
      </c>
      <c r="K512" s="64">
        <f t="shared" si="14"/>
        <v>0</v>
      </c>
      <c r="L512" s="64">
        <f t="shared" si="15"/>
        <v>0</v>
      </c>
      <c r="M512" s="67"/>
      <c r="N512" s="67"/>
      <c r="O512" s="67"/>
    </row>
    <row r="513" spans="1:22" ht="14.25" customHeight="1" x14ac:dyDescent="0.3">
      <c r="A513" t="s">
        <v>892</v>
      </c>
      <c r="B513" t="s">
        <v>493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s="64">
        <f t="shared" si="14"/>
        <v>0</v>
      </c>
      <c r="L513" s="64">
        <f t="shared" si="15"/>
        <v>0</v>
      </c>
      <c r="M513" s="66">
        <f>C515*Scoring!$B$34+D515/Scoring!$C$34+E515*Scoring!$D$34+WR!F515*Scoring!$E$34+WR!G515/Scoring!$F$34+WR!H515*Scoring!$G$34+WR!I515*Scoring!$H$34+K515*Scoring!$I$34+WR!L515*Scoring!$J$34+U513</f>
        <v>0</v>
      </c>
      <c r="N513" s="66">
        <f>C513*Scoring!$B$34+D513/Scoring!$C$34+E513*Scoring!$D$34+WR!F513*Scoring!$E$34+WR!G513/Scoring!$F$34+WR!H513*Scoring!$G$34+WR!I513*Scoring!$H$34+K513*Scoring!$I$34+WR!L513*Scoring!$J$34+U513</f>
        <v>0</v>
      </c>
      <c r="O513" s="66">
        <f>C514*Scoring!$B$34+D514/Scoring!$C$34+E514*Scoring!$D$34+WR!F514*Scoring!$E$34+WR!G514/Scoring!$F$34+WR!H514*Scoring!$G$34+WR!I514*Scoring!$H$34+K514*Scoring!$I$34+WR!L514*Scoring!$J$34+U513</f>
        <v>0</v>
      </c>
      <c r="P513" s="20">
        <f>IF(COUNTIF(Rookies!$A:$A,A513)&gt;0,1,0)</f>
        <v>0</v>
      </c>
      <c r="S513" s="20">
        <f>V513/17</f>
        <v>0</v>
      </c>
      <c r="T513" s="20">
        <f>IF(P513=1,MAX(0,0.28*(12-S513)),0)</f>
        <v>0</v>
      </c>
      <c r="U513" s="20">
        <f>T513*17</f>
        <v>0</v>
      </c>
      <c r="V513" s="20">
        <f>C513*Scoring!$B$34+D513/Scoring!$C$34+E513*Scoring!$D$34+WR!F513*Scoring!$E$34+WR!G513/Scoring!$F$34+WR!H513*Scoring!$G$34+WR!I513*Scoring!$H$34+K513*Scoring!$I$34+WR!L513*Scoring!$J$34</f>
        <v>0</v>
      </c>
    </row>
    <row r="514" spans="1:22" ht="14.25" customHeight="1" x14ac:dyDescent="0.3">
      <c r="B514" t="s">
        <v>472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1.4</v>
      </c>
      <c r="K514" s="64">
        <f t="shared" si="14"/>
        <v>0</v>
      </c>
      <c r="L514" s="64">
        <f t="shared" si="15"/>
        <v>0</v>
      </c>
      <c r="M514" s="67"/>
      <c r="N514" s="67"/>
      <c r="O514" s="67"/>
    </row>
    <row r="515" spans="1:22" ht="14.25" customHeight="1" x14ac:dyDescent="0.3">
      <c r="B515" t="s">
        <v>473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1.4</v>
      </c>
      <c r="K515" s="64">
        <f t="shared" ref="K515:K578" si="16">IFERROR(G515/F515/6.89*0.427*F515,0)</f>
        <v>0</v>
      </c>
      <c r="L515" s="64">
        <f t="shared" ref="L515:L578" si="17">IFERROR(D515/C515/12.87*0.633*C515,0)</f>
        <v>0</v>
      </c>
      <c r="M515" s="67"/>
      <c r="N515" s="67"/>
      <c r="O515" s="67"/>
    </row>
    <row r="516" spans="1:22" ht="14.25" customHeight="1" x14ac:dyDescent="0.3">
      <c r="A516" t="s">
        <v>864</v>
      </c>
      <c r="B516" t="s">
        <v>471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s="64">
        <f t="shared" si="16"/>
        <v>0</v>
      </c>
      <c r="L516" s="64">
        <f t="shared" si="17"/>
        <v>0</v>
      </c>
      <c r="M516" s="66">
        <f>C518*Scoring!$B$34+D518/Scoring!$C$34+E518*Scoring!$D$34+WR!F518*Scoring!$E$34+WR!G518/Scoring!$F$34+WR!H518*Scoring!$G$34+WR!I518*Scoring!$H$34+K518*Scoring!$I$34+WR!L518*Scoring!$J$34+U516</f>
        <v>0</v>
      </c>
      <c r="N516" s="66">
        <f>C516*Scoring!$B$34+D516/Scoring!$C$34+E516*Scoring!$D$34+WR!F516*Scoring!$E$34+WR!G516/Scoring!$F$34+WR!H516*Scoring!$G$34+WR!I516*Scoring!$H$34+K516*Scoring!$I$34+WR!L516*Scoring!$J$34+U516</f>
        <v>0</v>
      </c>
      <c r="O516" s="66">
        <f>C517*Scoring!$B$34+D517/Scoring!$C$34+E517*Scoring!$D$34+WR!F517*Scoring!$E$34+WR!G517/Scoring!$F$34+WR!H517*Scoring!$G$34+WR!I517*Scoring!$H$34+K517*Scoring!$I$34+WR!L517*Scoring!$J$34+U516</f>
        <v>0</v>
      </c>
      <c r="P516" s="20">
        <f>IF(COUNTIF(Rookies!$A:$A,A516)&gt;0,1,0)</f>
        <v>0</v>
      </c>
      <c r="S516" s="20">
        <f>V516/17</f>
        <v>0</v>
      </c>
      <c r="T516" s="20">
        <f>IF(P516=1,MAX(0,0.28*(12-S516)),0)</f>
        <v>0</v>
      </c>
      <c r="U516" s="20">
        <f>T516*17</f>
        <v>0</v>
      </c>
      <c r="V516" s="20">
        <f>C516*Scoring!$B$34+D516/Scoring!$C$34+E516*Scoring!$D$34+WR!F516*Scoring!$E$34+WR!G516/Scoring!$F$34+WR!H516*Scoring!$G$34+WR!I516*Scoring!$H$34+K516*Scoring!$I$34+WR!L516*Scoring!$J$34</f>
        <v>0</v>
      </c>
    </row>
    <row r="517" spans="1:22" ht="14.25" customHeight="1" x14ac:dyDescent="0.3">
      <c r="B517" t="s">
        <v>472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s="64">
        <f t="shared" si="16"/>
        <v>0</v>
      </c>
      <c r="L517" s="64">
        <f t="shared" si="17"/>
        <v>0</v>
      </c>
      <c r="M517" s="67"/>
      <c r="N517" s="67"/>
      <c r="O517" s="67"/>
    </row>
    <row r="518" spans="1:22" ht="14.25" customHeight="1" x14ac:dyDescent="0.3">
      <c r="B518" t="s">
        <v>473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s="64">
        <f t="shared" si="16"/>
        <v>0</v>
      </c>
      <c r="L518" s="64">
        <f t="shared" si="17"/>
        <v>0</v>
      </c>
      <c r="M518" s="67"/>
      <c r="N518" s="67"/>
      <c r="O518" s="67"/>
    </row>
    <row r="519" spans="1:22" ht="14.25" customHeight="1" x14ac:dyDescent="0.3">
      <c r="A519" t="s">
        <v>859</v>
      </c>
      <c r="B519" t="s">
        <v>505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s="64">
        <f t="shared" si="16"/>
        <v>0</v>
      </c>
      <c r="L519" s="64">
        <f t="shared" si="17"/>
        <v>0</v>
      </c>
      <c r="M519" s="66">
        <f>C521*Scoring!$B$34+D521/Scoring!$C$34+E521*Scoring!$D$34+WR!F521*Scoring!$E$34+WR!G521/Scoring!$F$34+WR!H521*Scoring!$G$34+WR!I521*Scoring!$H$34+K521*Scoring!$I$34+WR!L521*Scoring!$J$34+U519</f>
        <v>0</v>
      </c>
      <c r="N519" s="66">
        <f>C519*Scoring!$B$34+D519/Scoring!$C$34+E519*Scoring!$D$34+WR!F519*Scoring!$E$34+WR!G519/Scoring!$F$34+WR!H519*Scoring!$G$34+WR!I519*Scoring!$H$34+K519*Scoring!$I$34+WR!L519*Scoring!$J$34+U519</f>
        <v>0</v>
      </c>
      <c r="O519" s="66">
        <f>C520*Scoring!$B$34+D520/Scoring!$C$34+E520*Scoring!$D$34+WR!F520*Scoring!$E$34+WR!G520/Scoring!$F$34+WR!H520*Scoring!$G$34+WR!I520*Scoring!$H$34+K520*Scoring!$I$34+WR!L520*Scoring!$J$34+U519</f>
        <v>0</v>
      </c>
      <c r="P519" s="20">
        <f>IF(COUNTIF(Rookies!$A:$A,A519)&gt;0,1,0)</f>
        <v>0</v>
      </c>
      <c r="S519" s="20">
        <f>V519/17</f>
        <v>0</v>
      </c>
      <c r="T519" s="20">
        <f>IF(P519=1,MAX(0,0.28*(12-S519)),0)</f>
        <v>0</v>
      </c>
      <c r="U519" s="20">
        <f>T519*17</f>
        <v>0</v>
      </c>
      <c r="V519" s="20">
        <f>C519*Scoring!$B$34+D519/Scoring!$C$34+E519*Scoring!$D$34+WR!F519*Scoring!$E$34+WR!G519/Scoring!$F$34+WR!H519*Scoring!$G$34+WR!I519*Scoring!$H$34+K519*Scoring!$I$34+WR!L519*Scoring!$J$34</f>
        <v>0</v>
      </c>
    </row>
    <row r="520" spans="1:22" ht="14.25" customHeight="1" x14ac:dyDescent="0.3">
      <c r="B520" t="s">
        <v>472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 s="64">
        <f t="shared" si="16"/>
        <v>0</v>
      </c>
      <c r="L520" s="64">
        <f t="shared" si="17"/>
        <v>0</v>
      </c>
      <c r="M520" s="67"/>
      <c r="N520" s="67"/>
      <c r="O520" s="67"/>
    </row>
    <row r="521" spans="1:22" ht="14.25" customHeight="1" x14ac:dyDescent="0.3">
      <c r="B521" t="s">
        <v>473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 s="64">
        <f t="shared" si="16"/>
        <v>0</v>
      </c>
      <c r="L521" s="64">
        <f t="shared" si="17"/>
        <v>0</v>
      </c>
      <c r="M521" s="67"/>
      <c r="N521" s="67"/>
      <c r="O521" s="67"/>
    </row>
    <row r="522" spans="1:22" ht="14.25" customHeight="1" x14ac:dyDescent="0.3">
      <c r="A522" t="s">
        <v>860</v>
      </c>
      <c r="B522" t="s">
        <v>531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s="64">
        <f t="shared" si="16"/>
        <v>0</v>
      </c>
      <c r="L522" s="64">
        <f t="shared" si="17"/>
        <v>0</v>
      </c>
      <c r="M522" s="66">
        <f>C524*Scoring!$B$34+D524/Scoring!$C$34+E524*Scoring!$D$34+WR!F524*Scoring!$E$34+WR!G524/Scoring!$F$34+WR!H524*Scoring!$G$34+WR!I524*Scoring!$H$34+K524*Scoring!$I$34+WR!L524*Scoring!$J$34+U522</f>
        <v>0</v>
      </c>
      <c r="N522" s="66">
        <f>C522*Scoring!$B$34+D522/Scoring!$C$34+E522*Scoring!$D$34+WR!F522*Scoring!$E$34+WR!G522/Scoring!$F$34+WR!H522*Scoring!$G$34+WR!I522*Scoring!$H$34+K522*Scoring!$I$34+WR!L522*Scoring!$J$34+U522</f>
        <v>0</v>
      </c>
      <c r="O522" s="66">
        <f>C523*Scoring!$B$34+D523/Scoring!$C$34+E523*Scoring!$D$34+WR!F523*Scoring!$E$34+WR!G523/Scoring!$F$34+WR!H523*Scoring!$G$34+WR!I523*Scoring!$H$34+K523*Scoring!$I$34+WR!L523*Scoring!$J$34+U522</f>
        <v>0</v>
      </c>
      <c r="P522" s="20">
        <f>IF(COUNTIF(Rookies!$A:$A,A522)&gt;0,1,0)</f>
        <v>0</v>
      </c>
      <c r="S522" s="20">
        <f>V522/17</f>
        <v>0</v>
      </c>
      <c r="T522" s="20">
        <f>IF(P522=1,MAX(0,0.28*(12-S522)),0)</f>
        <v>0</v>
      </c>
      <c r="U522" s="20">
        <f>T522*17</f>
        <v>0</v>
      </c>
      <c r="V522" s="20">
        <f>C522*Scoring!$B$34+D522/Scoring!$C$34+E522*Scoring!$D$34+WR!F522*Scoring!$E$34+WR!G522/Scoring!$F$34+WR!H522*Scoring!$G$34+WR!I522*Scoring!$H$34+K522*Scoring!$I$34+WR!L522*Scoring!$J$34</f>
        <v>0</v>
      </c>
    </row>
    <row r="523" spans="1:22" ht="14.25" customHeight="1" x14ac:dyDescent="0.3">
      <c r="B523" t="s">
        <v>472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s="64">
        <f t="shared" si="16"/>
        <v>0</v>
      </c>
      <c r="L523" s="64">
        <f t="shared" si="17"/>
        <v>0</v>
      </c>
      <c r="M523" s="67"/>
      <c r="N523" s="67"/>
      <c r="O523" s="67"/>
    </row>
    <row r="524" spans="1:22" ht="14.25" customHeight="1" x14ac:dyDescent="0.3">
      <c r="B524" t="s">
        <v>473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s="64">
        <f t="shared" si="16"/>
        <v>0</v>
      </c>
      <c r="L524" s="64">
        <f t="shared" si="17"/>
        <v>0</v>
      </c>
      <c r="M524" s="67"/>
      <c r="N524" s="67"/>
      <c r="O524" s="67"/>
    </row>
    <row r="525" spans="1:22" ht="14.25" customHeight="1" x14ac:dyDescent="0.3">
      <c r="A525" t="s">
        <v>896</v>
      </c>
      <c r="B525" t="s">
        <v>475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s="64">
        <f t="shared" si="16"/>
        <v>0</v>
      </c>
      <c r="L525" s="64">
        <f t="shared" si="17"/>
        <v>0</v>
      </c>
      <c r="M525" s="66">
        <f>C527*Scoring!$B$34+D527/Scoring!$C$34+E527*Scoring!$D$34+WR!F527*Scoring!$E$34+WR!G527/Scoring!$F$34+WR!H527*Scoring!$G$34+WR!I527*Scoring!$H$34+K527*Scoring!$I$34+WR!L527*Scoring!$J$34+U525</f>
        <v>0</v>
      </c>
      <c r="N525" s="66">
        <f>C525*Scoring!$B$34+D525/Scoring!$C$34+E525*Scoring!$D$34+WR!F525*Scoring!$E$34+WR!G525/Scoring!$F$34+WR!H525*Scoring!$G$34+WR!I525*Scoring!$H$34+K525*Scoring!$I$34+WR!L525*Scoring!$J$34+U525</f>
        <v>0</v>
      </c>
      <c r="O525" s="66">
        <f>C526*Scoring!$B$34+D526/Scoring!$C$34+E526*Scoring!$D$34+WR!F526*Scoring!$E$34+WR!G526/Scoring!$F$34+WR!H526*Scoring!$G$34+WR!I526*Scoring!$H$34+K526*Scoring!$I$34+WR!L526*Scoring!$J$34+U525</f>
        <v>0</v>
      </c>
      <c r="P525" s="20">
        <f>IF(COUNTIF(Rookies!$A:$A,A525)&gt;0,1,0)</f>
        <v>0</v>
      </c>
      <c r="S525" s="20">
        <f>V525/17</f>
        <v>0</v>
      </c>
      <c r="T525" s="20">
        <f>IF(P525=1,MAX(0,0.28*(12-S525)),0)</f>
        <v>0</v>
      </c>
      <c r="U525" s="20">
        <f>T525*17</f>
        <v>0</v>
      </c>
      <c r="V525" s="20">
        <f>C525*Scoring!$B$34+D525/Scoring!$C$34+E525*Scoring!$D$34+WR!F525*Scoring!$E$34+WR!G525/Scoring!$F$34+WR!H525*Scoring!$G$34+WR!I525*Scoring!$H$34+K525*Scoring!$I$34+WR!L525*Scoring!$J$34</f>
        <v>0</v>
      </c>
    </row>
    <row r="526" spans="1:22" ht="14.25" customHeight="1" x14ac:dyDescent="0.3">
      <c r="B526" t="s">
        <v>472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1.9</v>
      </c>
      <c r="K526" s="64">
        <f t="shared" si="16"/>
        <v>0</v>
      </c>
      <c r="L526" s="64">
        <f t="shared" si="17"/>
        <v>0</v>
      </c>
      <c r="M526" s="67"/>
      <c r="N526" s="67"/>
      <c r="O526" s="67"/>
    </row>
    <row r="527" spans="1:22" ht="14.25" customHeight="1" x14ac:dyDescent="0.3">
      <c r="B527" t="s">
        <v>473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1.9</v>
      </c>
      <c r="K527" s="64">
        <f t="shared" si="16"/>
        <v>0</v>
      </c>
      <c r="L527" s="64">
        <f t="shared" si="17"/>
        <v>0</v>
      </c>
      <c r="M527" s="67"/>
      <c r="N527" s="67"/>
      <c r="O527" s="67"/>
    </row>
    <row r="528" spans="1:22" ht="14.25" customHeight="1" x14ac:dyDescent="0.3">
      <c r="A528" t="s">
        <v>897</v>
      </c>
      <c r="B528" t="s">
        <v>483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s="64">
        <f t="shared" si="16"/>
        <v>0</v>
      </c>
      <c r="L528" s="64">
        <f t="shared" si="17"/>
        <v>0</v>
      </c>
      <c r="M528" s="66">
        <f>C530*Scoring!$B$34+D530/Scoring!$C$34+E530*Scoring!$D$34+WR!F530*Scoring!$E$34+WR!G530/Scoring!$F$34+WR!H530*Scoring!$G$34+WR!I530*Scoring!$H$34+K530*Scoring!$I$34+WR!L530*Scoring!$J$34+U528</f>
        <v>0</v>
      </c>
      <c r="N528" s="66">
        <f>C528*Scoring!$B$34+D528/Scoring!$C$34+E528*Scoring!$D$34+WR!F528*Scoring!$E$34+WR!G528/Scoring!$F$34+WR!H528*Scoring!$G$34+WR!I528*Scoring!$H$34+K528*Scoring!$I$34+WR!L528*Scoring!$J$34+U528</f>
        <v>0</v>
      </c>
      <c r="O528" s="66">
        <f>C529*Scoring!$B$34+D529/Scoring!$C$34+E529*Scoring!$D$34+WR!F529*Scoring!$E$34+WR!G529/Scoring!$F$34+WR!H529*Scoring!$G$34+WR!I529*Scoring!$H$34+K529*Scoring!$I$34+WR!L529*Scoring!$J$34+U528</f>
        <v>0</v>
      </c>
      <c r="P528" s="20">
        <f>IF(COUNTIF(Rookies!$A:$A,A528)&gt;0,1,0)</f>
        <v>0</v>
      </c>
      <c r="S528" s="20">
        <f>V528/17</f>
        <v>0</v>
      </c>
      <c r="T528" s="20">
        <f>IF(P528=1,MAX(0,0.28*(12-S528)),0)</f>
        <v>0</v>
      </c>
      <c r="U528" s="20">
        <f>T528*17</f>
        <v>0</v>
      </c>
      <c r="V528" s="20">
        <f>C528*Scoring!$B$34+D528/Scoring!$C$34+E528*Scoring!$D$34+WR!F528*Scoring!$E$34+WR!G528/Scoring!$F$34+WR!H528*Scoring!$G$34+WR!I528*Scoring!$H$34+K528*Scoring!$I$34+WR!L528*Scoring!$J$34</f>
        <v>0</v>
      </c>
    </row>
    <row r="529" spans="1:22" ht="14.25" customHeight="1" x14ac:dyDescent="0.3">
      <c r="B529" t="s">
        <v>472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2.1</v>
      </c>
      <c r="K529" s="64">
        <f t="shared" si="16"/>
        <v>0</v>
      </c>
      <c r="L529" s="64">
        <f t="shared" si="17"/>
        <v>0</v>
      </c>
      <c r="M529" s="67"/>
      <c r="N529" s="67"/>
      <c r="O529" s="67"/>
    </row>
    <row r="530" spans="1:22" ht="14.25" customHeight="1" x14ac:dyDescent="0.3">
      <c r="B530" t="s">
        <v>473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2.1</v>
      </c>
      <c r="K530" s="64">
        <f t="shared" si="16"/>
        <v>0</v>
      </c>
      <c r="L530" s="64">
        <f t="shared" si="17"/>
        <v>0</v>
      </c>
      <c r="M530" s="67"/>
      <c r="N530" s="67"/>
      <c r="O530" s="67"/>
    </row>
    <row r="531" spans="1:22" ht="14.25" customHeight="1" x14ac:dyDescent="0.3">
      <c r="A531" t="s">
        <v>898</v>
      </c>
      <c r="B531" t="s">
        <v>509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s="64">
        <f t="shared" si="16"/>
        <v>0</v>
      </c>
      <c r="L531" s="64">
        <f t="shared" si="17"/>
        <v>0</v>
      </c>
      <c r="M531" s="66">
        <f>C533*Scoring!$B$34+D533/Scoring!$C$34+E533*Scoring!$D$34+WR!F533*Scoring!$E$34+WR!G533/Scoring!$F$34+WR!H533*Scoring!$G$34+WR!I533*Scoring!$H$34+K533*Scoring!$I$34+WR!L533*Scoring!$J$34+U531</f>
        <v>0</v>
      </c>
      <c r="N531" s="66">
        <f>C531*Scoring!$B$34+D531/Scoring!$C$34+E531*Scoring!$D$34+WR!F531*Scoring!$E$34+WR!G531/Scoring!$F$34+WR!H531*Scoring!$G$34+WR!I531*Scoring!$H$34+K531*Scoring!$I$34+WR!L531*Scoring!$J$34+U531</f>
        <v>0</v>
      </c>
      <c r="O531" s="66">
        <f>C532*Scoring!$B$34+D532/Scoring!$C$34+E532*Scoring!$D$34+WR!F532*Scoring!$E$34+WR!G532/Scoring!$F$34+WR!H532*Scoring!$G$34+WR!I532*Scoring!$H$34+K532*Scoring!$I$34+WR!L532*Scoring!$J$34+U531</f>
        <v>0</v>
      </c>
      <c r="P531" s="20">
        <f>IF(COUNTIF(Rookies!$A:$A,A531)&gt;0,1,0)</f>
        <v>0</v>
      </c>
      <c r="S531" s="20">
        <f>V531/17</f>
        <v>0</v>
      </c>
      <c r="T531" s="20">
        <f>IF(P531=1,MAX(0,0.28*(12-S531)),0)</f>
        <v>0</v>
      </c>
      <c r="U531" s="20">
        <f>T531*17</f>
        <v>0</v>
      </c>
      <c r="V531" s="20">
        <f>C531*Scoring!$B$34+D531/Scoring!$C$34+E531*Scoring!$D$34+WR!F531*Scoring!$E$34+WR!G531/Scoring!$F$34+WR!H531*Scoring!$G$34+WR!I531*Scoring!$H$34+K531*Scoring!$I$34+WR!L531*Scoring!$J$34</f>
        <v>0</v>
      </c>
    </row>
    <row r="532" spans="1:22" ht="14.25" customHeight="1" x14ac:dyDescent="0.3">
      <c r="B532" t="s">
        <v>472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1.9</v>
      </c>
      <c r="K532" s="64">
        <f t="shared" si="16"/>
        <v>0</v>
      </c>
      <c r="L532" s="64">
        <f t="shared" si="17"/>
        <v>0</v>
      </c>
      <c r="M532" s="67"/>
      <c r="N532" s="67"/>
      <c r="O532" s="67"/>
    </row>
    <row r="533" spans="1:22" ht="14.25" customHeight="1" x14ac:dyDescent="0.3">
      <c r="B533" t="s">
        <v>473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1.9</v>
      </c>
      <c r="K533" s="64">
        <f t="shared" si="16"/>
        <v>0</v>
      </c>
      <c r="L533" s="64">
        <f t="shared" si="17"/>
        <v>0</v>
      </c>
      <c r="M533" s="67"/>
      <c r="N533" s="67"/>
      <c r="O533" s="67"/>
    </row>
    <row r="534" spans="1:22" ht="14.25" customHeight="1" x14ac:dyDescent="0.3">
      <c r="K534" s="64">
        <f t="shared" si="16"/>
        <v>0</v>
      </c>
      <c r="L534" s="64">
        <f t="shared" si="17"/>
        <v>0</v>
      </c>
      <c r="M534" s="66">
        <f>C536*Scoring!$B$34+D536/Scoring!$C$34+E536*Scoring!$D$34+WR!F536*Scoring!$E$34+WR!G536/Scoring!$F$34+WR!H536*Scoring!$G$34+WR!I536*Scoring!$H$34+K536*Scoring!$I$34+WR!L536*Scoring!$J$34+U534</f>
        <v>0</v>
      </c>
      <c r="N534" s="66">
        <f>C534*Scoring!$B$34+D534/Scoring!$C$34+E534*Scoring!$D$34+WR!F534*Scoring!$E$34+WR!G534/Scoring!$F$34+WR!H534*Scoring!$G$34+WR!I534*Scoring!$H$34+K534*Scoring!$I$34+WR!L534*Scoring!$J$34+U534</f>
        <v>0</v>
      </c>
      <c r="O534" s="66">
        <f>C535*Scoring!$B$34+D535/Scoring!$C$34+E535*Scoring!$D$34+WR!F535*Scoring!$E$34+WR!G535/Scoring!$F$34+WR!H535*Scoring!$G$34+WR!I535*Scoring!$H$34+K535*Scoring!$I$34+WR!L535*Scoring!$J$34+U534</f>
        <v>0</v>
      </c>
      <c r="P534" s="20">
        <f>IF(COUNTIF(Rookies!$A:$A,A534)&gt;0,1,0)</f>
        <v>0</v>
      </c>
      <c r="S534" s="20">
        <f>V534/17</f>
        <v>0</v>
      </c>
      <c r="T534" s="20">
        <f>IF(P534=1,MAX(0,0.28*(12-S534)),0)</f>
        <v>0</v>
      </c>
      <c r="U534" s="20">
        <f>T534*17</f>
        <v>0</v>
      </c>
      <c r="V534" s="20">
        <f>C534*Scoring!$B$34+D534/Scoring!$C$34+E534*Scoring!$D$34+WR!F534*Scoring!$E$34+WR!G534/Scoring!$F$34+WR!H534*Scoring!$G$34+WR!I534*Scoring!$H$34+K534*Scoring!$I$34+WR!L534*Scoring!$J$34</f>
        <v>0</v>
      </c>
    </row>
    <row r="535" spans="1:22" ht="14.25" customHeight="1" x14ac:dyDescent="0.3">
      <c r="K535" s="64">
        <f t="shared" si="16"/>
        <v>0</v>
      </c>
      <c r="L535" s="64">
        <f t="shared" si="17"/>
        <v>0</v>
      </c>
      <c r="M535" s="67"/>
      <c r="N535" s="67"/>
      <c r="O535" s="67"/>
    </row>
    <row r="536" spans="1:22" ht="14.25" customHeight="1" x14ac:dyDescent="0.3">
      <c r="K536" s="64">
        <f t="shared" si="16"/>
        <v>0</v>
      </c>
      <c r="L536" s="64">
        <f t="shared" si="17"/>
        <v>0</v>
      </c>
      <c r="M536" s="67"/>
      <c r="N536" s="67"/>
      <c r="O536" s="67"/>
    </row>
    <row r="537" spans="1:22" ht="14.25" customHeight="1" x14ac:dyDescent="0.3">
      <c r="K537" s="64">
        <f t="shared" si="16"/>
        <v>0</v>
      </c>
      <c r="L537" s="64">
        <f t="shared" si="17"/>
        <v>0</v>
      </c>
      <c r="M537" s="66">
        <f>C539*Scoring!$B$34+D539/Scoring!$C$34+E539*Scoring!$D$34+WR!F539*Scoring!$E$34+WR!G539/Scoring!$F$34+WR!H539*Scoring!$G$34+WR!I539*Scoring!$H$34+K539*Scoring!$I$34+WR!L539*Scoring!$J$34+U537</f>
        <v>0</v>
      </c>
      <c r="N537" s="66">
        <f>C537*Scoring!$B$34+D537/Scoring!$C$34+E537*Scoring!$D$34+WR!F537*Scoring!$E$34+WR!G537/Scoring!$F$34+WR!H537*Scoring!$G$34+WR!I537*Scoring!$H$34+K537*Scoring!$I$34+WR!L537*Scoring!$J$34+U537</f>
        <v>0</v>
      </c>
      <c r="O537" s="66">
        <f>C538*Scoring!$B$34+D538/Scoring!$C$34+E538*Scoring!$D$34+WR!F538*Scoring!$E$34+WR!G538/Scoring!$F$34+WR!H538*Scoring!$G$34+WR!I538*Scoring!$H$34+K538*Scoring!$I$34+WR!L538*Scoring!$J$34+U537</f>
        <v>0</v>
      </c>
      <c r="P537" s="20">
        <f>IF(COUNTIF(Rookies!$A:$A,A537)&gt;0,1,0)</f>
        <v>0</v>
      </c>
      <c r="S537" s="20">
        <f>V537/17</f>
        <v>0</v>
      </c>
      <c r="T537" s="20">
        <f>IF(P537=1,MAX(0,0.28*(12-S537)),0)</f>
        <v>0</v>
      </c>
      <c r="U537" s="20">
        <f>T537*17</f>
        <v>0</v>
      </c>
      <c r="V537" s="20">
        <f>C537*Scoring!$B$34+D537/Scoring!$C$34+E537*Scoring!$D$34+WR!F537*Scoring!$E$34+WR!G537/Scoring!$F$34+WR!H537*Scoring!$G$34+WR!I537*Scoring!$H$34+K537*Scoring!$I$34+WR!L537*Scoring!$J$34</f>
        <v>0</v>
      </c>
    </row>
    <row r="538" spans="1:22" ht="14.25" customHeight="1" x14ac:dyDescent="0.3">
      <c r="K538" s="64">
        <f t="shared" si="16"/>
        <v>0</v>
      </c>
      <c r="L538" s="64">
        <f t="shared" si="17"/>
        <v>0</v>
      </c>
      <c r="M538" s="67"/>
      <c r="N538" s="67"/>
      <c r="O538" s="67"/>
    </row>
    <row r="539" spans="1:22" ht="14.25" customHeight="1" x14ac:dyDescent="0.3">
      <c r="K539" s="64">
        <f t="shared" si="16"/>
        <v>0</v>
      </c>
      <c r="L539" s="64">
        <f t="shared" si="17"/>
        <v>0</v>
      </c>
      <c r="M539" s="67"/>
      <c r="N539" s="67"/>
      <c r="O539" s="67"/>
    </row>
    <row r="540" spans="1:22" ht="14.25" customHeight="1" x14ac:dyDescent="0.3">
      <c r="K540" s="64">
        <f t="shared" si="16"/>
        <v>0</v>
      </c>
      <c r="L540" s="64">
        <f t="shared" si="17"/>
        <v>0</v>
      </c>
      <c r="M540" s="66">
        <f>C542*Scoring!$B$34+D542/Scoring!$C$34+E542*Scoring!$D$34+WR!F542*Scoring!$E$34+WR!G542/Scoring!$F$34+WR!H542*Scoring!$G$34+WR!I542*Scoring!$H$34+K542*Scoring!$I$34+WR!L542*Scoring!$J$34+U540</f>
        <v>0</v>
      </c>
      <c r="N540" s="66">
        <f>C540*Scoring!$B$34+D540/Scoring!$C$34+E540*Scoring!$D$34+WR!F540*Scoring!$E$34+WR!G540/Scoring!$F$34+WR!H540*Scoring!$G$34+WR!I540*Scoring!$H$34+K540*Scoring!$I$34+WR!L540*Scoring!$J$34+U540</f>
        <v>0</v>
      </c>
      <c r="O540" s="66">
        <f>C541*Scoring!$B$34+D541/Scoring!$C$34+E541*Scoring!$D$34+WR!F541*Scoring!$E$34+WR!G541/Scoring!$F$34+WR!H541*Scoring!$G$34+WR!I541*Scoring!$H$34+K541*Scoring!$I$34+WR!L541*Scoring!$J$34+U540</f>
        <v>0</v>
      </c>
      <c r="P540" s="20">
        <f>IF(COUNTIF(Rookies!$A:$A,A540)&gt;0,1,0)</f>
        <v>0</v>
      </c>
      <c r="S540" s="20">
        <f>V540/17</f>
        <v>0</v>
      </c>
      <c r="T540" s="20">
        <f>IF(P540=1,MAX(0,0.28*(12-S540)),0)</f>
        <v>0</v>
      </c>
      <c r="U540" s="20">
        <f>T540*17</f>
        <v>0</v>
      </c>
      <c r="V540" s="20">
        <f>C540*Scoring!$B$34+D540/Scoring!$C$34+E540*Scoring!$D$34+WR!F540*Scoring!$E$34+WR!G540/Scoring!$F$34+WR!H540*Scoring!$G$34+WR!I540*Scoring!$H$34+K540*Scoring!$I$34+WR!L540*Scoring!$J$34</f>
        <v>0</v>
      </c>
    </row>
    <row r="541" spans="1:22" ht="14.25" customHeight="1" x14ac:dyDescent="0.3">
      <c r="K541" s="64">
        <f t="shared" si="16"/>
        <v>0</v>
      </c>
      <c r="L541" s="64">
        <f t="shared" si="17"/>
        <v>0</v>
      </c>
      <c r="M541" s="67"/>
      <c r="N541" s="67"/>
      <c r="O541" s="67"/>
    </row>
    <row r="542" spans="1:22" ht="14.25" customHeight="1" x14ac:dyDescent="0.3">
      <c r="K542" s="64">
        <f t="shared" si="16"/>
        <v>0</v>
      </c>
      <c r="L542" s="64">
        <f t="shared" si="17"/>
        <v>0</v>
      </c>
      <c r="M542" s="67"/>
      <c r="N542" s="67"/>
      <c r="O542" s="67"/>
    </row>
    <row r="543" spans="1:22" ht="14.25" customHeight="1" x14ac:dyDescent="0.3">
      <c r="K543" s="64">
        <f t="shared" si="16"/>
        <v>0</v>
      </c>
      <c r="L543" s="64">
        <f t="shared" si="17"/>
        <v>0</v>
      </c>
      <c r="M543" s="66">
        <f>C545*Scoring!$B$34+D545/Scoring!$C$34+E545*Scoring!$D$34+WR!F545*Scoring!$E$34+WR!G545/Scoring!$F$34+WR!H545*Scoring!$G$34+WR!I545*Scoring!$H$34+K545*Scoring!$I$34+WR!L545*Scoring!$J$34+U543</f>
        <v>0</v>
      </c>
      <c r="N543" s="66">
        <f>C543*Scoring!$B$34+D543/Scoring!$C$34+E543*Scoring!$D$34+WR!F543*Scoring!$E$34+WR!G543/Scoring!$F$34+WR!H543*Scoring!$G$34+WR!I543*Scoring!$H$34+K543*Scoring!$I$34+WR!L543*Scoring!$J$34+U543</f>
        <v>0</v>
      </c>
      <c r="O543" s="66">
        <f>C544*Scoring!$B$34+D544/Scoring!$C$34+E544*Scoring!$D$34+WR!F544*Scoring!$E$34+WR!G544/Scoring!$F$34+WR!H544*Scoring!$G$34+WR!I544*Scoring!$H$34+K544*Scoring!$I$34+WR!L544*Scoring!$J$34+U543</f>
        <v>0</v>
      </c>
      <c r="P543" s="20">
        <f>IF(COUNTIF(Rookies!$A:$A,A543)&gt;0,1,0)</f>
        <v>0</v>
      </c>
      <c r="S543" s="20">
        <f>V543/17</f>
        <v>0</v>
      </c>
      <c r="T543" s="20">
        <f>IF(P543=1,MAX(0,0.28*(12-S543)),0)</f>
        <v>0</v>
      </c>
      <c r="U543" s="20">
        <f>T543*17</f>
        <v>0</v>
      </c>
      <c r="V543" s="20">
        <f>C543*Scoring!$B$34+D543/Scoring!$C$34+E543*Scoring!$D$34+WR!F543*Scoring!$E$34+WR!G543/Scoring!$F$34+WR!H543*Scoring!$G$34+WR!I543*Scoring!$H$34+K543*Scoring!$I$34+WR!L543*Scoring!$J$34</f>
        <v>0</v>
      </c>
    </row>
    <row r="544" spans="1:22" ht="14.25" customHeight="1" x14ac:dyDescent="0.3">
      <c r="K544" s="64">
        <f t="shared" si="16"/>
        <v>0</v>
      </c>
      <c r="L544" s="64">
        <f t="shared" si="17"/>
        <v>0</v>
      </c>
      <c r="M544" s="67"/>
      <c r="N544" s="67"/>
      <c r="O544" s="67"/>
    </row>
    <row r="545" spans="11:22" ht="14.25" customHeight="1" x14ac:dyDescent="0.3">
      <c r="K545" s="64">
        <f t="shared" si="16"/>
        <v>0</v>
      </c>
      <c r="L545" s="64">
        <f t="shared" si="17"/>
        <v>0</v>
      </c>
      <c r="M545" s="67"/>
      <c r="N545" s="67"/>
      <c r="O545" s="67"/>
    </row>
    <row r="546" spans="11:22" ht="14.25" customHeight="1" x14ac:dyDescent="0.3">
      <c r="K546" s="64">
        <f t="shared" si="16"/>
        <v>0</v>
      </c>
      <c r="L546" s="64">
        <f t="shared" si="17"/>
        <v>0</v>
      </c>
      <c r="M546" s="66">
        <f>C548*Scoring!$B$34+D548/Scoring!$C$34+E548*Scoring!$D$34+WR!F548*Scoring!$E$34+WR!G548/Scoring!$F$34+WR!H548*Scoring!$G$34+WR!I548*Scoring!$H$34+K548*Scoring!$I$34+WR!L548*Scoring!$J$34+U546</f>
        <v>0</v>
      </c>
      <c r="N546" s="66">
        <f>C546*Scoring!$B$34+D546/Scoring!$C$34+E546*Scoring!$D$34+WR!F546*Scoring!$E$34+WR!G546/Scoring!$F$34+WR!H546*Scoring!$G$34+WR!I546*Scoring!$H$34+K546*Scoring!$I$34+WR!L546*Scoring!$J$34+U546</f>
        <v>0</v>
      </c>
      <c r="O546" s="66">
        <f>C547*Scoring!$B$34+D547/Scoring!$C$34+E547*Scoring!$D$34+WR!F547*Scoring!$E$34+WR!G547/Scoring!$F$34+WR!H547*Scoring!$G$34+WR!I547*Scoring!$H$34+K547*Scoring!$I$34+WR!L547*Scoring!$J$34+U546</f>
        <v>0</v>
      </c>
      <c r="P546" s="20">
        <f>IF(COUNTIF(Rookies!$A:$A,A546)&gt;0,1,0)</f>
        <v>0</v>
      </c>
      <c r="S546" s="20">
        <f>V546/17</f>
        <v>0</v>
      </c>
      <c r="T546" s="20">
        <f>IF(P546=1,MAX(0,0.28*(12-S546)),0)</f>
        <v>0</v>
      </c>
      <c r="U546" s="20">
        <f>T546*17</f>
        <v>0</v>
      </c>
      <c r="V546" s="20">
        <f>C546*Scoring!$B$34+D546/Scoring!$C$34+E546*Scoring!$D$34+WR!F546*Scoring!$E$34+WR!G546/Scoring!$F$34+WR!H546*Scoring!$G$34+WR!I546*Scoring!$H$34+K546*Scoring!$I$34+WR!L546*Scoring!$J$34</f>
        <v>0</v>
      </c>
    </row>
    <row r="547" spans="11:22" ht="14.25" customHeight="1" x14ac:dyDescent="0.3">
      <c r="K547" s="64">
        <f t="shared" si="16"/>
        <v>0</v>
      </c>
      <c r="L547" s="64">
        <f t="shared" si="17"/>
        <v>0</v>
      </c>
      <c r="M547" s="67"/>
      <c r="N547" s="67"/>
      <c r="O547" s="67"/>
    </row>
    <row r="548" spans="11:22" ht="14.25" customHeight="1" x14ac:dyDescent="0.3">
      <c r="K548" s="64">
        <f t="shared" si="16"/>
        <v>0</v>
      </c>
      <c r="L548" s="64">
        <f t="shared" si="17"/>
        <v>0</v>
      </c>
      <c r="M548" s="67"/>
      <c r="N548" s="67"/>
      <c r="O548" s="67"/>
    </row>
    <row r="549" spans="11:22" ht="14.25" customHeight="1" x14ac:dyDescent="0.3">
      <c r="K549" s="64">
        <f t="shared" si="16"/>
        <v>0</v>
      </c>
      <c r="L549" s="64">
        <f t="shared" si="17"/>
        <v>0</v>
      </c>
      <c r="M549" s="66">
        <f>C551*Scoring!$B$34+D551/Scoring!$C$34+E551*Scoring!$D$34+WR!F551*Scoring!$E$34+WR!G551/Scoring!$F$34+WR!H551*Scoring!$G$34+WR!I551*Scoring!$H$34+K551*Scoring!$I$34+WR!L551*Scoring!$J$34+U549</f>
        <v>0</v>
      </c>
      <c r="N549" s="66">
        <f>C549*Scoring!$B$34+D549/Scoring!$C$34+E549*Scoring!$D$34+WR!F549*Scoring!$E$34+WR!G549/Scoring!$F$34+WR!H549*Scoring!$G$34+WR!I549*Scoring!$H$34+K549*Scoring!$I$34+WR!L549*Scoring!$J$34+U549</f>
        <v>0</v>
      </c>
      <c r="O549" s="66">
        <f>C550*Scoring!$B$34+D550/Scoring!$C$34+E550*Scoring!$D$34+WR!F550*Scoring!$E$34+WR!G550/Scoring!$F$34+WR!H550*Scoring!$G$34+WR!I550*Scoring!$H$34+K550*Scoring!$I$34+WR!L550*Scoring!$J$34+U549</f>
        <v>0</v>
      </c>
      <c r="P549" s="20">
        <f>IF(COUNTIF(Rookies!$A:$A,A549)&gt;0,1,0)</f>
        <v>0</v>
      </c>
      <c r="S549" s="20">
        <f>V549/17</f>
        <v>0</v>
      </c>
      <c r="T549" s="20">
        <f>IF(P549=1,MAX(0,0.28*(12-S549)),0)</f>
        <v>0</v>
      </c>
      <c r="U549" s="20">
        <f>T549*17</f>
        <v>0</v>
      </c>
      <c r="V549" s="20">
        <f>C549*Scoring!$B$34+D549/Scoring!$C$34+E549*Scoring!$D$34+WR!F549*Scoring!$E$34+WR!G549/Scoring!$F$34+WR!H549*Scoring!$G$34+WR!I549*Scoring!$H$34+K549*Scoring!$I$34+WR!L549*Scoring!$J$34</f>
        <v>0</v>
      </c>
    </row>
    <row r="550" spans="11:22" ht="14.25" customHeight="1" x14ac:dyDescent="0.3">
      <c r="K550" s="64">
        <f t="shared" si="16"/>
        <v>0</v>
      </c>
      <c r="L550" s="64">
        <f t="shared" si="17"/>
        <v>0</v>
      </c>
      <c r="M550" s="67"/>
      <c r="N550" s="67"/>
      <c r="O550" s="67"/>
    </row>
    <row r="551" spans="11:22" ht="14.25" customHeight="1" x14ac:dyDescent="0.3">
      <c r="K551" s="64">
        <f t="shared" si="16"/>
        <v>0</v>
      </c>
      <c r="L551" s="64">
        <f t="shared" si="17"/>
        <v>0</v>
      </c>
      <c r="M551" s="67"/>
      <c r="N551" s="67"/>
      <c r="O551" s="67"/>
    </row>
    <row r="552" spans="11:22" ht="14.25" customHeight="1" x14ac:dyDescent="0.3">
      <c r="K552" s="64">
        <f t="shared" si="16"/>
        <v>0</v>
      </c>
      <c r="L552" s="64">
        <f t="shared" si="17"/>
        <v>0</v>
      </c>
      <c r="M552" s="66">
        <f>C554*Scoring!$B$34+D554/Scoring!$C$34+E554*Scoring!$D$34+WR!F554*Scoring!$E$34+WR!G554/Scoring!$F$34+WR!H554*Scoring!$G$34+WR!I554*Scoring!$H$34+K554*Scoring!$I$34+WR!L554*Scoring!$J$34+U552</f>
        <v>0</v>
      </c>
      <c r="N552" s="66">
        <f>C552*Scoring!$B$34+D552/Scoring!$C$34+E552*Scoring!$D$34+WR!F552*Scoring!$E$34+WR!G552/Scoring!$F$34+WR!H552*Scoring!$G$34+WR!I552*Scoring!$H$34+K552*Scoring!$I$34+WR!L552*Scoring!$J$34+U552</f>
        <v>0</v>
      </c>
      <c r="O552" s="66">
        <f>C553*Scoring!$B$34+D553/Scoring!$C$34+E553*Scoring!$D$34+WR!F553*Scoring!$E$34+WR!G553/Scoring!$F$34+WR!H553*Scoring!$G$34+WR!I553*Scoring!$H$34+K553*Scoring!$I$34+WR!L553*Scoring!$J$34+U552</f>
        <v>0</v>
      </c>
      <c r="P552" s="20">
        <f>IF(COUNTIF(Rookies!$A:$A,A552)&gt;0,1,0)</f>
        <v>0</v>
      </c>
      <c r="S552" s="20">
        <f>V552/17</f>
        <v>0</v>
      </c>
      <c r="T552" s="20">
        <f>IF(P552=1,MAX(0,0.28*(12-S552)),0)</f>
        <v>0</v>
      </c>
      <c r="U552" s="20">
        <f>T552*17</f>
        <v>0</v>
      </c>
      <c r="V552" s="20">
        <f>C552*Scoring!$B$34+D552/Scoring!$C$34+E552*Scoring!$D$34+WR!F552*Scoring!$E$34+WR!G552/Scoring!$F$34+WR!H552*Scoring!$G$34+WR!I552*Scoring!$H$34+K552*Scoring!$I$34+WR!L552*Scoring!$J$34</f>
        <v>0</v>
      </c>
    </row>
    <row r="553" spans="11:22" ht="14.25" customHeight="1" x14ac:dyDescent="0.3">
      <c r="K553" s="64">
        <f t="shared" si="16"/>
        <v>0</v>
      </c>
      <c r="L553" s="64">
        <f t="shared" si="17"/>
        <v>0</v>
      </c>
      <c r="M553" s="67"/>
      <c r="N553" s="67"/>
      <c r="O553" s="67"/>
    </row>
    <row r="554" spans="11:22" ht="14.25" customHeight="1" x14ac:dyDescent="0.3">
      <c r="K554" s="64">
        <f t="shared" si="16"/>
        <v>0</v>
      </c>
      <c r="L554" s="64">
        <f t="shared" si="17"/>
        <v>0</v>
      </c>
      <c r="M554" s="67"/>
      <c r="N554" s="67"/>
      <c r="O554" s="67"/>
    </row>
    <row r="555" spans="11:22" ht="14.25" customHeight="1" x14ac:dyDescent="0.3">
      <c r="K555" s="64">
        <f t="shared" si="16"/>
        <v>0</v>
      </c>
      <c r="L555" s="64">
        <f t="shared" si="17"/>
        <v>0</v>
      </c>
      <c r="M555" s="66">
        <f>C557*Scoring!$B$34+D557/Scoring!$C$34+E557*Scoring!$D$34+WR!F557*Scoring!$E$34+WR!G557/Scoring!$F$34+WR!H557*Scoring!$G$34+WR!I557*Scoring!$H$34+K557*Scoring!$I$34+WR!L557*Scoring!$J$34+U555</f>
        <v>0</v>
      </c>
      <c r="N555" s="66">
        <f>C555*Scoring!$B$34+D555/Scoring!$C$34+E555*Scoring!$D$34+WR!F555*Scoring!$E$34+WR!G555/Scoring!$F$34+WR!H555*Scoring!$G$34+WR!I555*Scoring!$H$34+K555*Scoring!$I$34+WR!L555*Scoring!$J$34+U555</f>
        <v>0</v>
      </c>
      <c r="O555" s="66">
        <f>C556*Scoring!$B$34+D556/Scoring!$C$34+E556*Scoring!$D$34+WR!F556*Scoring!$E$34+WR!G556/Scoring!$F$34+WR!H556*Scoring!$G$34+WR!I556*Scoring!$H$34+K556*Scoring!$I$34+WR!L556*Scoring!$J$34+U555</f>
        <v>0</v>
      </c>
      <c r="P555" s="20">
        <f>IF(COUNTIF(Rookies!$A:$A,A555)&gt;0,1,0)</f>
        <v>0</v>
      </c>
      <c r="S555" s="20">
        <f>V555/17</f>
        <v>0</v>
      </c>
      <c r="T555" s="20">
        <f>IF(P555=1,MAX(0,0.28*(12-S555)),0)</f>
        <v>0</v>
      </c>
      <c r="U555" s="20">
        <f>T555*17</f>
        <v>0</v>
      </c>
      <c r="V555" s="20">
        <f>C555*Scoring!$B$34+D555/Scoring!$C$34+E555*Scoring!$D$34+WR!F555*Scoring!$E$34+WR!G555/Scoring!$F$34+WR!H555*Scoring!$G$34+WR!I555*Scoring!$H$34+K555*Scoring!$I$34+WR!L555*Scoring!$J$34</f>
        <v>0</v>
      </c>
    </row>
    <row r="556" spans="11:22" ht="14.25" customHeight="1" x14ac:dyDescent="0.3">
      <c r="K556" s="64">
        <f t="shared" si="16"/>
        <v>0</v>
      </c>
      <c r="L556" s="64">
        <f t="shared" si="17"/>
        <v>0</v>
      </c>
      <c r="M556" s="67"/>
      <c r="N556" s="67"/>
      <c r="O556" s="67"/>
    </row>
    <row r="557" spans="11:22" ht="14.25" customHeight="1" x14ac:dyDescent="0.3">
      <c r="K557" s="64">
        <f t="shared" si="16"/>
        <v>0</v>
      </c>
      <c r="L557" s="64">
        <f t="shared" si="17"/>
        <v>0</v>
      </c>
      <c r="M557" s="67"/>
      <c r="N557" s="67"/>
      <c r="O557" s="67"/>
    </row>
    <row r="558" spans="11:22" ht="14.25" customHeight="1" x14ac:dyDescent="0.3">
      <c r="K558" s="64">
        <f t="shared" si="16"/>
        <v>0</v>
      </c>
      <c r="L558" s="64">
        <f t="shared" si="17"/>
        <v>0</v>
      </c>
      <c r="M558" s="66">
        <f>C560*Scoring!$B$34+D560/Scoring!$C$34+E560*Scoring!$D$34+WR!F560*Scoring!$E$34+WR!G560/Scoring!$F$34+WR!H560*Scoring!$G$34+WR!I560*Scoring!$H$34+K560*Scoring!$I$34+WR!L560*Scoring!$J$34+U558</f>
        <v>0</v>
      </c>
      <c r="N558" s="66">
        <f>C558*Scoring!$B$34+D558/Scoring!$C$34+E558*Scoring!$D$34+WR!F558*Scoring!$E$34+WR!G558/Scoring!$F$34+WR!H558*Scoring!$G$34+WR!I558*Scoring!$H$34+K558*Scoring!$I$34+WR!L558*Scoring!$J$34+U558</f>
        <v>0</v>
      </c>
      <c r="O558" s="66">
        <f>C559*Scoring!$B$34+D559/Scoring!$C$34+E559*Scoring!$D$34+WR!F559*Scoring!$E$34+WR!G559/Scoring!$F$34+WR!H559*Scoring!$G$34+WR!I559*Scoring!$H$34+K559*Scoring!$I$34+WR!L559*Scoring!$J$34+U558</f>
        <v>0</v>
      </c>
      <c r="P558" s="20">
        <f>IF(COUNTIF(Rookies!$A:$A,A558)&gt;0,1,0)</f>
        <v>0</v>
      </c>
      <c r="S558" s="20">
        <f>V558/17</f>
        <v>0</v>
      </c>
      <c r="T558" s="20">
        <f>IF(P558=1,MAX(0,0.28*(12-S558)),0)</f>
        <v>0</v>
      </c>
      <c r="U558" s="20">
        <f>T558*17</f>
        <v>0</v>
      </c>
      <c r="V558" s="20">
        <f>C558*Scoring!$B$34+D558/Scoring!$C$34+E558*Scoring!$D$34+WR!F558*Scoring!$E$34+WR!G558/Scoring!$F$34+WR!H558*Scoring!$G$34+WR!I558*Scoring!$H$34+K558*Scoring!$I$34+WR!L558*Scoring!$J$34</f>
        <v>0</v>
      </c>
    </row>
    <row r="559" spans="11:22" ht="14.25" customHeight="1" x14ac:dyDescent="0.3">
      <c r="K559" s="64">
        <f t="shared" si="16"/>
        <v>0</v>
      </c>
      <c r="L559" s="64">
        <f t="shared" si="17"/>
        <v>0</v>
      </c>
      <c r="M559" s="67"/>
      <c r="N559" s="67"/>
      <c r="O559" s="67"/>
    </row>
    <row r="560" spans="11:22" ht="14.25" customHeight="1" x14ac:dyDescent="0.3">
      <c r="K560" s="64">
        <f t="shared" si="16"/>
        <v>0</v>
      </c>
      <c r="L560" s="64">
        <f t="shared" si="17"/>
        <v>0</v>
      </c>
      <c r="M560" s="67"/>
      <c r="N560" s="67"/>
      <c r="O560" s="67"/>
    </row>
    <row r="561" spans="11:22" ht="14.25" customHeight="1" x14ac:dyDescent="0.3">
      <c r="K561" s="64">
        <f t="shared" si="16"/>
        <v>0</v>
      </c>
      <c r="L561" s="64">
        <f t="shared" si="17"/>
        <v>0</v>
      </c>
      <c r="M561" s="66">
        <f>C563*Scoring!$B$34+D563/Scoring!$C$34+E563*Scoring!$D$34+WR!F563*Scoring!$E$34+WR!G563/Scoring!$F$34+WR!H563*Scoring!$G$34+WR!I563*Scoring!$H$34+K563*Scoring!$I$34+WR!L563*Scoring!$J$34+U561</f>
        <v>0</v>
      </c>
      <c r="N561" s="66">
        <f>C561*Scoring!$B$34+D561/Scoring!$C$34+E561*Scoring!$D$34+WR!F561*Scoring!$E$34+WR!G561/Scoring!$F$34+WR!H561*Scoring!$G$34+WR!I561*Scoring!$H$34+K561*Scoring!$I$34+WR!L561*Scoring!$J$34+U561</f>
        <v>0</v>
      </c>
      <c r="O561" s="66">
        <f>C562*Scoring!$B$34+D562/Scoring!$C$34+E562*Scoring!$D$34+WR!F562*Scoring!$E$34+WR!G562/Scoring!$F$34+WR!H562*Scoring!$G$34+WR!I562*Scoring!$H$34+K562*Scoring!$I$34+WR!L562*Scoring!$J$34+U561</f>
        <v>0</v>
      </c>
      <c r="P561" s="20">
        <f>IF(COUNTIF(Rookies!$A:$A,A561)&gt;0,1,0)</f>
        <v>0</v>
      </c>
      <c r="S561" s="20">
        <f>V561/17</f>
        <v>0</v>
      </c>
      <c r="T561" s="20">
        <f>IF(P561=1,MAX(0,0.28*(12-S561)),0)</f>
        <v>0</v>
      </c>
      <c r="U561" s="20">
        <f>T561*17</f>
        <v>0</v>
      </c>
      <c r="V561" s="20">
        <f>C561*Scoring!$B$34+D561/Scoring!$C$34+E561*Scoring!$D$34+WR!F561*Scoring!$E$34+WR!G561/Scoring!$F$34+WR!H561*Scoring!$G$34+WR!I561*Scoring!$H$34+K561*Scoring!$I$34+WR!L561*Scoring!$J$34</f>
        <v>0</v>
      </c>
    </row>
    <row r="562" spans="11:22" ht="14.25" customHeight="1" x14ac:dyDescent="0.3">
      <c r="K562" s="64">
        <f t="shared" si="16"/>
        <v>0</v>
      </c>
      <c r="L562" s="64">
        <f t="shared" si="17"/>
        <v>0</v>
      </c>
      <c r="M562" s="67"/>
      <c r="N562" s="67"/>
      <c r="O562" s="67"/>
    </row>
    <row r="563" spans="11:22" ht="14.25" customHeight="1" x14ac:dyDescent="0.3">
      <c r="K563" s="64">
        <f t="shared" si="16"/>
        <v>0</v>
      </c>
      <c r="L563" s="64">
        <f t="shared" si="17"/>
        <v>0</v>
      </c>
      <c r="M563" s="67"/>
      <c r="N563" s="67"/>
      <c r="O563" s="67"/>
    </row>
    <row r="564" spans="11:22" ht="14.25" customHeight="1" x14ac:dyDescent="0.3">
      <c r="K564" s="64">
        <f t="shared" si="16"/>
        <v>0</v>
      </c>
      <c r="L564" s="64">
        <f t="shared" si="17"/>
        <v>0</v>
      </c>
      <c r="M564" s="66">
        <f>C566*Scoring!$B$34+D566/Scoring!$C$34+E566*Scoring!$D$34+WR!F566*Scoring!$E$34+WR!G566/Scoring!$F$34+WR!H566*Scoring!$G$34+WR!I566*Scoring!$H$34+K566*Scoring!$I$34+WR!L566*Scoring!$J$34+U564</f>
        <v>0</v>
      </c>
      <c r="N564" s="66">
        <f>C564*Scoring!$B$34+D564/Scoring!$C$34+E564*Scoring!$D$34+WR!F564*Scoring!$E$34+WR!G564/Scoring!$F$34+WR!H564*Scoring!$G$34+WR!I564*Scoring!$H$34+K564*Scoring!$I$34+WR!L564*Scoring!$J$34+U564</f>
        <v>0</v>
      </c>
      <c r="O564" s="66">
        <f>C565*Scoring!$B$34+D565/Scoring!$C$34+E565*Scoring!$D$34+WR!F565*Scoring!$E$34+WR!G565/Scoring!$F$34+WR!H565*Scoring!$G$34+WR!I565*Scoring!$H$34+K565*Scoring!$I$34+WR!L565*Scoring!$J$34+U564</f>
        <v>0</v>
      </c>
      <c r="P564" s="20">
        <f>IF(COUNTIF(Rookies!$A:$A,A564)&gt;0,1,0)</f>
        <v>0</v>
      </c>
      <c r="S564" s="20">
        <f>V564/17</f>
        <v>0</v>
      </c>
      <c r="T564" s="20">
        <f>IF(P564=1,MAX(0,0.28*(12-S564)),0)</f>
        <v>0</v>
      </c>
      <c r="U564" s="20">
        <f>T564*17</f>
        <v>0</v>
      </c>
      <c r="V564" s="20">
        <f>C564*Scoring!$B$34+D564/Scoring!$C$34+E564*Scoring!$D$34+WR!F564*Scoring!$E$34+WR!G564/Scoring!$F$34+WR!H564*Scoring!$G$34+WR!I564*Scoring!$H$34+K564*Scoring!$I$34+WR!L564*Scoring!$J$34</f>
        <v>0</v>
      </c>
    </row>
    <row r="565" spans="11:22" ht="14.25" customHeight="1" x14ac:dyDescent="0.3">
      <c r="K565" s="64">
        <f t="shared" si="16"/>
        <v>0</v>
      </c>
      <c r="L565" s="64">
        <f t="shared" si="17"/>
        <v>0</v>
      </c>
      <c r="M565" s="67"/>
      <c r="N565" s="67"/>
      <c r="O565" s="67"/>
    </row>
    <row r="566" spans="11:22" ht="14.25" customHeight="1" x14ac:dyDescent="0.3">
      <c r="K566" s="64">
        <f t="shared" si="16"/>
        <v>0</v>
      </c>
      <c r="L566" s="64">
        <f t="shared" si="17"/>
        <v>0</v>
      </c>
      <c r="M566" s="67"/>
      <c r="N566" s="67"/>
      <c r="O566" s="67"/>
    </row>
    <row r="567" spans="11:22" ht="14.25" customHeight="1" x14ac:dyDescent="0.3">
      <c r="K567" s="64">
        <f t="shared" si="16"/>
        <v>0</v>
      </c>
      <c r="L567" s="64">
        <f t="shared" si="17"/>
        <v>0</v>
      </c>
      <c r="M567" s="66">
        <f>C569*Scoring!$B$34+D569/Scoring!$C$34+E569*Scoring!$D$34+WR!F569*Scoring!$E$34+WR!G569/Scoring!$F$34+WR!H569*Scoring!$G$34+WR!I569*Scoring!$H$34+K569*Scoring!$I$34+WR!L569*Scoring!$J$34+U567</f>
        <v>0</v>
      </c>
      <c r="N567" s="66">
        <f>C567*Scoring!$B$34+D567/Scoring!$C$34+E567*Scoring!$D$34+WR!F567*Scoring!$E$34+WR!G567/Scoring!$F$34+WR!H567*Scoring!$G$34+WR!I567*Scoring!$H$34+K567*Scoring!$I$34+WR!L567*Scoring!$J$34+U567</f>
        <v>0</v>
      </c>
      <c r="O567" s="66">
        <f>C568*Scoring!$B$34+D568/Scoring!$C$34+E568*Scoring!$D$34+WR!F568*Scoring!$E$34+WR!G568/Scoring!$F$34+WR!H568*Scoring!$G$34+WR!I568*Scoring!$H$34+K568*Scoring!$I$34+WR!L568*Scoring!$J$34+U567</f>
        <v>0</v>
      </c>
      <c r="P567" s="20">
        <f>IF(COUNTIF(Rookies!$A:$A,A567)&gt;0,1,0)</f>
        <v>0</v>
      </c>
      <c r="S567" s="20">
        <f>V567/17</f>
        <v>0</v>
      </c>
      <c r="T567" s="20">
        <f>IF(P567=1,MAX(0,0.28*(12-S567)),0)</f>
        <v>0</v>
      </c>
      <c r="U567" s="20">
        <f>T567*17</f>
        <v>0</v>
      </c>
      <c r="V567" s="20">
        <f>C567*Scoring!$B$34+D567/Scoring!$C$34+E567*Scoring!$D$34+WR!F567*Scoring!$E$34+WR!G567/Scoring!$F$34+WR!H567*Scoring!$G$34+WR!I567*Scoring!$H$34+K567*Scoring!$I$34+WR!L567*Scoring!$J$34</f>
        <v>0</v>
      </c>
    </row>
    <row r="568" spans="11:22" ht="14.25" customHeight="1" x14ac:dyDescent="0.3">
      <c r="K568" s="64">
        <f t="shared" si="16"/>
        <v>0</v>
      </c>
      <c r="L568" s="64">
        <f t="shared" si="17"/>
        <v>0</v>
      </c>
      <c r="M568" s="67"/>
      <c r="N568" s="67"/>
      <c r="O568" s="67"/>
    </row>
    <row r="569" spans="11:22" ht="14.25" customHeight="1" x14ac:dyDescent="0.3">
      <c r="K569" s="64">
        <f t="shared" si="16"/>
        <v>0</v>
      </c>
      <c r="L569" s="64">
        <f t="shared" si="17"/>
        <v>0</v>
      </c>
      <c r="M569" s="67"/>
      <c r="N569" s="67"/>
      <c r="O569" s="67"/>
    </row>
    <row r="570" spans="11:22" ht="14.25" customHeight="1" x14ac:dyDescent="0.3">
      <c r="K570" s="64">
        <f t="shared" si="16"/>
        <v>0</v>
      </c>
      <c r="L570" s="64">
        <f t="shared" si="17"/>
        <v>0</v>
      </c>
      <c r="M570" s="66">
        <f>C572*Scoring!$B$34+D572/Scoring!$C$34+E572*Scoring!$D$34+WR!F572*Scoring!$E$34+WR!G572/Scoring!$F$34+WR!H572*Scoring!$G$34+WR!I572*Scoring!$H$34+K572*Scoring!$I$34+WR!L572*Scoring!$J$34+U570</f>
        <v>0</v>
      </c>
      <c r="N570" s="66">
        <f>C570*Scoring!$B$34+D570/Scoring!$C$34+E570*Scoring!$D$34+WR!F570*Scoring!$E$34+WR!G570/Scoring!$F$34+WR!H570*Scoring!$G$34+WR!I570*Scoring!$H$34+K570*Scoring!$I$34+WR!L570*Scoring!$J$34+U570</f>
        <v>0</v>
      </c>
      <c r="O570" s="66">
        <f>C571*Scoring!$B$34+D571/Scoring!$C$34+E571*Scoring!$D$34+WR!F571*Scoring!$E$34+WR!G571/Scoring!$F$34+WR!H571*Scoring!$G$34+WR!I571*Scoring!$H$34+K571*Scoring!$I$34+WR!L571*Scoring!$J$34+U570</f>
        <v>0</v>
      </c>
      <c r="P570" s="20">
        <f>IF(COUNTIF(Rookies!$A:$A,A570)&gt;0,1,0)</f>
        <v>0</v>
      </c>
      <c r="S570" s="20">
        <f>V570/17</f>
        <v>0</v>
      </c>
      <c r="T570" s="20">
        <f>IF(P570=1,MAX(0,0.28*(12-S570)),0)</f>
        <v>0</v>
      </c>
      <c r="U570" s="20">
        <f>T570*17</f>
        <v>0</v>
      </c>
      <c r="V570" s="20">
        <f>C570*Scoring!$B$34+D570/Scoring!$C$34+E570*Scoring!$D$34+WR!F570*Scoring!$E$34+WR!G570/Scoring!$F$34+WR!H570*Scoring!$G$34+WR!I570*Scoring!$H$34+K570*Scoring!$I$34+WR!L570*Scoring!$J$34</f>
        <v>0</v>
      </c>
    </row>
    <row r="571" spans="11:22" ht="14.25" customHeight="1" x14ac:dyDescent="0.3">
      <c r="K571" s="64">
        <f t="shared" si="16"/>
        <v>0</v>
      </c>
      <c r="L571" s="64">
        <f t="shared" si="17"/>
        <v>0</v>
      </c>
      <c r="M571" s="67"/>
      <c r="N571" s="67"/>
      <c r="O571" s="67"/>
    </row>
    <row r="572" spans="11:22" ht="14.25" customHeight="1" x14ac:dyDescent="0.3">
      <c r="K572" s="64">
        <f t="shared" si="16"/>
        <v>0</v>
      </c>
      <c r="L572" s="64">
        <f t="shared" si="17"/>
        <v>0</v>
      </c>
      <c r="M572" s="67"/>
      <c r="N572" s="67"/>
      <c r="O572" s="67"/>
    </row>
    <row r="573" spans="11:22" ht="14.25" customHeight="1" x14ac:dyDescent="0.3">
      <c r="K573" s="64">
        <f t="shared" si="16"/>
        <v>0</v>
      </c>
      <c r="L573" s="64">
        <f t="shared" si="17"/>
        <v>0</v>
      </c>
      <c r="M573" s="66">
        <f>C575*Scoring!$B$34+D575/Scoring!$C$34+E575*Scoring!$D$34+WR!F575*Scoring!$E$34+WR!G575/Scoring!$F$34+WR!H575*Scoring!$G$34+WR!I575*Scoring!$H$34+K575*Scoring!$I$34+WR!L575*Scoring!$J$34+U573</f>
        <v>0</v>
      </c>
      <c r="N573" s="66">
        <f>C573*Scoring!$B$34+D573/Scoring!$C$34+E573*Scoring!$D$34+WR!F573*Scoring!$E$34+WR!G573/Scoring!$F$34+WR!H573*Scoring!$G$34+WR!I573*Scoring!$H$34+K573*Scoring!$I$34+WR!L573*Scoring!$J$34+U573</f>
        <v>0</v>
      </c>
      <c r="O573" s="66">
        <f>C574*Scoring!$B$34+D574/Scoring!$C$34+E574*Scoring!$D$34+WR!F574*Scoring!$E$34+WR!G574/Scoring!$F$34+WR!H574*Scoring!$G$34+WR!I574*Scoring!$H$34+K574*Scoring!$I$34+WR!L574*Scoring!$J$34+U573</f>
        <v>0</v>
      </c>
      <c r="P573" s="20">
        <f>IF(COUNTIF(Rookies!$A:$A,A573)&gt;0,1,0)</f>
        <v>0</v>
      </c>
      <c r="S573" s="20">
        <f>V573/17</f>
        <v>0</v>
      </c>
      <c r="T573" s="20">
        <f>IF(P573=1,MAX(0,0.28*(12-S573)),0)</f>
        <v>0</v>
      </c>
      <c r="U573" s="20">
        <f>T573*17</f>
        <v>0</v>
      </c>
      <c r="V573" s="20">
        <f>C573*Scoring!$B$34+D573/Scoring!$C$34+E573*Scoring!$D$34+WR!F573*Scoring!$E$34+WR!G573/Scoring!$F$34+WR!H573*Scoring!$G$34+WR!I573*Scoring!$H$34+K573*Scoring!$I$34+WR!L573*Scoring!$J$34</f>
        <v>0</v>
      </c>
    </row>
    <row r="574" spans="11:22" ht="14.25" customHeight="1" x14ac:dyDescent="0.3">
      <c r="K574" s="64">
        <f t="shared" si="16"/>
        <v>0</v>
      </c>
      <c r="L574" s="64">
        <f t="shared" si="17"/>
        <v>0</v>
      </c>
      <c r="M574" s="67"/>
      <c r="N574" s="67"/>
      <c r="O574" s="67"/>
    </row>
    <row r="575" spans="11:22" ht="14.25" customHeight="1" x14ac:dyDescent="0.3">
      <c r="K575" s="64">
        <f t="shared" si="16"/>
        <v>0</v>
      </c>
      <c r="L575" s="64">
        <f t="shared" si="17"/>
        <v>0</v>
      </c>
      <c r="M575" s="67"/>
      <c r="N575" s="67"/>
      <c r="O575" s="67"/>
    </row>
    <row r="576" spans="11:22" ht="14.25" customHeight="1" x14ac:dyDescent="0.3">
      <c r="K576" s="64">
        <f t="shared" si="16"/>
        <v>0</v>
      </c>
      <c r="L576" s="64">
        <f t="shared" si="17"/>
        <v>0</v>
      </c>
      <c r="M576" s="66">
        <f>C578*Scoring!$B$34+D578/Scoring!$C$34+E578*Scoring!$D$34+WR!F578*Scoring!$E$34+WR!G578/Scoring!$F$34+WR!H578*Scoring!$G$34+WR!I578*Scoring!$H$34+K578*Scoring!$I$34+WR!L578*Scoring!$J$34+U576</f>
        <v>0</v>
      </c>
      <c r="N576" s="66">
        <f>C576*Scoring!$B$34+D576/Scoring!$C$34+E576*Scoring!$D$34+WR!F576*Scoring!$E$34+WR!G576/Scoring!$F$34+WR!H576*Scoring!$G$34+WR!I576*Scoring!$H$34+K576*Scoring!$I$34+WR!L576*Scoring!$J$34+U576</f>
        <v>0</v>
      </c>
      <c r="O576" s="66">
        <f>C577*Scoring!$B$34+D577/Scoring!$C$34+E577*Scoring!$D$34+WR!F577*Scoring!$E$34+WR!G577/Scoring!$F$34+WR!H577*Scoring!$G$34+WR!I577*Scoring!$H$34+K577*Scoring!$I$34+WR!L577*Scoring!$J$34+U576</f>
        <v>0</v>
      </c>
      <c r="P576" s="20">
        <f>IF(COUNTIF(Rookies!$A:$A,A576)&gt;0,1,0)</f>
        <v>0</v>
      </c>
      <c r="S576" s="20">
        <f>V576/17</f>
        <v>0</v>
      </c>
      <c r="T576" s="20">
        <f>IF(P576=1,MAX(0,0.28*(12-S576)),0)</f>
        <v>0</v>
      </c>
      <c r="U576" s="20">
        <f>T576*17</f>
        <v>0</v>
      </c>
      <c r="V576" s="20">
        <f>C576*Scoring!$B$34+D576/Scoring!$C$34+E576*Scoring!$D$34+WR!F576*Scoring!$E$34+WR!G576/Scoring!$F$34+WR!H576*Scoring!$G$34+WR!I576*Scoring!$H$34+K576*Scoring!$I$34+WR!L576*Scoring!$J$34</f>
        <v>0</v>
      </c>
    </row>
    <row r="577" spans="11:22" ht="14.25" customHeight="1" x14ac:dyDescent="0.3">
      <c r="K577" s="64">
        <f t="shared" si="16"/>
        <v>0</v>
      </c>
      <c r="L577" s="64">
        <f t="shared" si="17"/>
        <v>0</v>
      </c>
      <c r="M577" s="67"/>
      <c r="N577" s="67"/>
      <c r="O577" s="67"/>
    </row>
    <row r="578" spans="11:22" ht="14.25" customHeight="1" x14ac:dyDescent="0.3">
      <c r="K578" s="64">
        <f t="shared" si="16"/>
        <v>0</v>
      </c>
      <c r="L578" s="64">
        <f t="shared" si="17"/>
        <v>0</v>
      </c>
      <c r="M578" s="67"/>
      <c r="N578" s="67"/>
      <c r="O578" s="67"/>
    </row>
    <row r="579" spans="11:22" ht="14.25" customHeight="1" x14ac:dyDescent="0.3">
      <c r="K579" s="64">
        <f t="shared" ref="K579:K642" si="18">IFERROR(G579/F579/6.89*0.427*F579,0)</f>
        <v>0</v>
      </c>
      <c r="L579" s="64">
        <f t="shared" ref="L579:L642" si="19">IFERROR(D579/C579/12.87*0.633*C579,0)</f>
        <v>0</v>
      </c>
      <c r="M579" s="66">
        <f>C581*Scoring!$B$34+D581/Scoring!$C$34+E581*Scoring!$D$34+WR!F581*Scoring!$E$34+WR!G581/Scoring!$F$34+WR!H581*Scoring!$G$34+WR!I581*Scoring!$H$34+K581*Scoring!$I$34+WR!L581*Scoring!$J$34+U579</f>
        <v>0</v>
      </c>
      <c r="N579" s="66">
        <f>C579*Scoring!$B$34+D579/Scoring!$C$34+E579*Scoring!$D$34+WR!F579*Scoring!$E$34+WR!G579/Scoring!$F$34+WR!H579*Scoring!$G$34+WR!I579*Scoring!$H$34+K579*Scoring!$I$34+WR!L579*Scoring!$J$34+U579</f>
        <v>0</v>
      </c>
      <c r="O579" s="66">
        <f>C580*Scoring!$B$34+D580/Scoring!$C$34+E580*Scoring!$D$34+WR!F580*Scoring!$E$34+WR!G580/Scoring!$F$34+WR!H580*Scoring!$G$34+WR!I580*Scoring!$H$34+K580*Scoring!$I$34+WR!L580*Scoring!$J$34+U579</f>
        <v>0</v>
      </c>
      <c r="P579" s="20">
        <f>IF(COUNTIF(Rookies!$A:$A,A579)&gt;0,1,0)</f>
        <v>0</v>
      </c>
      <c r="S579" s="20">
        <f>V579/17</f>
        <v>0</v>
      </c>
      <c r="T579" s="20">
        <f>IF(P579=1,MAX(0,0.28*(12-S579)),0)</f>
        <v>0</v>
      </c>
      <c r="U579" s="20">
        <f>T579*17</f>
        <v>0</v>
      </c>
      <c r="V579" s="20">
        <f>C579*Scoring!$B$34+D579/Scoring!$C$34+E579*Scoring!$D$34+WR!F579*Scoring!$E$34+WR!G579/Scoring!$F$34+WR!H579*Scoring!$G$34+WR!I579*Scoring!$H$34+K579*Scoring!$I$34+WR!L579*Scoring!$J$34</f>
        <v>0</v>
      </c>
    </row>
    <row r="580" spans="11:22" ht="14.25" customHeight="1" x14ac:dyDescent="0.3">
      <c r="K580" s="64">
        <f t="shared" si="18"/>
        <v>0</v>
      </c>
      <c r="L580" s="64">
        <f t="shared" si="19"/>
        <v>0</v>
      </c>
      <c r="M580" s="67"/>
      <c r="N580" s="67"/>
      <c r="O580" s="67"/>
    </row>
    <row r="581" spans="11:22" ht="14.25" customHeight="1" x14ac:dyDescent="0.3">
      <c r="K581" s="64">
        <f t="shared" si="18"/>
        <v>0</v>
      </c>
      <c r="L581" s="64">
        <f t="shared" si="19"/>
        <v>0</v>
      </c>
      <c r="M581" s="67"/>
      <c r="N581" s="67"/>
      <c r="O581" s="67"/>
    </row>
    <row r="582" spans="11:22" ht="14.25" customHeight="1" x14ac:dyDescent="0.3">
      <c r="K582" s="64">
        <f t="shared" si="18"/>
        <v>0</v>
      </c>
      <c r="L582" s="64">
        <f t="shared" si="19"/>
        <v>0</v>
      </c>
      <c r="M582" s="66">
        <f>C584*Scoring!$B$34+D584/Scoring!$C$34+E584*Scoring!$D$34+WR!F584*Scoring!$E$34+WR!G584/Scoring!$F$34+WR!H584*Scoring!$G$34+WR!I584*Scoring!$H$34+K584*Scoring!$I$34+WR!L584*Scoring!$J$34+U582</f>
        <v>0</v>
      </c>
      <c r="N582" s="66">
        <f>C582*Scoring!$B$34+D582/Scoring!$C$34+E582*Scoring!$D$34+WR!F582*Scoring!$E$34+WR!G582/Scoring!$F$34+WR!H582*Scoring!$G$34+WR!I582*Scoring!$H$34+K582*Scoring!$I$34+WR!L582*Scoring!$J$34+U582</f>
        <v>0</v>
      </c>
      <c r="O582" s="66">
        <f>C583*Scoring!$B$34+D583/Scoring!$C$34+E583*Scoring!$D$34+WR!F583*Scoring!$E$34+WR!G583/Scoring!$F$34+WR!H583*Scoring!$G$34+WR!I583*Scoring!$H$34+K583*Scoring!$I$34+WR!L583*Scoring!$J$34+U582</f>
        <v>0</v>
      </c>
      <c r="P582" s="20">
        <f>IF(COUNTIF(Rookies!$A:$A,A582)&gt;0,1,0)</f>
        <v>0</v>
      </c>
      <c r="S582" s="20">
        <f>V582/17</f>
        <v>0</v>
      </c>
      <c r="T582" s="20">
        <f>IF(P582=1,MAX(0,0.28*(12-S582)),0)</f>
        <v>0</v>
      </c>
      <c r="U582" s="20">
        <f>T582*17</f>
        <v>0</v>
      </c>
      <c r="V582" s="20">
        <f>C582*Scoring!$B$34+D582/Scoring!$C$34+E582*Scoring!$D$34+WR!F582*Scoring!$E$34+WR!G582/Scoring!$F$34+WR!H582*Scoring!$G$34+WR!I582*Scoring!$H$34+K582*Scoring!$I$34+WR!L582*Scoring!$J$34</f>
        <v>0</v>
      </c>
    </row>
    <row r="583" spans="11:22" ht="14.25" customHeight="1" x14ac:dyDescent="0.3">
      <c r="K583" s="64">
        <f t="shared" si="18"/>
        <v>0</v>
      </c>
      <c r="L583" s="64">
        <f t="shared" si="19"/>
        <v>0</v>
      </c>
      <c r="M583" s="67"/>
      <c r="N583" s="67"/>
      <c r="O583" s="67"/>
    </row>
    <row r="584" spans="11:22" ht="14.25" customHeight="1" x14ac:dyDescent="0.3">
      <c r="K584" s="64">
        <f t="shared" si="18"/>
        <v>0</v>
      </c>
      <c r="L584" s="64">
        <f t="shared" si="19"/>
        <v>0</v>
      </c>
      <c r="M584" s="67"/>
      <c r="N584" s="67"/>
      <c r="O584" s="67"/>
    </row>
    <row r="585" spans="11:22" ht="14.25" customHeight="1" x14ac:dyDescent="0.3">
      <c r="K585" s="64">
        <f t="shared" si="18"/>
        <v>0</v>
      </c>
      <c r="L585" s="64">
        <f t="shared" si="19"/>
        <v>0</v>
      </c>
      <c r="M585" s="66">
        <f>C587*Scoring!$B$34+D587/Scoring!$C$34+E587*Scoring!$D$34+WR!F587*Scoring!$E$34+WR!G587/Scoring!$F$34+WR!H587*Scoring!$G$34+WR!I587*Scoring!$H$34+K587*Scoring!$I$34+WR!L587*Scoring!$J$34+U585</f>
        <v>0</v>
      </c>
      <c r="N585" s="66">
        <f>C585*Scoring!$B$34+D585/Scoring!$C$34+E585*Scoring!$D$34+WR!F585*Scoring!$E$34+WR!G585/Scoring!$F$34+WR!H585*Scoring!$G$34+WR!I585*Scoring!$H$34+K585*Scoring!$I$34+WR!L585*Scoring!$J$34+U585</f>
        <v>0</v>
      </c>
      <c r="O585" s="66">
        <f>C586*Scoring!$B$34+D586/Scoring!$C$34+E586*Scoring!$D$34+WR!F586*Scoring!$E$34+WR!G586/Scoring!$F$34+WR!H586*Scoring!$G$34+WR!I586*Scoring!$H$34+K586*Scoring!$I$34+WR!L586*Scoring!$J$34+U585</f>
        <v>0</v>
      </c>
      <c r="P585" s="20">
        <f>IF(COUNTIF(Rookies!$A:$A,A585)&gt;0,1,0)</f>
        <v>0</v>
      </c>
      <c r="S585" s="20">
        <f>V585/17</f>
        <v>0</v>
      </c>
      <c r="T585" s="20">
        <f>IF(P585=1,MAX(0,0.28*(12-S585)),0)</f>
        <v>0</v>
      </c>
      <c r="U585" s="20">
        <f>T585*17</f>
        <v>0</v>
      </c>
      <c r="V585" s="20">
        <f>C585*Scoring!$B$34+D585/Scoring!$C$34+E585*Scoring!$D$34+WR!F585*Scoring!$E$34+WR!G585/Scoring!$F$34+WR!H585*Scoring!$G$34+WR!I585*Scoring!$H$34+K585*Scoring!$I$34+WR!L585*Scoring!$J$34</f>
        <v>0</v>
      </c>
    </row>
    <row r="586" spans="11:22" ht="14.25" customHeight="1" x14ac:dyDescent="0.3">
      <c r="K586" s="64">
        <f t="shared" si="18"/>
        <v>0</v>
      </c>
      <c r="L586" s="64">
        <f t="shared" si="19"/>
        <v>0</v>
      </c>
      <c r="M586" s="67"/>
      <c r="N586" s="67"/>
      <c r="O586" s="67"/>
    </row>
    <row r="587" spans="11:22" ht="14.25" customHeight="1" x14ac:dyDescent="0.3">
      <c r="K587" s="64">
        <f t="shared" si="18"/>
        <v>0</v>
      </c>
      <c r="L587" s="64">
        <f t="shared" si="19"/>
        <v>0</v>
      </c>
      <c r="M587" s="67"/>
      <c r="N587" s="67"/>
      <c r="O587" s="67"/>
    </row>
    <row r="588" spans="11:22" ht="14.25" customHeight="1" x14ac:dyDescent="0.3">
      <c r="K588" s="64">
        <f t="shared" si="18"/>
        <v>0</v>
      </c>
      <c r="L588" s="64">
        <f t="shared" si="19"/>
        <v>0</v>
      </c>
      <c r="M588" s="66">
        <f>C590*Scoring!$B$34+D590/Scoring!$C$34+E590*Scoring!$D$34+WR!F590*Scoring!$E$34+WR!G590/Scoring!$F$34+WR!H590*Scoring!$G$34+WR!I590*Scoring!$H$34+K590*Scoring!$I$34+WR!L590*Scoring!$J$34+U588</f>
        <v>0</v>
      </c>
      <c r="N588" s="66">
        <f>C588*Scoring!$B$34+D588/Scoring!$C$34+E588*Scoring!$D$34+WR!F588*Scoring!$E$34+WR!G588/Scoring!$F$34+WR!H588*Scoring!$G$34+WR!I588*Scoring!$H$34+K588*Scoring!$I$34+WR!L588*Scoring!$J$34+U588</f>
        <v>0</v>
      </c>
      <c r="O588" s="66">
        <f>C589*Scoring!$B$34+D589/Scoring!$C$34+E589*Scoring!$D$34+WR!F589*Scoring!$E$34+WR!G589/Scoring!$F$34+WR!H589*Scoring!$G$34+WR!I589*Scoring!$H$34+K589*Scoring!$I$34+WR!L589*Scoring!$J$34+U588</f>
        <v>0</v>
      </c>
      <c r="P588" s="20">
        <f>IF(COUNTIF(Rookies!$A:$A,A588)&gt;0,1,0)</f>
        <v>0</v>
      </c>
      <c r="S588" s="20">
        <f>V588/17</f>
        <v>0</v>
      </c>
      <c r="T588" s="20">
        <f>IF(P588=1,MAX(0,0.28*(12-S588)),0)</f>
        <v>0</v>
      </c>
      <c r="U588" s="20">
        <f>T588*17</f>
        <v>0</v>
      </c>
      <c r="V588" s="20">
        <f>C588*Scoring!$B$34+D588/Scoring!$C$34+E588*Scoring!$D$34+WR!F588*Scoring!$E$34+WR!G588/Scoring!$F$34+WR!H588*Scoring!$G$34+WR!I588*Scoring!$H$34+K588*Scoring!$I$34+WR!L588*Scoring!$J$34</f>
        <v>0</v>
      </c>
    </row>
    <row r="589" spans="11:22" ht="14.25" customHeight="1" x14ac:dyDescent="0.3">
      <c r="K589" s="64">
        <f t="shared" si="18"/>
        <v>0</v>
      </c>
      <c r="L589" s="64">
        <f t="shared" si="19"/>
        <v>0</v>
      </c>
      <c r="M589" s="67"/>
      <c r="N589" s="67"/>
      <c r="O589" s="67"/>
    </row>
    <row r="590" spans="11:22" ht="14.25" customHeight="1" x14ac:dyDescent="0.3">
      <c r="K590" s="64">
        <f t="shared" si="18"/>
        <v>0</v>
      </c>
      <c r="L590" s="64">
        <f t="shared" si="19"/>
        <v>0</v>
      </c>
      <c r="M590" s="67"/>
      <c r="N590" s="67"/>
      <c r="O590" s="67"/>
    </row>
    <row r="591" spans="11:22" ht="14.25" customHeight="1" x14ac:dyDescent="0.3">
      <c r="K591" s="64">
        <f t="shared" si="18"/>
        <v>0</v>
      </c>
      <c r="L591" s="64">
        <f t="shared" si="19"/>
        <v>0</v>
      </c>
      <c r="M591" s="66">
        <f>C593*Scoring!$B$34+D593/Scoring!$C$34+E593*Scoring!$D$34+WR!F593*Scoring!$E$34+WR!G593/Scoring!$F$34+WR!H593*Scoring!$G$34+WR!I593*Scoring!$H$34+K593*Scoring!$I$34+WR!L593*Scoring!$J$34+U591</f>
        <v>0</v>
      </c>
      <c r="N591" s="66">
        <f>C591*Scoring!$B$34+D591/Scoring!$C$34+E591*Scoring!$D$34+WR!F591*Scoring!$E$34+WR!G591/Scoring!$F$34+WR!H591*Scoring!$G$34+WR!I591*Scoring!$H$34+K591*Scoring!$I$34+WR!L591*Scoring!$J$34+U591</f>
        <v>0</v>
      </c>
      <c r="O591" s="66">
        <f>C592*Scoring!$B$34+D592/Scoring!$C$34+E592*Scoring!$D$34+WR!F592*Scoring!$E$34+WR!G592/Scoring!$F$34+WR!H592*Scoring!$G$34+WR!I592*Scoring!$H$34+K592*Scoring!$I$34+WR!L592*Scoring!$J$34+U591</f>
        <v>0</v>
      </c>
      <c r="P591" s="20">
        <f>IF(COUNTIF(Rookies!$A:$A,A591)&gt;0,1,0)</f>
        <v>0</v>
      </c>
      <c r="S591" s="20">
        <f>V591/17</f>
        <v>0</v>
      </c>
      <c r="T591" s="20">
        <f>IF(P591=1,MAX(0,0.28*(12-S591)),0)</f>
        <v>0</v>
      </c>
      <c r="U591" s="20">
        <f>T591*17</f>
        <v>0</v>
      </c>
      <c r="V591" s="20">
        <f>C591*Scoring!$B$34+D591/Scoring!$C$34+E591*Scoring!$D$34+WR!F591*Scoring!$E$34+WR!G591/Scoring!$F$34+WR!H591*Scoring!$G$34+WR!I591*Scoring!$H$34+K591*Scoring!$I$34+WR!L591*Scoring!$J$34</f>
        <v>0</v>
      </c>
    </row>
    <row r="592" spans="11:22" ht="14.25" customHeight="1" x14ac:dyDescent="0.3">
      <c r="K592" s="64">
        <f t="shared" si="18"/>
        <v>0</v>
      </c>
      <c r="L592" s="64">
        <f t="shared" si="19"/>
        <v>0</v>
      </c>
      <c r="M592" s="67"/>
      <c r="N592" s="67"/>
      <c r="O592" s="67"/>
    </row>
    <row r="593" spans="11:22" ht="14.25" customHeight="1" x14ac:dyDescent="0.3">
      <c r="K593" s="64">
        <f t="shared" si="18"/>
        <v>0</v>
      </c>
      <c r="L593" s="64">
        <f t="shared" si="19"/>
        <v>0</v>
      </c>
      <c r="M593" s="67"/>
      <c r="N593" s="67"/>
      <c r="O593" s="67"/>
    </row>
    <row r="594" spans="11:22" ht="14.25" customHeight="1" x14ac:dyDescent="0.3">
      <c r="K594" s="64">
        <f t="shared" si="18"/>
        <v>0</v>
      </c>
      <c r="L594" s="64">
        <f t="shared" si="19"/>
        <v>0</v>
      </c>
      <c r="M594" s="66">
        <f>C596*Scoring!$B$34+D596/Scoring!$C$34+E596*Scoring!$D$34+WR!F596*Scoring!$E$34+WR!G596/Scoring!$F$34+WR!H596*Scoring!$G$34+WR!I596*Scoring!$H$34+K596*Scoring!$I$34+WR!L596*Scoring!$J$34+U594</f>
        <v>0</v>
      </c>
      <c r="N594" s="66">
        <f>C594*Scoring!$B$34+D594/Scoring!$C$34+E594*Scoring!$D$34+WR!F594*Scoring!$E$34+WR!G594/Scoring!$F$34+WR!H594*Scoring!$G$34+WR!I594*Scoring!$H$34+K594*Scoring!$I$34+WR!L594*Scoring!$J$34+U594</f>
        <v>0</v>
      </c>
      <c r="O594" s="66">
        <f>C595*Scoring!$B$34+D595/Scoring!$C$34+E595*Scoring!$D$34+WR!F595*Scoring!$E$34+WR!G595/Scoring!$F$34+WR!H595*Scoring!$G$34+WR!I595*Scoring!$H$34+K595*Scoring!$I$34+WR!L595*Scoring!$J$34+U594</f>
        <v>0</v>
      </c>
      <c r="P594" s="20">
        <f>IF(COUNTIF(Rookies!$A:$A,A594)&gt;0,1,0)</f>
        <v>0</v>
      </c>
      <c r="S594" s="20">
        <f>V594/17</f>
        <v>0</v>
      </c>
      <c r="T594" s="20">
        <f>IF(P594=1,MAX(0,0.28*(12-S594)),0)</f>
        <v>0</v>
      </c>
      <c r="U594" s="20">
        <f>T594*17</f>
        <v>0</v>
      </c>
      <c r="V594" s="20">
        <f>C594*Scoring!$B$34+D594/Scoring!$C$34+E594*Scoring!$D$34+WR!F594*Scoring!$E$34+WR!G594/Scoring!$F$34+WR!H594*Scoring!$G$34+WR!I594*Scoring!$H$34+K594*Scoring!$I$34+WR!L594*Scoring!$J$34</f>
        <v>0</v>
      </c>
    </row>
    <row r="595" spans="11:22" ht="14.25" customHeight="1" x14ac:dyDescent="0.3">
      <c r="K595" s="64">
        <f t="shared" si="18"/>
        <v>0</v>
      </c>
      <c r="L595" s="64">
        <f t="shared" si="19"/>
        <v>0</v>
      </c>
      <c r="M595" s="67"/>
      <c r="N595" s="67"/>
      <c r="O595" s="67"/>
    </row>
    <row r="596" spans="11:22" ht="14.25" customHeight="1" x14ac:dyDescent="0.3">
      <c r="K596" s="64">
        <f t="shared" si="18"/>
        <v>0</v>
      </c>
      <c r="L596" s="64">
        <f t="shared" si="19"/>
        <v>0</v>
      </c>
      <c r="M596" s="67"/>
      <c r="N596" s="67"/>
      <c r="O596" s="67"/>
    </row>
    <row r="597" spans="11:22" ht="14.25" customHeight="1" x14ac:dyDescent="0.3">
      <c r="K597" s="64">
        <f t="shared" si="18"/>
        <v>0</v>
      </c>
      <c r="L597" s="64">
        <f t="shared" si="19"/>
        <v>0</v>
      </c>
      <c r="M597" s="66">
        <f>C599*Scoring!$B$34+D599/Scoring!$C$34+E599*Scoring!$D$34+WR!F599*Scoring!$E$34+WR!G599/Scoring!$F$34+WR!H599*Scoring!$G$34+WR!I599*Scoring!$H$34+K599*Scoring!$I$34+WR!L599*Scoring!$J$34+U597</f>
        <v>0</v>
      </c>
      <c r="N597" s="66">
        <f>C597*Scoring!$B$34+D597/Scoring!$C$34+E597*Scoring!$D$34+WR!F597*Scoring!$E$34+WR!G597/Scoring!$F$34+WR!H597*Scoring!$G$34+WR!I597*Scoring!$H$34+K597*Scoring!$I$34+WR!L597*Scoring!$J$34+U597</f>
        <v>0</v>
      </c>
      <c r="O597" s="66">
        <f>C598*Scoring!$B$34+D598/Scoring!$C$34+E598*Scoring!$D$34+WR!F598*Scoring!$E$34+WR!G598/Scoring!$F$34+WR!H598*Scoring!$G$34+WR!I598*Scoring!$H$34+K598*Scoring!$I$34+WR!L598*Scoring!$J$34+U597</f>
        <v>0</v>
      </c>
      <c r="P597" s="20">
        <f>IF(COUNTIF(Rookies!$A:$A,A597)&gt;0,1,0)</f>
        <v>0</v>
      </c>
      <c r="S597" s="20">
        <f>V597/17</f>
        <v>0</v>
      </c>
      <c r="T597" s="20">
        <f>IF(P597=1,MAX(0,0.28*(12-S597)),0)</f>
        <v>0</v>
      </c>
      <c r="U597" s="20">
        <f>T597*17</f>
        <v>0</v>
      </c>
      <c r="V597" s="20">
        <f>C597*Scoring!$B$34+D597/Scoring!$C$34+E597*Scoring!$D$34+WR!F597*Scoring!$E$34+WR!G597/Scoring!$F$34+WR!H597*Scoring!$G$34+WR!I597*Scoring!$H$34+K597*Scoring!$I$34+WR!L597*Scoring!$J$34</f>
        <v>0</v>
      </c>
    </row>
    <row r="598" spans="11:22" ht="14.25" customHeight="1" x14ac:dyDescent="0.3">
      <c r="K598" s="64">
        <f t="shared" si="18"/>
        <v>0</v>
      </c>
      <c r="L598" s="64">
        <f t="shared" si="19"/>
        <v>0</v>
      </c>
      <c r="M598" s="67"/>
      <c r="N598" s="67"/>
      <c r="O598" s="67"/>
    </row>
    <row r="599" spans="11:22" ht="14.25" customHeight="1" x14ac:dyDescent="0.3">
      <c r="K599" s="64">
        <f t="shared" si="18"/>
        <v>0</v>
      </c>
      <c r="L599" s="64">
        <f t="shared" si="19"/>
        <v>0</v>
      </c>
      <c r="M599" s="67"/>
      <c r="N599" s="67"/>
      <c r="O599" s="67"/>
    </row>
    <row r="600" spans="11:22" ht="14.25" customHeight="1" x14ac:dyDescent="0.3">
      <c r="K600" s="64">
        <f t="shared" si="18"/>
        <v>0</v>
      </c>
      <c r="L600" s="64">
        <f t="shared" si="19"/>
        <v>0</v>
      </c>
      <c r="M600" s="66">
        <f>C602*Scoring!$B$34+D602/Scoring!$C$34+E602*Scoring!$D$34+WR!F602*Scoring!$E$34+WR!G602/Scoring!$F$34+WR!H602*Scoring!$G$34+WR!I602*Scoring!$H$34+K602*Scoring!$I$34+WR!L602*Scoring!$J$34+U600</f>
        <v>0</v>
      </c>
      <c r="N600" s="66">
        <f>C600*Scoring!$B$34+D600/Scoring!$C$34+E600*Scoring!$D$34+WR!F600*Scoring!$E$34+WR!G600/Scoring!$F$34+WR!H600*Scoring!$G$34+WR!I600*Scoring!$H$34+K600*Scoring!$I$34+WR!L600*Scoring!$J$34+U600</f>
        <v>0</v>
      </c>
      <c r="O600" s="66">
        <f>C601*Scoring!$B$34+D601/Scoring!$C$34+E601*Scoring!$D$34+WR!F601*Scoring!$E$34+WR!G601/Scoring!$F$34+WR!H601*Scoring!$G$34+WR!I601*Scoring!$H$34+K601*Scoring!$I$34+WR!L601*Scoring!$J$34+U600</f>
        <v>0</v>
      </c>
      <c r="P600" s="20">
        <f>IF(COUNTIF(Rookies!$A:$A,A600)&gt;0,1,0)</f>
        <v>0</v>
      </c>
      <c r="S600" s="20">
        <f>V600/17</f>
        <v>0</v>
      </c>
      <c r="T600" s="20">
        <f>IF(P600=1,MAX(0,0.28*(12-S600)),0)</f>
        <v>0</v>
      </c>
      <c r="U600" s="20">
        <f>T600*17</f>
        <v>0</v>
      </c>
      <c r="V600" s="20">
        <f>C600*Scoring!$B$34+D600/Scoring!$C$34+E600*Scoring!$D$34+WR!F600*Scoring!$E$34+WR!G600/Scoring!$F$34+WR!H600*Scoring!$G$34+WR!I600*Scoring!$H$34+K600*Scoring!$I$34+WR!L600*Scoring!$J$34</f>
        <v>0</v>
      </c>
    </row>
    <row r="601" spans="11:22" ht="14.25" customHeight="1" x14ac:dyDescent="0.3">
      <c r="K601" s="64">
        <f t="shared" si="18"/>
        <v>0</v>
      </c>
      <c r="L601" s="64">
        <f t="shared" si="19"/>
        <v>0</v>
      </c>
      <c r="M601" s="67"/>
      <c r="N601" s="67"/>
      <c r="O601" s="67"/>
    </row>
    <row r="602" spans="11:22" ht="14.25" customHeight="1" x14ac:dyDescent="0.3">
      <c r="K602" s="64">
        <f t="shared" si="18"/>
        <v>0</v>
      </c>
      <c r="L602" s="64">
        <f t="shared" si="19"/>
        <v>0</v>
      </c>
      <c r="M602" s="67"/>
      <c r="N602" s="67"/>
      <c r="O602" s="67"/>
    </row>
    <row r="603" spans="11:22" ht="14.25" customHeight="1" x14ac:dyDescent="0.3">
      <c r="K603" s="64">
        <f t="shared" si="18"/>
        <v>0</v>
      </c>
      <c r="L603" s="64">
        <f t="shared" si="19"/>
        <v>0</v>
      </c>
      <c r="M603" s="66">
        <f>C605*Scoring!$B$34+D605/Scoring!$C$34+E605*Scoring!$D$34+WR!F605*Scoring!$E$34+WR!G605/Scoring!$F$34+WR!H605*Scoring!$G$34+WR!I605*Scoring!$H$34+K605*Scoring!$I$34+WR!L605*Scoring!$J$34+U603</f>
        <v>0</v>
      </c>
      <c r="N603" s="66">
        <f>C603*Scoring!$B$34+D603/Scoring!$C$34+E603*Scoring!$D$34+WR!F603*Scoring!$E$34+WR!G603/Scoring!$F$34+WR!H603*Scoring!$G$34+WR!I603*Scoring!$H$34+K603*Scoring!$I$34+WR!L603*Scoring!$J$34+U603</f>
        <v>0</v>
      </c>
      <c r="O603" s="66">
        <f>C604*Scoring!$B$34+D604/Scoring!$C$34+E604*Scoring!$D$34+WR!F604*Scoring!$E$34+WR!G604/Scoring!$F$34+WR!H604*Scoring!$G$34+WR!I604*Scoring!$H$34+K604*Scoring!$I$34+WR!L604*Scoring!$J$34+U603</f>
        <v>0</v>
      </c>
      <c r="P603" s="20">
        <f>IF(COUNTIF(Rookies!$A:$A,A603)&gt;0,1,0)</f>
        <v>0</v>
      </c>
      <c r="S603" s="20">
        <f>V603/17</f>
        <v>0</v>
      </c>
      <c r="T603" s="20">
        <f>IF(P603=1,MAX(0,0.28*(12-S603)),0)</f>
        <v>0</v>
      </c>
      <c r="U603" s="20">
        <f>T603*17</f>
        <v>0</v>
      </c>
      <c r="V603" s="20">
        <f>C603*Scoring!$B$34+D603/Scoring!$C$34+E603*Scoring!$D$34+WR!F603*Scoring!$E$34+WR!G603/Scoring!$F$34+WR!H603*Scoring!$G$34+WR!I603*Scoring!$H$34+K603*Scoring!$I$34+WR!L603*Scoring!$J$34</f>
        <v>0</v>
      </c>
    </row>
    <row r="604" spans="11:22" ht="14.25" customHeight="1" x14ac:dyDescent="0.3">
      <c r="K604" s="64">
        <f t="shared" si="18"/>
        <v>0</v>
      </c>
      <c r="L604" s="64">
        <f t="shared" si="19"/>
        <v>0</v>
      </c>
      <c r="M604" s="67"/>
      <c r="N604" s="67"/>
      <c r="O604" s="67"/>
    </row>
    <row r="605" spans="11:22" ht="14.25" customHeight="1" x14ac:dyDescent="0.3">
      <c r="K605" s="64">
        <f t="shared" si="18"/>
        <v>0</v>
      </c>
      <c r="L605" s="64">
        <f t="shared" si="19"/>
        <v>0</v>
      </c>
      <c r="M605" s="67"/>
      <c r="N605" s="67"/>
      <c r="O605" s="67"/>
    </row>
    <row r="606" spans="11:22" ht="14.25" customHeight="1" x14ac:dyDescent="0.3">
      <c r="K606" s="64">
        <f t="shared" si="18"/>
        <v>0</v>
      </c>
      <c r="L606" s="64">
        <f t="shared" si="19"/>
        <v>0</v>
      </c>
      <c r="M606" s="66">
        <f>C608*Scoring!$B$34+D608/Scoring!$C$34+E608*Scoring!$D$34+WR!F608*Scoring!$E$34+WR!G608/Scoring!$F$34+WR!H608*Scoring!$G$34+WR!I608*Scoring!$H$34+K608*Scoring!$I$34+WR!L608*Scoring!$J$34+U606</f>
        <v>0</v>
      </c>
      <c r="N606" s="66">
        <f>C606*Scoring!$B$34+D606/Scoring!$C$34+E606*Scoring!$D$34+WR!F606*Scoring!$E$34+WR!G606/Scoring!$F$34+WR!H606*Scoring!$G$34+WR!I606*Scoring!$H$34+K606*Scoring!$I$34+WR!L606*Scoring!$J$34+U606</f>
        <v>0</v>
      </c>
      <c r="O606" s="66">
        <f>C607*Scoring!$B$34+D607/Scoring!$C$34+E607*Scoring!$D$34+WR!F607*Scoring!$E$34+WR!G607/Scoring!$F$34+WR!H607*Scoring!$G$34+WR!I607*Scoring!$H$34+K607*Scoring!$I$34+WR!L607*Scoring!$J$34+U606</f>
        <v>0</v>
      </c>
      <c r="P606" s="20">
        <f>IF(COUNTIF(Rookies!$A:$A,A606)&gt;0,1,0)</f>
        <v>0</v>
      </c>
      <c r="S606" s="20">
        <f>V606/17</f>
        <v>0</v>
      </c>
      <c r="T606" s="20">
        <f>IF(P606=1,MAX(0,0.28*(12-S606)),0)</f>
        <v>0</v>
      </c>
      <c r="U606" s="20">
        <f>T606*17</f>
        <v>0</v>
      </c>
      <c r="V606" s="20">
        <f>C606*Scoring!$B$34+D606/Scoring!$C$34+E606*Scoring!$D$34+WR!F606*Scoring!$E$34+WR!G606/Scoring!$F$34+WR!H606*Scoring!$G$34+WR!I606*Scoring!$H$34+K606*Scoring!$I$34+WR!L606*Scoring!$J$34</f>
        <v>0</v>
      </c>
    </row>
    <row r="607" spans="11:22" ht="14.25" customHeight="1" x14ac:dyDescent="0.3">
      <c r="K607" s="64">
        <f t="shared" si="18"/>
        <v>0</v>
      </c>
      <c r="L607" s="64">
        <f t="shared" si="19"/>
        <v>0</v>
      </c>
      <c r="M607" s="67"/>
      <c r="N607" s="67"/>
      <c r="O607" s="67"/>
    </row>
    <row r="608" spans="11:22" ht="14.25" customHeight="1" x14ac:dyDescent="0.3">
      <c r="K608" s="64">
        <f t="shared" si="18"/>
        <v>0</v>
      </c>
      <c r="L608" s="64">
        <f t="shared" si="19"/>
        <v>0</v>
      </c>
      <c r="M608" s="67"/>
      <c r="N608" s="67"/>
      <c r="O608" s="67"/>
    </row>
    <row r="609" spans="11:22" ht="14.25" customHeight="1" x14ac:dyDescent="0.3">
      <c r="K609" s="64">
        <f t="shared" si="18"/>
        <v>0</v>
      </c>
      <c r="L609" s="64">
        <f t="shared" si="19"/>
        <v>0</v>
      </c>
      <c r="M609" s="66">
        <f>C611*Scoring!$B$34+D611/Scoring!$C$34+E611*Scoring!$D$34+WR!F611*Scoring!$E$34+WR!G611/Scoring!$F$34+WR!H611*Scoring!$G$34+WR!I611*Scoring!$H$34+K611*Scoring!$I$34+WR!L611*Scoring!$J$34+U609</f>
        <v>0</v>
      </c>
      <c r="N609" s="66">
        <f>C609*Scoring!$B$34+D609/Scoring!$C$34+E609*Scoring!$D$34+WR!F609*Scoring!$E$34+WR!G609/Scoring!$F$34+WR!H609*Scoring!$G$34+WR!I609*Scoring!$H$34+K609*Scoring!$I$34+WR!L609*Scoring!$J$34+U609</f>
        <v>0</v>
      </c>
      <c r="O609" s="66">
        <f>C610*Scoring!$B$34+D610/Scoring!$C$34+E610*Scoring!$D$34+WR!F610*Scoring!$E$34+WR!G610/Scoring!$F$34+WR!H610*Scoring!$G$34+WR!I610*Scoring!$H$34+K610*Scoring!$I$34+WR!L610*Scoring!$J$34+U609</f>
        <v>0</v>
      </c>
      <c r="P609" s="20">
        <f>IF(COUNTIF(Rookies!$A:$A,A609)&gt;0,1,0)</f>
        <v>0</v>
      </c>
      <c r="S609" s="20">
        <f>V609/17</f>
        <v>0</v>
      </c>
      <c r="T609" s="20">
        <f>IF(P609=1,MAX(0,0.28*(12-S609)),0)</f>
        <v>0</v>
      </c>
      <c r="U609" s="20">
        <f>T609*17</f>
        <v>0</v>
      </c>
      <c r="V609" s="20">
        <f>C609*Scoring!$B$34+D609/Scoring!$C$34+E609*Scoring!$D$34+WR!F609*Scoring!$E$34+WR!G609/Scoring!$F$34+WR!H609*Scoring!$G$34+WR!I609*Scoring!$H$34+K609*Scoring!$I$34+WR!L609*Scoring!$J$34</f>
        <v>0</v>
      </c>
    </row>
    <row r="610" spans="11:22" ht="14.25" customHeight="1" x14ac:dyDescent="0.3">
      <c r="K610" s="64">
        <f t="shared" si="18"/>
        <v>0</v>
      </c>
      <c r="L610" s="64">
        <f t="shared" si="19"/>
        <v>0</v>
      </c>
      <c r="M610" s="67"/>
      <c r="N610" s="67"/>
      <c r="O610" s="67"/>
    </row>
    <row r="611" spans="11:22" ht="14.25" customHeight="1" x14ac:dyDescent="0.3">
      <c r="K611" s="64">
        <f t="shared" si="18"/>
        <v>0</v>
      </c>
      <c r="L611" s="64">
        <f t="shared" si="19"/>
        <v>0</v>
      </c>
      <c r="M611" s="67"/>
      <c r="N611" s="67"/>
      <c r="O611" s="67"/>
    </row>
    <row r="612" spans="11:22" ht="14.25" customHeight="1" x14ac:dyDescent="0.3">
      <c r="K612" s="64">
        <f t="shared" si="18"/>
        <v>0</v>
      </c>
      <c r="L612" s="64">
        <f t="shared" si="19"/>
        <v>0</v>
      </c>
      <c r="M612" s="66">
        <f>C614*Scoring!$B$34+D614/Scoring!$C$34+E614*Scoring!$D$34+WR!F614*Scoring!$E$34+WR!G614/Scoring!$F$34+WR!H614*Scoring!$G$34+WR!I614*Scoring!$H$34+K614*Scoring!$I$34+WR!L614*Scoring!$J$34+U612</f>
        <v>0</v>
      </c>
      <c r="N612" s="66">
        <f>C612*Scoring!$B$34+D612/Scoring!$C$34+E612*Scoring!$D$34+WR!F612*Scoring!$E$34+WR!G612/Scoring!$F$34+WR!H612*Scoring!$G$34+WR!I612*Scoring!$H$34+K612*Scoring!$I$34+WR!L612*Scoring!$J$34+U612</f>
        <v>0</v>
      </c>
      <c r="O612" s="66">
        <f>C613*Scoring!$B$34+D613/Scoring!$C$34+E613*Scoring!$D$34+WR!F613*Scoring!$E$34+WR!G613/Scoring!$F$34+WR!H613*Scoring!$G$34+WR!I613*Scoring!$H$34+K613*Scoring!$I$34+WR!L613*Scoring!$J$34+U612</f>
        <v>0</v>
      </c>
      <c r="P612" s="20">
        <f>IF(COUNTIF(Rookies!$A:$A,A612)&gt;0,1,0)</f>
        <v>0</v>
      </c>
      <c r="S612" s="20">
        <f>V612/17</f>
        <v>0</v>
      </c>
      <c r="T612" s="20">
        <f>IF(P612=1,MAX(0,0.28*(12-S612)),0)</f>
        <v>0</v>
      </c>
      <c r="U612" s="20">
        <f>T612*17</f>
        <v>0</v>
      </c>
      <c r="V612" s="20">
        <f>C612*Scoring!$B$34+D612/Scoring!$C$34+E612*Scoring!$D$34+WR!F612*Scoring!$E$34+WR!G612/Scoring!$F$34+WR!H612*Scoring!$G$34+WR!I612*Scoring!$H$34+K612*Scoring!$I$34+WR!L612*Scoring!$J$34</f>
        <v>0</v>
      </c>
    </row>
    <row r="613" spans="11:22" ht="14.25" customHeight="1" x14ac:dyDescent="0.3">
      <c r="K613" s="64">
        <f t="shared" si="18"/>
        <v>0</v>
      </c>
      <c r="L613" s="64">
        <f t="shared" si="19"/>
        <v>0</v>
      </c>
      <c r="M613" s="67"/>
      <c r="N613" s="67"/>
      <c r="O613" s="67"/>
    </row>
    <row r="614" spans="11:22" ht="14.25" customHeight="1" x14ac:dyDescent="0.3">
      <c r="K614" s="64">
        <f t="shared" si="18"/>
        <v>0</v>
      </c>
      <c r="L614" s="64">
        <f t="shared" si="19"/>
        <v>0</v>
      </c>
      <c r="M614" s="67"/>
      <c r="N614" s="67"/>
      <c r="O614" s="67"/>
    </row>
    <row r="615" spans="11:22" ht="14.25" customHeight="1" x14ac:dyDescent="0.3">
      <c r="K615" s="64">
        <f t="shared" si="18"/>
        <v>0</v>
      </c>
      <c r="L615" s="64">
        <f t="shared" si="19"/>
        <v>0</v>
      </c>
      <c r="M615" s="66">
        <f>C617*Scoring!$B$34+D617/Scoring!$C$34+E617*Scoring!$D$34+WR!F617*Scoring!$E$34+WR!G617/Scoring!$F$34+WR!H617*Scoring!$G$34+WR!I617*Scoring!$H$34+K617*Scoring!$I$34+WR!L617*Scoring!$J$34+U615</f>
        <v>0</v>
      </c>
      <c r="N615" s="66">
        <f>C615*Scoring!$B$34+D615/Scoring!$C$34+E615*Scoring!$D$34+WR!F615*Scoring!$E$34+WR!G615/Scoring!$F$34+WR!H615*Scoring!$G$34+WR!I615*Scoring!$H$34+K615*Scoring!$I$34+WR!L615*Scoring!$J$34+U615</f>
        <v>0</v>
      </c>
      <c r="O615" s="66">
        <f>C616*Scoring!$B$34+D616/Scoring!$C$34+E616*Scoring!$D$34+WR!F616*Scoring!$E$34+WR!G616/Scoring!$F$34+WR!H616*Scoring!$G$34+WR!I616*Scoring!$H$34+K616*Scoring!$I$34+WR!L616*Scoring!$J$34+U615</f>
        <v>0</v>
      </c>
      <c r="P615" s="20">
        <f>IF(COUNTIF(Rookies!$A:$A,A615)&gt;0,1,0)</f>
        <v>0</v>
      </c>
      <c r="S615" s="20">
        <f>V615/17</f>
        <v>0</v>
      </c>
      <c r="T615" s="20">
        <f>IF(P615=1,MAX(0,0.28*(12-S615)),0)</f>
        <v>0</v>
      </c>
      <c r="U615" s="20">
        <f>T615*17</f>
        <v>0</v>
      </c>
      <c r="V615" s="20">
        <f>C615*Scoring!$B$34+D615/Scoring!$C$34+E615*Scoring!$D$34+WR!F615*Scoring!$E$34+WR!G615/Scoring!$F$34+WR!H615*Scoring!$G$34+WR!I615*Scoring!$H$34+K615*Scoring!$I$34+WR!L615*Scoring!$J$34</f>
        <v>0</v>
      </c>
    </row>
    <row r="616" spans="11:22" ht="14.25" customHeight="1" x14ac:dyDescent="0.3">
      <c r="K616" s="64">
        <f t="shared" si="18"/>
        <v>0</v>
      </c>
      <c r="L616" s="64">
        <f t="shared" si="19"/>
        <v>0</v>
      </c>
      <c r="M616" s="67"/>
      <c r="N616" s="67"/>
      <c r="O616" s="67"/>
    </row>
    <row r="617" spans="11:22" ht="14.25" customHeight="1" x14ac:dyDescent="0.3">
      <c r="K617" s="64">
        <f t="shared" si="18"/>
        <v>0</v>
      </c>
      <c r="L617" s="64">
        <f t="shared" si="19"/>
        <v>0</v>
      </c>
      <c r="M617" s="67"/>
      <c r="N617" s="67"/>
      <c r="O617" s="67"/>
    </row>
    <row r="618" spans="11:22" ht="14.25" customHeight="1" x14ac:dyDescent="0.3">
      <c r="K618" s="64">
        <f t="shared" si="18"/>
        <v>0</v>
      </c>
      <c r="L618" s="64">
        <f t="shared" si="19"/>
        <v>0</v>
      </c>
      <c r="M618" s="66">
        <f>C620*Scoring!$B$34+D620/Scoring!$C$34+E620*Scoring!$D$34+WR!F620*Scoring!$E$34+WR!G620/Scoring!$F$34+WR!H620*Scoring!$G$34+WR!I620*Scoring!$H$34+K620*Scoring!$I$34+WR!L620*Scoring!$J$34+U618</f>
        <v>0</v>
      </c>
      <c r="N618" s="66">
        <f>C618*Scoring!$B$34+D618/Scoring!$C$34+E618*Scoring!$D$34+WR!F618*Scoring!$E$34+WR!G618/Scoring!$F$34+WR!H618*Scoring!$G$34+WR!I618*Scoring!$H$34+K618*Scoring!$I$34+WR!L618*Scoring!$J$34+U618</f>
        <v>0</v>
      </c>
      <c r="O618" s="66">
        <f>C619*Scoring!$B$34+D619/Scoring!$C$34+E619*Scoring!$D$34+WR!F619*Scoring!$E$34+WR!G619/Scoring!$F$34+WR!H619*Scoring!$G$34+WR!I619*Scoring!$H$34+K619*Scoring!$I$34+WR!L619*Scoring!$J$34+U618</f>
        <v>0</v>
      </c>
      <c r="P618" s="20">
        <f>IF(COUNTIF(Rookies!$A:$A,A618)&gt;0,1,0)</f>
        <v>0</v>
      </c>
      <c r="S618" s="20">
        <f>V618/17</f>
        <v>0</v>
      </c>
      <c r="T618" s="20">
        <f>IF(P618=1,MAX(0,0.28*(12-S618)),0)</f>
        <v>0</v>
      </c>
      <c r="U618" s="20">
        <f>T618*17</f>
        <v>0</v>
      </c>
      <c r="V618" s="20">
        <f>C618*Scoring!$B$34+D618/Scoring!$C$34+E618*Scoring!$D$34+WR!F618*Scoring!$E$34+WR!G618/Scoring!$F$34+WR!H618*Scoring!$G$34+WR!I618*Scoring!$H$34+K618*Scoring!$I$34+WR!L618*Scoring!$J$34</f>
        <v>0</v>
      </c>
    </row>
    <row r="619" spans="11:22" ht="14.25" customHeight="1" x14ac:dyDescent="0.3">
      <c r="K619" s="64">
        <f t="shared" si="18"/>
        <v>0</v>
      </c>
      <c r="L619" s="64">
        <f t="shared" si="19"/>
        <v>0</v>
      </c>
      <c r="M619" s="67"/>
      <c r="N619" s="67"/>
      <c r="O619" s="67"/>
    </row>
    <row r="620" spans="11:22" ht="14.25" customHeight="1" x14ac:dyDescent="0.3">
      <c r="K620" s="64">
        <f t="shared" si="18"/>
        <v>0</v>
      </c>
      <c r="L620" s="64">
        <f t="shared" si="19"/>
        <v>0</v>
      </c>
      <c r="M620" s="67"/>
      <c r="N620" s="67"/>
      <c r="O620" s="67"/>
    </row>
    <row r="621" spans="11:22" ht="14.25" customHeight="1" x14ac:dyDescent="0.3">
      <c r="K621" s="64">
        <f t="shared" si="18"/>
        <v>0</v>
      </c>
      <c r="L621" s="64">
        <f t="shared" si="19"/>
        <v>0</v>
      </c>
      <c r="M621" s="66">
        <f>C623*Scoring!$B$34+D623/Scoring!$C$34+E623*Scoring!$D$34+WR!F623*Scoring!$E$34+WR!G623/Scoring!$F$34+WR!H623*Scoring!$G$34+WR!I623*Scoring!$H$34+K623*Scoring!$I$34+WR!L623*Scoring!$J$34+U621</f>
        <v>0</v>
      </c>
      <c r="N621" s="66">
        <f>C621*Scoring!$B$34+D621/Scoring!$C$34+E621*Scoring!$D$34+WR!F621*Scoring!$E$34+WR!G621/Scoring!$F$34+WR!H621*Scoring!$G$34+WR!I621*Scoring!$H$34+K621*Scoring!$I$34+WR!L621*Scoring!$J$34+U621</f>
        <v>0</v>
      </c>
      <c r="O621" s="66">
        <f>C622*Scoring!$B$34+D622/Scoring!$C$34+E622*Scoring!$D$34+WR!F622*Scoring!$E$34+WR!G622/Scoring!$F$34+WR!H622*Scoring!$G$34+WR!I622*Scoring!$H$34+K622*Scoring!$I$34+WR!L622*Scoring!$J$34+U621</f>
        <v>0</v>
      </c>
      <c r="P621" s="20">
        <f>IF(COUNTIF(Rookies!$A:$A,A621)&gt;0,1,0)</f>
        <v>0</v>
      </c>
      <c r="S621" s="20">
        <f>V621/17</f>
        <v>0</v>
      </c>
      <c r="T621" s="20">
        <f>IF(P621=1,MAX(0,0.28*(12-S621)),0)</f>
        <v>0</v>
      </c>
      <c r="U621" s="20">
        <f>T621*17</f>
        <v>0</v>
      </c>
      <c r="V621" s="20">
        <f>C621*Scoring!$B$34+D621/Scoring!$C$34+E621*Scoring!$D$34+WR!F621*Scoring!$E$34+WR!G621/Scoring!$F$34+WR!H621*Scoring!$G$34+WR!I621*Scoring!$H$34+K621*Scoring!$I$34+WR!L621*Scoring!$J$34</f>
        <v>0</v>
      </c>
    </row>
    <row r="622" spans="11:22" ht="14.25" customHeight="1" x14ac:dyDescent="0.3">
      <c r="K622" s="64">
        <f t="shared" si="18"/>
        <v>0</v>
      </c>
      <c r="L622" s="64">
        <f t="shared" si="19"/>
        <v>0</v>
      </c>
      <c r="M622" s="67"/>
      <c r="N622" s="67"/>
      <c r="O622" s="67"/>
    </row>
    <row r="623" spans="11:22" ht="14.25" customHeight="1" x14ac:dyDescent="0.3">
      <c r="K623" s="64">
        <f t="shared" si="18"/>
        <v>0</v>
      </c>
      <c r="L623" s="64">
        <f t="shared" si="19"/>
        <v>0</v>
      </c>
      <c r="M623" s="67"/>
      <c r="N623" s="67"/>
      <c r="O623" s="67"/>
    </row>
    <row r="624" spans="11:22" ht="14.25" customHeight="1" x14ac:dyDescent="0.3">
      <c r="K624" s="64">
        <f t="shared" si="18"/>
        <v>0</v>
      </c>
      <c r="L624" s="64">
        <f t="shared" si="19"/>
        <v>0</v>
      </c>
      <c r="M624" s="66">
        <f>C626*Scoring!$B$34+D626/Scoring!$C$34+E626*Scoring!$D$34+WR!F626*Scoring!$E$34+WR!G626/Scoring!$F$34+WR!H626*Scoring!$G$34+WR!I626*Scoring!$H$34+K626*Scoring!$I$34+WR!L626*Scoring!$J$34+U624</f>
        <v>0</v>
      </c>
      <c r="N624" s="66">
        <f>C624*Scoring!$B$34+D624/Scoring!$C$34+E624*Scoring!$D$34+WR!F624*Scoring!$E$34+WR!G624/Scoring!$F$34+WR!H624*Scoring!$G$34+WR!I624*Scoring!$H$34+K624*Scoring!$I$34+WR!L624*Scoring!$J$34+U624</f>
        <v>0</v>
      </c>
      <c r="O624" s="66">
        <f>C625*Scoring!$B$34+D625/Scoring!$C$34+E625*Scoring!$D$34+WR!F625*Scoring!$E$34+WR!G625/Scoring!$F$34+WR!H625*Scoring!$G$34+WR!I625*Scoring!$H$34+K625*Scoring!$I$34+WR!L625*Scoring!$J$34+U624</f>
        <v>0</v>
      </c>
      <c r="P624" s="20">
        <f>IF(COUNTIF(Rookies!$A:$A,A624)&gt;0,1,0)</f>
        <v>0</v>
      </c>
      <c r="S624" s="20">
        <f>V624/17</f>
        <v>0</v>
      </c>
      <c r="T624" s="20">
        <f>IF(P624=1,MAX(0,0.28*(12-S624)),0)</f>
        <v>0</v>
      </c>
      <c r="U624" s="20">
        <f>T624*17</f>
        <v>0</v>
      </c>
      <c r="V624" s="20">
        <f>C624*Scoring!$B$34+D624/Scoring!$C$34+E624*Scoring!$D$34+WR!F624*Scoring!$E$34+WR!G624/Scoring!$F$34+WR!H624*Scoring!$G$34+WR!I624*Scoring!$H$34+K624*Scoring!$I$34+WR!L624*Scoring!$J$34</f>
        <v>0</v>
      </c>
    </row>
    <row r="625" spans="11:22" ht="14.25" customHeight="1" x14ac:dyDescent="0.3">
      <c r="K625" s="64">
        <f t="shared" si="18"/>
        <v>0</v>
      </c>
      <c r="L625" s="64">
        <f t="shared" si="19"/>
        <v>0</v>
      </c>
      <c r="M625" s="67"/>
      <c r="N625" s="67"/>
      <c r="O625" s="67"/>
    </row>
    <row r="626" spans="11:22" ht="14.25" customHeight="1" x14ac:dyDescent="0.3">
      <c r="K626" s="64">
        <f t="shared" si="18"/>
        <v>0</v>
      </c>
      <c r="L626" s="64">
        <f t="shared" si="19"/>
        <v>0</v>
      </c>
      <c r="M626" s="67"/>
      <c r="N626" s="67"/>
      <c r="O626" s="67"/>
    </row>
    <row r="627" spans="11:22" ht="14.25" customHeight="1" x14ac:dyDescent="0.3">
      <c r="K627" s="64">
        <f t="shared" si="18"/>
        <v>0</v>
      </c>
      <c r="L627" s="64">
        <f t="shared" si="19"/>
        <v>0</v>
      </c>
      <c r="M627" s="66">
        <f>C629*Scoring!$B$34+D629/Scoring!$C$34+E629*Scoring!$D$34+WR!F629*Scoring!$E$34+WR!G629/Scoring!$F$34+WR!H629*Scoring!$G$34+WR!I629*Scoring!$H$34+K629*Scoring!$I$34+WR!L629*Scoring!$J$34+U627</f>
        <v>0</v>
      </c>
      <c r="N627" s="66">
        <f>C627*Scoring!$B$34+D627/Scoring!$C$34+E627*Scoring!$D$34+WR!F627*Scoring!$E$34+WR!G627/Scoring!$F$34+WR!H627*Scoring!$G$34+WR!I627*Scoring!$H$34+K627*Scoring!$I$34+WR!L627*Scoring!$J$34+U627</f>
        <v>0</v>
      </c>
      <c r="O627" s="66">
        <f>C628*Scoring!$B$34+D628/Scoring!$C$34+E628*Scoring!$D$34+WR!F628*Scoring!$E$34+WR!G628/Scoring!$F$34+WR!H628*Scoring!$G$34+WR!I628*Scoring!$H$34+K628*Scoring!$I$34+WR!L628*Scoring!$J$34+U627</f>
        <v>0</v>
      </c>
      <c r="P627" s="20">
        <f>IF(COUNTIF(Rookies!$A:$A,A627)&gt;0,1,0)</f>
        <v>0</v>
      </c>
      <c r="S627" s="20">
        <f>V627/17</f>
        <v>0</v>
      </c>
      <c r="T627" s="20">
        <f>IF(P627=1,MAX(0,0.28*(12-S627)),0)</f>
        <v>0</v>
      </c>
      <c r="U627" s="20">
        <f>T627*17</f>
        <v>0</v>
      </c>
      <c r="V627" s="20">
        <f>C627*Scoring!$B$34+D627/Scoring!$C$34+E627*Scoring!$D$34+WR!F627*Scoring!$E$34+WR!G627/Scoring!$F$34+WR!H627*Scoring!$G$34+WR!I627*Scoring!$H$34+K627*Scoring!$I$34+WR!L627*Scoring!$J$34</f>
        <v>0</v>
      </c>
    </row>
    <row r="628" spans="11:22" ht="14.25" customHeight="1" x14ac:dyDescent="0.3">
      <c r="K628" s="64">
        <f t="shared" si="18"/>
        <v>0</v>
      </c>
      <c r="L628" s="64">
        <f t="shared" si="19"/>
        <v>0</v>
      </c>
      <c r="M628" s="67"/>
      <c r="N628" s="67"/>
      <c r="O628" s="67"/>
    </row>
    <row r="629" spans="11:22" ht="14.25" customHeight="1" x14ac:dyDescent="0.3">
      <c r="K629" s="64">
        <f t="shared" si="18"/>
        <v>0</v>
      </c>
      <c r="L629" s="64">
        <f t="shared" si="19"/>
        <v>0</v>
      </c>
      <c r="M629" s="67"/>
      <c r="N629" s="67"/>
      <c r="O629" s="67"/>
    </row>
    <row r="630" spans="11:22" ht="14.25" customHeight="1" x14ac:dyDescent="0.3">
      <c r="K630" s="64">
        <f t="shared" si="18"/>
        <v>0</v>
      </c>
      <c r="L630" s="64">
        <f t="shared" si="19"/>
        <v>0</v>
      </c>
      <c r="M630" s="66">
        <f>C632*Scoring!$B$34+D632/Scoring!$C$34+E632*Scoring!$D$34+WR!F632*Scoring!$E$34+WR!G632/Scoring!$F$34+WR!H632*Scoring!$G$34+WR!I632*Scoring!$H$34+K632*Scoring!$I$34+WR!L632*Scoring!$J$34+U630</f>
        <v>0</v>
      </c>
      <c r="N630" s="66">
        <f>C630*Scoring!$B$34+D630/Scoring!$C$34+E630*Scoring!$D$34+WR!F630*Scoring!$E$34+WR!G630/Scoring!$F$34+WR!H630*Scoring!$G$34+WR!I630*Scoring!$H$34+K630*Scoring!$I$34+WR!L630*Scoring!$J$34+U630</f>
        <v>0</v>
      </c>
      <c r="O630" s="66">
        <f>C631*Scoring!$B$34+D631/Scoring!$C$34+E631*Scoring!$D$34+WR!F631*Scoring!$E$34+WR!G631/Scoring!$F$34+WR!H631*Scoring!$G$34+WR!I631*Scoring!$H$34+K631*Scoring!$I$34+WR!L631*Scoring!$J$34+U630</f>
        <v>0</v>
      </c>
      <c r="P630" s="20">
        <f>IF(COUNTIF(Rookies!$A:$A,A630)&gt;0,1,0)</f>
        <v>0</v>
      </c>
      <c r="S630" s="20">
        <f>V630/17</f>
        <v>0</v>
      </c>
      <c r="T630" s="20">
        <f>IF(P630=1,MAX(0,0.28*(12-S630)),0)</f>
        <v>0</v>
      </c>
      <c r="U630" s="20">
        <f>T630*17</f>
        <v>0</v>
      </c>
      <c r="V630" s="20">
        <f>C630*Scoring!$B$34+D630/Scoring!$C$34+E630*Scoring!$D$34+WR!F630*Scoring!$E$34+WR!G630/Scoring!$F$34+WR!H630*Scoring!$G$34+WR!I630*Scoring!$H$34+K630*Scoring!$I$34+WR!L630*Scoring!$J$34</f>
        <v>0</v>
      </c>
    </row>
    <row r="631" spans="11:22" ht="14.25" customHeight="1" x14ac:dyDescent="0.3">
      <c r="K631" s="64">
        <f t="shared" si="18"/>
        <v>0</v>
      </c>
      <c r="L631" s="64">
        <f t="shared" si="19"/>
        <v>0</v>
      </c>
      <c r="M631" s="67"/>
      <c r="N631" s="67"/>
      <c r="O631" s="67"/>
    </row>
    <row r="632" spans="11:22" ht="14.25" customHeight="1" x14ac:dyDescent="0.3">
      <c r="K632" s="64">
        <f t="shared" si="18"/>
        <v>0</v>
      </c>
      <c r="L632" s="64">
        <f t="shared" si="19"/>
        <v>0</v>
      </c>
      <c r="M632" s="67"/>
      <c r="N632" s="67"/>
      <c r="O632" s="67"/>
    </row>
    <row r="633" spans="11:22" ht="14.25" customHeight="1" x14ac:dyDescent="0.3">
      <c r="K633" s="64">
        <f t="shared" si="18"/>
        <v>0</v>
      </c>
      <c r="L633" s="64">
        <f t="shared" si="19"/>
        <v>0</v>
      </c>
      <c r="M633" s="66">
        <f>C635*Scoring!$B$34+D635/Scoring!$C$34+E635*Scoring!$D$34+WR!F635*Scoring!$E$34+WR!G635/Scoring!$F$34+WR!H635*Scoring!$G$34+WR!I635*Scoring!$H$34+K635*Scoring!$I$34+WR!L635*Scoring!$J$34+U633</f>
        <v>0</v>
      </c>
      <c r="N633" s="66">
        <f>C633*Scoring!$B$34+D633/Scoring!$C$34+E633*Scoring!$D$34+WR!F633*Scoring!$E$34+WR!G633/Scoring!$F$34+WR!H633*Scoring!$G$34+WR!I633*Scoring!$H$34+K633*Scoring!$I$34+WR!L633*Scoring!$J$34+U633</f>
        <v>0</v>
      </c>
      <c r="O633" s="66">
        <f>C634*Scoring!$B$34+D634/Scoring!$C$34+E634*Scoring!$D$34+WR!F634*Scoring!$E$34+WR!G634/Scoring!$F$34+WR!H634*Scoring!$G$34+WR!I634*Scoring!$H$34+K634*Scoring!$I$34+WR!L634*Scoring!$J$34+U633</f>
        <v>0</v>
      </c>
      <c r="P633" s="20">
        <f>IF(COUNTIF(Rookies!$A:$A,A633)&gt;0,1,0)</f>
        <v>0</v>
      </c>
      <c r="S633" s="20">
        <f>V633/17</f>
        <v>0</v>
      </c>
      <c r="T633" s="20">
        <f>IF(P633=1,MAX(0,0.28*(12-S633)),0)</f>
        <v>0</v>
      </c>
      <c r="U633" s="20">
        <f>T633*17</f>
        <v>0</v>
      </c>
      <c r="V633" s="20">
        <f>C633*Scoring!$B$34+D633/Scoring!$C$34+E633*Scoring!$D$34+WR!F633*Scoring!$E$34+WR!G633/Scoring!$F$34+WR!H633*Scoring!$G$34+WR!I633*Scoring!$H$34+K633*Scoring!$I$34+WR!L633*Scoring!$J$34</f>
        <v>0</v>
      </c>
    </row>
    <row r="634" spans="11:22" ht="14.25" customHeight="1" x14ac:dyDescent="0.3">
      <c r="K634" s="64">
        <f t="shared" si="18"/>
        <v>0</v>
      </c>
      <c r="L634" s="64">
        <f t="shared" si="19"/>
        <v>0</v>
      </c>
      <c r="M634" s="67"/>
      <c r="N634" s="67"/>
      <c r="O634" s="67"/>
    </row>
    <row r="635" spans="11:22" ht="14.25" customHeight="1" x14ac:dyDescent="0.3">
      <c r="K635" s="64">
        <f t="shared" si="18"/>
        <v>0</v>
      </c>
      <c r="L635" s="64">
        <f t="shared" si="19"/>
        <v>0</v>
      </c>
      <c r="M635" s="67"/>
      <c r="N635" s="67"/>
      <c r="O635" s="67"/>
    </row>
    <row r="636" spans="11:22" ht="14.25" customHeight="1" x14ac:dyDescent="0.3">
      <c r="K636" s="64">
        <f t="shared" si="18"/>
        <v>0</v>
      </c>
      <c r="L636" s="64">
        <f t="shared" si="19"/>
        <v>0</v>
      </c>
      <c r="M636" s="66">
        <f>C638*Scoring!$B$34+D638/Scoring!$C$34+E638*Scoring!$D$34+WR!F638*Scoring!$E$34+WR!G638/Scoring!$F$34+WR!H638*Scoring!$G$34+WR!I638*Scoring!$H$34+K638*Scoring!$I$34+WR!L638*Scoring!$J$34+U636</f>
        <v>0</v>
      </c>
      <c r="N636" s="66">
        <f>C636*Scoring!$B$34+D636/Scoring!$C$34+E636*Scoring!$D$34+WR!F636*Scoring!$E$34+WR!G636/Scoring!$F$34+WR!H636*Scoring!$G$34+WR!I636*Scoring!$H$34+K636*Scoring!$I$34+WR!L636*Scoring!$J$34+U636</f>
        <v>0</v>
      </c>
      <c r="O636" s="66">
        <f>C637*Scoring!$B$34+D637/Scoring!$C$34+E637*Scoring!$D$34+WR!F637*Scoring!$E$34+WR!G637/Scoring!$F$34+WR!H637*Scoring!$G$34+WR!I637*Scoring!$H$34+K637*Scoring!$I$34+WR!L637*Scoring!$J$34+U636</f>
        <v>0</v>
      </c>
      <c r="P636" s="20">
        <f>IF(COUNTIF(Rookies!$A:$A,A636)&gt;0,1,0)</f>
        <v>0</v>
      </c>
      <c r="S636" s="20">
        <f>V636/17</f>
        <v>0</v>
      </c>
      <c r="T636" s="20">
        <f>IF(P636=1,MAX(0,0.28*(12-S636)),0)</f>
        <v>0</v>
      </c>
      <c r="U636" s="20">
        <f>T636*17</f>
        <v>0</v>
      </c>
      <c r="V636" s="20">
        <f>C636*Scoring!$B$34+D636/Scoring!$C$34+E636*Scoring!$D$34+WR!F636*Scoring!$E$34+WR!G636/Scoring!$F$34+WR!H636*Scoring!$G$34+WR!I636*Scoring!$H$34+K636*Scoring!$I$34+WR!L636*Scoring!$J$34</f>
        <v>0</v>
      </c>
    </row>
    <row r="637" spans="11:22" ht="14.25" customHeight="1" x14ac:dyDescent="0.3">
      <c r="K637" s="64">
        <f t="shared" si="18"/>
        <v>0</v>
      </c>
      <c r="L637" s="64">
        <f t="shared" si="19"/>
        <v>0</v>
      </c>
      <c r="M637" s="67"/>
      <c r="N637" s="67"/>
      <c r="O637" s="67"/>
    </row>
    <row r="638" spans="11:22" ht="14.25" customHeight="1" x14ac:dyDescent="0.3">
      <c r="K638" s="64">
        <f t="shared" si="18"/>
        <v>0</v>
      </c>
      <c r="L638" s="64">
        <f t="shared" si="19"/>
        <v>0</v>
      </c>
      <c r="M638" s="67"/>
      <c r="N638" s="67"/>
      <c r="O638" s="67"/>
    </row>
    <row r="639" spans="11:22" ht="14.25" customHeight="1" x14ac:dyDescent="0.3">
      <c r="K639" s="64">
        <f t="shared" si="18"/>
        <v>0</v>
      </c>
      <c r="L639" s="64">
        <f t="shared" si="19"/>
        <v>0</v>
      </c>
      <c r="M639" s="66">
        <f>C641*Scoring!$B$34+D641/Scoring!$C$34+E641*Scoring!$D$34+WR!F641*Scoring!$E$34+WR!G641/Scoring!$F$34+WR!H641*Scoring!$G$34+WR!I641*Scoring!$H$34+K641*Scoring!$I$34+WR!L641*Scoring!$J$34+U639</f>
        <v>0</v>
      </c>
      <c r="N639" s="66">
        <f>C639*Scoring!$B$34+D639/Scoring!$C$34+E639*Scoring!$D$34+WR!F639*Scoring!$E$34+WR!G639/Scoring!$F$34+WR!H639*Scoring!$G$34+WR!I639*Scoring!$H$34+K639*Scoring!$I$34+WR!L639*Scoring!$J$34+U639</f>
        <v>0</v>
      </c>
      <c r="O639" s="66">
        <f>C640*Scoring!$B$34+D640/Scoring!$C$34+E640*Scoring!$D$34+WR!F640*Scoring!$E$34+WR!G640/Scoring!$F$34+WR!H640*Scoring!$G$34+WR!I640*Scoring!$H$34+K640*Scoring!$I$34+WR!L640*Scoring!$J$34+U639</f>
        <v>0</v>
      </c>
      <c r="P639" s="20">
        <f>IF(COUNTIF(Rookies!$A:$A,A639)&gt;0,1,0)</f>
        <v>0</v>
      </c>
      <c r="S639" s="20">
        <f>V639/17</f>
        <v>0</v>
      </c>
      <c r="T639" s="20">
        <f>IF(P639=1,MAX(0,0.28*(12-S639)),0)</f>
        <v>0</v>
      </c>
      <c r="U639" s="20">
        <f>T639*17</f>
        <v>0</v>
      </c>
      <c r="V639" s="20">
        <f>C639*Scoring!$B$34+D639/Scoring!$C$34+E639*Scoring!$D$34+WR!F639*Scoring!$E$34+WR!G639/Scoring!$F$34+WR!H639*Scoring!$G$34+WR!I639*Scoring!$H$34+K639*Scoring!$I$34+WR!L639*Scoring!$J$34</f>
        <v>0</v>
      </c>
    </row>
    <row r="640" spans="11:22" ht="14.25" customHeight="1" x14ac:dyDescent="0.3">
      <c r="K640" s="64">
        <f t="shared" si="18"/>
        <v>0</v>
      </c>
      <c r="L640" s="64">
        <f t="shared" si="19"/>
        <v>0</v>
      </c>
      <c r="M640" s="67"/>
      <c r="N640" s="67"/>
      <c r="O640" s="67"/>
    </row>
    <row r="641" spans="11:15" ht="14.25" customHeight="1" x14ac:dyDescent="0.3">
      <c r="K641" s="64">
        <f t="shared" si="18"/>
        <v>0</v>
      </c>
      <c r="L641" s="64">
        <f t="shared" si="19"/>
        <v>0</v>
      </c>
      <c r="M641" s="67"/>
      <c r="N641" s="67"/>
      <c r="O641" s="67"/>
    </row>
    <row r="642" spans="11:15" ht="14.25" customHeight="1" x14ac:dyDescent="0.3">
      <c r="K642" s="64">
        <f t="shared" si="18"/>
        <v>0</v>
      </c>
      <c r="L642" s="64">
        <f t="shared" si="19"/>
        <v>0</v>
      </c>
      <c r="M642" s="66">
        <f>C644*Scoring!$B$34+D644/Scoring!$C$34+E644*Scoring!$D$34+WR!F644*Scoring!$E$34+WR!G644/Scoring!$F$34+WR!H644*Scoring!$G$34+WR!I644*Scoring!$H$34+K644*Scoring!$I$34+WR!L644*Scoring!$J$34+U642</f>
        <v>0</v>
      </c>
      <c r="N642" s="66">
        <f>C642*Scoring!$B$34+D642/Scoring!$C$34+E642*Scoring!$D$34+WR!F642*Scoring!$E$34+WR!G642/Scoring!$F$34+WR!H642*Scoring!$G$34+WR!I642*Scoring!$H$34+K642*Scoring!$I$34+WR!L642*Scoring!$J$34+U642</f>
        <v>0</v>
      </c>
      <c r="O642" s="66">
        <f>C643*Scoring!$B$34+D643/Scoring!$C$34+E643*Scoring!$D$34+WR!F643*Scoring!$E$34+WR!G643/Scoring!$F$34+WR!H643*Scoring!$G$34+WR!I643*Scoring!$H$34+K643*Scoring!$I$34+WR!L643*Scoring!$J$34+U642</f>
        <v>0</v>
      </c>
    </row>
    <row r="643" spans="11:15" ht="14.25" customHeight="1" x14ac:dyDescent="0.3">
      <c r="K643" s="64">
        <f t="shared" ref="K643:K698" si="20">IFERROR(G643/F643/6.89*0.427*F643,0)</f>
        <v>0</v>
      </c>
      <c r="L643" s="64">
        <f t="shared" ref="L643:L698" si="21">IFERROR(D643/C643/12.87*0.633*C643,0)</f>
        <v>0</v>
      </c>
      <c r="M643" s="67"/>
      <c r="N643" s="67"/>
      <c r="O643" s="67"/>
    </row>
    <row r="644" spans="11:15" ht="14.25" customHeight="1" x14ac:dyDescent="0.3">
      <c r="K644" s="64">
        <f t="shared" si="20"/>
        <v>0</v>
      </c>
      <c r="L644" s="64">
        <f t="shared" si="21"/>
        <v>0</v>
      </c>
      <c r="M644" s="67"/>
      <c r="N644" s="67"/>
      <c r="O644" s="67"/>
    </row>
    <row r="645" spans="11:15" ht="14.25" customHeight="1" x14ac:dyDescent="0.3">
      <c r="K645" s="64">
        <f t="shared" si="20"/>
        <v>0</v>
      </c>
      <c r="L645" s="64">
        <f t="shared" si="21"/>
        <v>0</v>
      </c>
      <c r="M645" s="66">
        <f>C647*Scoring!$B$34+D647/Scoring!$C$34+E647*Scoring!$D$34+WR!F647*Scoring!$E$34+WR!G647/Scoring!$F$34+WR!H647*Scoring!$G$34+WR!I647*Scoring!$H$34+K647*Scoring!$I$34+WR!L647*Scoring!$J$34+U645</f>
        <v>0</v>
      </c>
      <c r="N645" s="66">
        <f>C645*Scoring!$B$34+D645/Scoring!$C$34+E645*Scoring!$D$34+WR!F645*Scoring!$E$34+WR!G645/Scoring!$F$34+WR!H645*Scoring!$G$34+WR!I645*Scoring!$H$34+K645*Scoring!$I$34+WR!L645*Scoring!$J$34+U645</f>
        <v>0</v>
      </c>
      <c r="O645" s="66">
        <f>C646*Scoring!$B$34+D646/Scoring!$C$34+E646*Scoring!$D$34+WR!F646*Scoring!$E$34+WR!G646/Scoring!$F$34+WR!H646*Scoring!$G$34+WR!I646*Scoring!$H$34+K646*Scoring!$I$34+WR!L646*Scoring!$J$34+U645</f>
        <v>0</v>
      </c>
    </row>
    <row r="646" spans="11:15" ht="14.25" customHeight="1" x14ac:dyDescent="0.3">
      <c r="K646" s="64">
        <f t="shared" si="20"/>
        <v>0</v>
      </c>
      <c r="L646" s="64">
        <f t="shared" si="21"/>
        <v>0</v>
      </c>
      <c r="M646" s="67"/>
      <c r="N646" s="67"/>
      <c r="O646" s="67"/>
    </row>
    <row r="647" spans="11:15" ht="14.25" customHeight="1" x14ac:dyDescent="0.3">
      <c r="K647" s="64">
        <f t="shared" si="20"/>
        <v>0</v>
      </c>
      <c r="L647" s="64">
        <f t="shared" si="21"/>
        <v>0</v>
      </c>
      <c r="M647" s="67"/>
      <c r="N647" s="67"/>
      <c r="O647" s="67"/>
    </row>
    <row r="648" spans="11:15" ht="14.25" customHeight="1" x14ac:dyDescent="0.3">
      <c r="K648" s="64">
        <f t="shared" si="20"/>
        <v>0</v>
      </c>
      <c r="L648" s="64">
        <f t="shared" si="21"/>
        <v>0</v>
      </c>
      <c r="M648" s="66">
        <f>C650*Scoring!$B$34+D650/Scoring!$C$34+E650*Scoring!$D$34+WR!F650*Scoring!$E$34+WR!G650/Scoring!$F$34+WR!H650*Scoring!$G$34+WR!I650*Scoring!$H$34+K650*Scoring!$I$34+WR!L650*Scoring!$J$34+U648</f>
        <v>0</v>
      </c>
      <c r="N648" s="66">
        <f>C648*Scoring!$B$34+D648/Scoring!$C$34+E648*Scoring!$D$34+WR!F648*Scoring!$E$34+WR!G648/Scoring!$F$34+WR!H648*Scoring!$G$34+WR!I648*Scoring!$H$34+K648*Scoring!$I$34+WR!L648*Scoring!$J$34+U648</f>
        <v>0</v>
      </c>
      <c r="O648" s="66">
        <f>C649*Scoring!$B$34+D649/Scoring!$C$34+E649*Scoring!$D$34+WR!F649*Scoring!$E$34+WR!G649/Scoring!$F$34+WR!H649*Scoring!$G$34+WR!I649*Scoring!$H$34+K649*Scoring!$I$34+WR!L649*Scoring!$J$34+U648</f>
        <v>0</v>
      </c>
    </row>
    <row r="649" spans="11:15" ht="14.25" customHeight="1" x14ac:dyDescent="0.3">
      <c r="K649" s="64">
        <f t="shared" si="20"/>
        <v>0</v>
      </c>
      <c r="L649" s="64">
        <f t="shared" si="21"/>
        <v>0</v>
      </c>
      <c r="M649" s="67"/>
      <c r="N649" s="67"/>
      <c r="O649" s="67"/>
    </row>
    <row r="650" spans="11:15" ht="14.25" customHeight="1" x14ac:dyDescent="0.3">
      <c r="K650" s="64">
        <f t="shared" si="20"/>
        <v>0</v>
      </c>
      <c r="L650" s="64">
        <f t="shared" si="21"/>
        <v>0</v>
      </c>
      <c r="M650" s="67"/>
      <c r="N650" s="67"/>
      <c r="O650" s="67"/>
    </row>
    <row r="651" spans="11:15" ht="14.25" customHeight="1" x14ac:dyDescent="0.3">
      <c r="K651" s="64">
        <f t="shared" si="20"/>
        <v>0</v>
      </c>
      <c r="L651" s="64">
        <f t="shared" si="21"/>
        <v>0</v>
      </c>
      <c r="M651" s="66">
        <f>C653*Scoring!$B$34+D653/Scoring!$C$34+E653*Scoring!$D$34+WR!F653*Scoring!$E$34+WR!G653/Scoring!$F$34+WR!H653*Scoring!$G$34+WR!I653*Scoring!$H$34+K653*Scoring!$I$34+WR!L653*Scoring!$J$34+U651</f>
        <v>0</v>
      </c>
      <c r="N651" s="66">
        <f>C651*Scoring!$B$34+D651/Scoring!$C$34+E651*Scoring!$D$34+WR!F651*Scoring!$E$34+WR!G651/Scoring!$F$34+WR!H651*Scoring!$G$34+WR!I651*Scoring!$H$34+K651*Scoring!$I$34+WR!L651*Scoring!$J$34+U651</f>
        <v>0</v>
      </c>
      <c r="O651" s="66">
        <f>C652*Scoring!$B$34+D652/Scoring!$C$34+E652*Scoring!$D$34+WR!F652*Scoring!$E$34+WR!G652/Scoring!$F$34+WR!H652*Scoring!$G$34+WR!I652*Scoring!$H$34+K652*Scoring!$I$34+WR!L652*Scoring!$J$34+U651</f>
        <v>0</v>
      </c>
    </row>
    <row r="652" spans="11:15" ht="14.25" customHeight="1" x14ac:dyDescent="0.3">
      <c r="K652" s="64">
        <f t="shared" si="20"/>
        <v>0</v>
      </c>
      <c r="L652" s="64">
        <f t="shared" si="21"/>
        <v>0</v>
      </c>
      <c r="M652" s="67"/>
      <c r="N652" s="67"/>
      <c r="O652" s="67"/>
    </row>
    <row r="653" spans="11:15" ht="14.25" customHeight="1" x14ac:dyDescent="0.3">
      <c r="K653" s="64">
        <f t="shared" si="20"/>
        <v>0</v>
      </c>
      <c r="L653" s="64">
        <f t="shared" si="21"/>
        <v>0</v>
      </c>
      <c r="M653" s="67"/>
      <c r="N653" s="67"/>
      <c r="O653" s="67"/>
    </row>
    <row r="654" spans="11:15" ht="14.25" customHeight="1" x14ac:dyDescent="0.3">
      <c r="K654" s="64">
        <f t="shared" si="20"/>
        <v>0</v>
      </c>
      <c r="L654" s="64">
        <f t="shared" si="21"/>
        <v>0</v>
      </c>
      <c r="M654" s="66">
        <f>C656*Scoring!$B$34+D656/Scoring!$C$34+E656*Scoring!$D$34+WR!F656*Scoring!$E$34+WR!G656/Scoring!$F$34+WR!H656*Scoring!$G$34+WR!I656*Scoring!$H$34+K656*Scoring!$I$34+WR!L656*Scoring!$J$34+U654</f>
        <v>0</v>
      </c>
      <c r="N654" s="66">
        <f>C654*Scoring!$B$34+D654/Scoring!$C$34+E654*Scoring!$D$34+WR!F654*Scoring!$E$34+WR!G654/Scoring!$F$34+WR!H654*Scoring!$G$34+WR!I654*Scoring!$H$34+K654*Scoring!$I$34+WR!L654*Scoring!$J$34+U654</f>
        <v>0</v>
      </c>
      <c r="O654" s="66">
        <f>C655*Scoring!$B$34+D655/Scoring!$C$34+E655*Scoring!$D$34+WR!F655*Scoring!$E$34+WR!G655/Scoring!$F$34+WR!H655*Scoring!$G$34+WR!I655*Scoring!$H$34+K655*Scoring!$I$34+WR!L655*Scoring!$J$34+U654</f>
        <v>0</v>
      </c>
    </row>
    <row r="655" spans="11:15" ht="14.25" customHeight="1" x14ac:dyDescent="0.3">
      <c r="K655" s="64">
        <f t="shared" si="20"/>
        <v>0</v>
      </c>
      <c r="L655" s="64">
        <f t="shared" si="21"/>
        <v>0</v>
      </c>
      <c r="M655" s="67"/>
      <c r="N655" s="67"/>
      <c r="O655" s="67"/>
    </row>
    <row r="656" spans="11:15" ht="14.25" customHeight="1" x14ac:dyDescent="0.3">
      <c r="K656" s="64">
        <f t="shared" si="20"/>
        <v>0</v>
      </c>
      <c r="L656" s="64">
        <f t="shared" si="21"/>
        <v>0</v>
      </c>
      <c r="M656" s="67"/>
      <c r="N656" s="67"/>
      <c r="O656" s="67"/>
    </row>
    <row r="657" spans="11:15" ht="14.25" customHeight="1" x14ac:dyDescent="0.3">
      <c r="K657" s="64">
        <f t="shared" si="20"/>
        <v>0</v>
      </c>
      <c r="L657" s="64">
        <f t="shared" si="21"/>
        <v>0</v>
      </c>
      <c r="M657" s="66">
        <f>C659*Scoring!$B$34+D659/Scoring!$C$34+E659*Scoring!$D$34+WR!F659*Scoring!$E$34+WR!G659/Scoring!$F$34+WR!H659*Scoring!$G$34+WR!I659*Scoring!$H$34+K659*Scoring!$I$34+WR!L659*Scoring!$J$34+U657</f>
        <v>0</v>
      </c>
      <c r="N657" s="66">
        <f>C657*Scoring!$B$34+D657/Scoring!$C$34+E657*Scoring!$D$34+WR!F657*Scoring!$E$34+WR!G657/Scoring!$F$34+WR!H657*Scoring!$G$34+WR!I657*Scoring!$H$34+K657*Scoring!$I$34+WR!L657*Scoring!$J$34+U657</f>
        <v>0</v>
      </c>
      <c r="O657" s="66">
        <f>C658*Scoring!$B$34+D658/Scoring!$C$34+E658*Scoring!$D$34+WR!F658*Scoring!$E$34+WR!G658/Scoring!$F$34+WR!H658*Scoring!$G$34+WR!I658*Scoring!$H$34+K658*Scoring!$I$34+WR!L658*Scoring!$J$34+U657</f>
        <v>0</v>
      </c>
    </row>
    <row r="658" spans="11:15" ht="14.25" customHeight="1" x14ac:dyDescent="0.3">
      <c r="K658" s="64">
        <f t="shared" si="20"/>
        <v>0</v>
      </c>
      <c r="L658" s="64">
        <f t="shared" si="21"/>
        <v>0</v>
      </c>
      <c r="M658" s="67"/>
      <c r="N658" s="67"/>
      <c r="O658" s="67"/>
    </row>
    <row r="659" spans="11:15" ht="14.25" customHeight="1" x14ac:dyDescent="0.3">
      <c r="K659" s="64">
        <f t="shared" si="20"/>
        <v>0</v>
      </c>
      <c r="L659" s="64">
        <f t="shared" si="21"/>
        <v>0</v>
      </c>
      <c r="M659" s="67"/>
      <c r="N659" s="67"/>
      <c r="O659" s="67"/>
    </row>
    <row r="660" spans="11:15" ht="14.25" customHeight="1" x14ac:dyDescent="0.3">
      <c r="K660" s="64">
        <f t="shared" si="20"/>
        <v>0</v>
      </c>
      <c r="L660" s="64">
        <f t="shared" si="21"/>
        <v>0</v>
      </c>
      <c r="M660" s="66">
        <f>C662*Scoring!$B$34+D662/Scoring!$C$34+E662*Scoring!$D$34+WR!F662*Scoring!$E$34+WR!G662/Scoring!$F$34+WR!H662*Scoring!$G$34+WR!I662*Scoring!$H$34+K662*Scoring!$I$34+WR!L662*Scoring!$J$34+U660</f>
        <v>0</v>
      </c>
      <c r="N660" s="66">
        <f>C660*Scoring!$B$34+D660/Scoring!$C$34+E660*Scoring!$D$34+WR!F660*Scoring!$E$34+WR!G660/Scoring!$F$34+WR!H660*Scoring!$G$34+WR!I660*Scoring!$H$34+K660*Scoring!$I$34+WR!L660*Scoring!$J$34+U660</f>
        <v>0</v>
      </c>
      <c r="O660" s="66">
        <f>C661*Scoring!$B$34+D661/Scoring!$C$34+E661*Scoring!$D$34+WR!F661*Scoring!$E$34+WR!G661/Scoring!$F$34+WR!H661*Scoring!$G$34+WR!I661*Scoring!$H$34+K661*Scoring!$I$34+WR!L661*Scoring!$J$34+U660</f>
        <v>0</v>
      </c>
    </row>
    <row r="661" spans="11:15" ht="14.25" customHeight="1" x14ac:dyDescent="0.3">
      <c r="K661" s="64">
        <f t="shared" si="20"/>
        <v>0</v>
      </c>
      <c r="L661" s="64">
        <f t="shared" si="21"/>
        <v>0</v>
      </c>
      <c r="M661" s="67"/>
      <c r="N661" s="67"/>
      <c r="O661" s="67"/>
    </row>
    <row r="662" spans="11:15" ht="14.25" customHeight="1" x14ac:dyDescent="0.3">
      <c r="K662" s="64">
        <f t="shared" si="20"/>
        <v>0</v>
      </c>
      <c r="L662" s="64">
        <f t="shared" si="21"/>
        <v>0</v>
      </c>
      <c r="M662" s="67"/>
      <c r="N662" s="67"/>
      <c r="O662" s="67"/>
    </row>
    <row r="663" spans="11:15" ht="14.25" customHeight="1" x14ac:dyDescent="0.3">
      <c r="K663" s="64">
        <f t="shared" si="20"/>
        <v>0</v>
      </c>
      <c r="L663" s="64">
        <f t="shared" si="21"/>
        <v>0</v>
      </c>
      <c r="M663" s="66">
        <f>C665*Scoring!$B$34+D665/Scoring!$C$34+E665*Scoring!$D$34+WR!F665*Scoring!$E$34+WR!G665/Scoring!$F$34+WR!H665*Scoring!$G$34+WR!I665*Scoring!$H$34+K665*Scoring!$I$34+WR!L665*Scoring!$J$34+U663</f>
        <v>0</v>
      </c>
      <c r="N663" s="66">
        <f>C663*Scoring!$B$34+D663/Scoring!$C$34+E663*Scoring!$D$34+WR!F663*Scoring!$E$34+WR!G663/Scoring!$F$34+WR!H663*Scoring!$G$34+WR!I663*Scoring!$H$34+K663*Scoring!$I$34+WR!L663*Scoring!$J$34+U663</f>
        <v>0</v>
      </c>
      <c r="O663" s="66">
        <f>C664*Scoring!$B$34+D664/Scoring!$C$34+E664*Scoring!$D$34+WR!F664*Scoring!$E$34+WR!G664/Scoring!$F$34+WR!H664*Scoring!$G$34+WR!I664*Scoring!$H$34+K664*Scoring!$I$34+WR!L664*Scoring!$J$34+U663</f>
        <v>0</v>
      </c>
    </row>
    <row r="664" spans="11:15" ht="14.25" customHeight="1" x14ac:dyDescent="0.3">
      <c r="K664" s="64">
        <f t="shared" si="20"/>
        <v>0</v>
      </c>
      <c r="L664" s="64">
        <f t="shared" si="21"/>
        <v>0</v>
      </c>
      <c r="M664" s="67"/>
      <c r="N664" s="67"/>
      <c r="O664" s="67"/>
    </row>
    <row r="665" spans="11:15" ht="14.25" customHeight="1" x14ac:dyDescent="0.3">
      <c r="K665" s="64">
        <f t="shared" si="20"/>
        <v>0</v>
      </c>
      <c r="L665" s="64">
        <f t="shared" si="21"/>
        <v>0</v>
      </c>
      <c r="M665" s="67"/>
      <c r="N665" s="67"/>
      <c r="O665" s="67"/>
    </row>
    <row r="666" spans="11:15" ht="14.25" customHeight="1" x14ac:dyDescent="0.3">
      <c r="K666" s="64">
        <f t="shared" si="20"/>
        <v>0</v>
      </c>
      <c r="L666" s="64">
        <f t="shared" si="21"/>
        <v>0</v>
      </c>
      <c r="M666" s="66">
        <f>C668*Scoring!$B$34+D668/Scoring!$C$34+E668*Scoring!$D$34+WR!F668*Scoring!$E$34+WR!G668/Scoring!$F$34+WR!H668*Scoring!$G$34+WR!I668*Scoring!$H$34+K668*Scoring!$I$34+WR!L668*Scoring!$J$34+U666</f>
        <v>0</v>
      </c>
      <c r="N666" s="66">
        <f>C666*Scoring!$B$34+D666/Scoring!$C$34+E666*Scoring!$D$34+WR!F666*Scoring!$E$34+WR!G666/Scoring!$F$34+WR!H666*Scoring!$G$34+WR!I666*Scoring!$H$34+K666*Scoring!$I$34+WR!L666*Scoring!$J$34+U666</f>
        <v>0</v>
      </c>
      <c r="O666" s="66">
        <f>C667*Scoring!$B$34+D667/Scoring!$C$34+E667*Scoring!$D$34+WR!F667*Scoring!$E$34+WR!G667/Scoring!$F$34+WR!H667*Scoring!$G$34+WR!I667*Scoring!$H$34+K667*Scoring!$I$34+WR!L667*Scoring!$J$34+U666</f>
        <v>0</v>
      </c>
    </row>
    <row r="667" spans="11:15" ht="14.25" customHeight="1" x14ac:dyDescent="0.3">
      <c r="K667" s="64">
        <f t="shared" si="20"/>
        <v>0</v>
      </c>
      <c r="L667" s="64">
        <f t="shared" si="21"/>
        <v>0</v>
      </c>
      <c r="M667" s="67"/>
      <c r="N667" s="67"/>
      <c r="O667" s="67"/>
    </row>
    <row r="668" spans="11:15" ht="14.25" customHeight="1" x14ac:dyDescent="0.3">
      <c r="K668" s="64">
        <f t="shared" si="20"/>
        <v>0</v>
      </c>
      <c r="L668" s="64">
        <f t="shared" si="21"/>
        <v>0</v>
      </c>
      <c r="M668" s="67"/>
      <c r="N668" s="67"/>
      <c r="O668" s="67"/>
    </row>
    <row r="669" spans="11:15" ht="14.25" customHeight="1" x14ac:dyDescent="0.3">
      <c r="K669" s="64">
        <f t="shared" si="20"/>
        <v>0</v>
      </c>
      <c r="L669" s="64">
        <f t="shared" si="21"/>
        <v>0</v>
      </c>
      <c r="M669" s="66">
        <f>C671*Scoring!$B$34+D671/Scoring!$C$34+E671*Scoring!$D$34+WR!F671*Scoring!$E$34+WR!G671/Scoring!$F$34+WR!H671*Scoring!$G$34+WR!I671*Scoring!$H$34+K671*Scoring!$I$34+WR!L671*Scoring!$J$34+U669</f>
        <v>0</v>
      </c>
      <c r="N669" s="66">
        <f>C669*Scoring!$B$34+D669/Scoring!$C$34+E669*Scoring!$D$34+WR!F669*Scoring!$E$34+WR!G669/Scoring!$F$34+WR!H669*Scoring!$G$34+WR!I669*Scoring!$H$34+K669*Scoring!$I$34+WR!L669*Scoring!$J$34+U669</f>
        <v>0</v>
      </c>
      <c r="O669" s="66">
        <f>C670*Scoring!$B$34+D670/Scoring!$C$34+E670*Scoring!$D$34+WR!F670*Scoring!$E$34+WR!G670/Scoring!$F$34+WR!H670*Scoring!$G$34+WR!I670*Scoring!$H$34+K670*Scoring!$I$34+WR!L670*Scoring!$J$34+U669</f>
        <v>0</v>
      </c>
    </row>
    <row r="670" spans="11:15" ht="14.25" customHeight="1" x14ac:dyDescent="0.3">
      <c r="K670" s="64">
        <f t="shared" si="20"/>
        <v>0</v>
      </c>
      <c r="L670" s="64">
        <f t="shared" si="21"/>
        <v>0</v>
      </c>
      <c r="M670" s="67"/>
      <c r="N670" s="67"/>
      <c r="O670" s="67"/>
    </row>
    <row r="671" spans="11:15" ht="14.25" customHeight="1" x14ac:dyDescent="0.3">
      <c r="K671" s="64">
        <f t="shared" si="20"/>
        <v>0</v>
      </c>
      <c r="L671" s="64">
        <f t="shared" si="21"/>
        <v>0</v>
      </c>
      <c r="M671" s="67"/>
      <c r="N671" s="67"/>
      <c r="O671" s="67"/>
    </row>
    <row r="672" spans="11:15" ht="14.25" customHeight="1" x14ac:dyDescent="0.3">
      <c r="K672" s="64">
        <f t="shared" si="20"/>
        <v>0</v>
      </c>
      <c r="L672" s="64">
        <f t="shared" si="21"/>
        <v>0</v>
      </c>
      <c r="M672" s="66">
        <f>C674*Scoring!$B$34+D674/Scoring!$C$34+E674*Scoring!$D$34+WR!F674*Scoring!$E$34+WR!G674/Scoring!$F$34+WR!H674*Scoring!$G$34+WR!I674*Scoring!$H$34+K674*Scoring!$I$34+WR!L674*Scoring!$J$34+U672</f>
        <v>0</v>
      </c>
      <c r="N672" s="66">
        <f>C672*Scoring!$B$34+D672/Scoring!$C$34+E672*Scoring!$D$34+WR!F672*Scoring!$E$34+WR!G672/Scoring!$F$34+WR!H672*Scoring!$G$34+WR!I672*Scoring!$H$34+K672*Scoring!$I$34+WR!L672*Scoring!$J$34+U672</f>
        <v>0</v>
      </c>
      <c r="O672" s="66">
        <f>C673*Scoring!$B$34+D673/Scoring!$C$34+E673*Scoring!$D$34+WR!F673*Scoring!$E$34+WR!G673/Scoring!$F$34+WR!H673*Scoring!$G$34+WR!I673*Scoring!$H$34+K673*Scoring!$I$34+WR!L673*Scoring!$J$34+U672</f>
        <v>0</v>
      </c>
    </row>
    <row r="673" spans="11:15" ht="14.25" customHeight="1" x14ac:dyDescent="0.3">
      <c r="K673" s="64">
        <f t="shared" si="20"/>
        <v>0</v>
      </c>
      <c r="L673" s="64">
        <f t="shared" si="21"/>
        <v>0</v>
      </c>
      <c r="M673" s="67"/>
      <c r="N673" s="67"/>
      <c r="O673" s="67"/>
    </row>
    <row r="674" spans="11:15" ht="14.25" customHeight="1" x14ac:dyDescent="0.3">
      <c r="K674" s="64">
        <f t="shared" si="20"/>
        <v>0</v>
      </c>
      <c r="L674" s="64">
        <f t="shared" si="21"/>
        <v>0</v>
      </c>
      <c r="M674" s="67"/>
      <c r="N674" s="67"/>
      <c r="O674" s="67"/>
    </row>
    <row r="675" spans="11:15" ht="14.25" customHeight="1" x14ac:dyDescent="0.3">
      <c r="K675" s="64">
        <f t="shared" si="20"/>
        <v>0</v>
      </c>
      <c r="L675" s="64">
        <f t="shared" si="21"/>
        <v>0</v>
      </c>
      <c r="M675" s="66">
        <f>C677*Scoring!$B$34+D677/Scoring!$C$34+E677*Scoring!$D$34+WR!F677*Scoring!$E$34+WR!G677/Scoring!$F$34+WR!H677*Scoring!$G$34+WR!I677*Scoring!$H$34+K677*Scoring!$I$34+WR!L677*Scoring!$J$34+U675</f>
        <v>0</v>
      </c>
      <c r="N675" s="66">
        <f>C675*Scoring!$B$34+D675/Scoring!$C$34+E675*Scoring!$D$34+WR!F675*Scoring!$E$34+WR!G675/Scoring!$F$34+WR!H675*Scoring!$G$34+WR!I675*Scoring!$H$34+K675*Scoring!$I$34+WR!L675*Scoring!$J$34+U675</f>
        <v>0</v>
      </c>
      <c r="O675" s="66">
        <f>C676*Scoring!$B$34+D676/Scoring!$C$34+E676*Scoring!$D$34+WR!F676*Scoring!$E$34+WR!G676/Scoring!$F$34+WR!H676*Scoring!$G$34+WR!I676*Scoring!$H$34+K676*Scoring!$I$34+WR!L676*Scoring!$J$34+U675</f>
        <v>0</v>
      </c>
    </row>
    <row r="676" spans="11:15" ht="14.25" customHeight="1" x14ac:dyDescent="0.3">
      <c r="K676" s="64">
        <f t="shared" si="20"/>
        <v>0</v>
      </c>
      <c r="L676" s="64">
        <f t="shared" si="21"/>
        <v>0</v>
      </c>
      <c r="M676" s="67"/>
      <c r="N676" s="67"/>
      <c r="O676" s="67"/>
    </row>
    <row r="677" spans="11:15" ht="14.25" customHeight="1" x14ac:dyDescent="0.3">
      <c r="K677" s="64">
        <f t="shared" si="20"/>
        <v>0</v>
      </c>
      <c r="L677" s="64">
        <f t="shared" si="21"/>
        <v>0</v>
      </c>
      <c r="M677" s="67"/>
      <c r="N677" s="67"/>
      <c r="O677" s="67"/>
    </row>
    <row r="678" spans="11:15" ht="14.25" customHeight="1" x14ac:dyDescent="0.3">
      <c r="K678" s="64">
        <f t="shared" si="20"/>
        <v>0</v>
      </c>
      <c r="L678" s="64">
        <f t="shared" si="21"/>
        <v>0</v>
      </c>
      <c r="M678" s="66">
        <f>C680*Scoring!$B$34+D680/Scoring!$C$34+E680*Scoring!$D$34+WR!F680*Scoring!$E$34+WR!G680/Scoring!$F$34+WR!H680*Scoring!$G$34+WR!I680*Scoring!$H$34+K680*Scoring!$I$34+WR!L680*Scoring!$J$34+U678</f>
        <v>0</v>
      </c>
      <c r="N678" s="66">
        <f>C678*Scoring!$B$34+D678/Scoring!$C$34+E678*Scoring!$D$34+WR!F678*Scoring!$E$34+WR!G678/Scoring!$F$34+WR!H678*Scoring!$G$34+WR!I678*Scoring!$H$34+K678*Scoring!$I$34+WR!L678*Scoring!$J$34+U678</f>
        <v>0</v>
      </c>
      <c r="O678" s="66">
        <f>C679*Scoring!$B$34+D679/Scoring!$C$34+E679*Scoring!$D$34+WR!F679*Scoring!$E$34+WR!G679/Scoring!$F$34+WR!H679*Scoring!$G$34+WR!I679*Scoring!$H$34+K679*Scoring!$I$34+WR!L679*Scoring!$J$34+U678</f>
        <v>0</v>
      </c>
    </row>
    <row r="679" spans="11:15" ht="14.25" customHeight="1" x14ac:dyDescent="0.3">
      <c r="K679" s="64">
        <f t="shared" si="20"/>
        <v>0</v>
      </c>
      <c r="L679" s="64">
        <f t="shared" si="21"/>
        <v>0</v>
      </c>
      <c r="M679" s="67"/>
      <c r="N679" s="67"/>
      <c r="O679" s="67"/>
    </row>
    <row r="680" spans="11:15" ht="14.25" customHeight="1" x14ac:dyDescent="0.3">
      <c r="K680" s="64">
        <f t="shared" si="20"/>
        <v>0</v>
      </c>
      <c r="L680" s="64">
        <f t="shared" si="21"/>
        <v>0</v>
      </c>
      <c r="M680" s="67"/>
      <c r="N680" s="67"/>
      <c r="O680" s="67"/>
    </row>
    <row r="681" spans="11:15" ht="14.25" customHeight="1" x14ac:dyDescent="0.3">
      <c r="K681" s="64">
        <f t="shared" si="20"/>
        <v>0</v>
      </c>
      <c r="L681" s="64">
        <f t="shared" si="21"/>
        <v>0</v>
      </c>
      <c r="M681" s="66">
        <f>C683*Scoring!$B$34+D683/Scoring!$C$34+E683*Scoring!$D$34+WR!F683*Scoring!$E$34+WR!G683/Scoring!$F$34+WR!H683*Scoring!$G$34+WR!I683*Scoring!$H$34+K683*Scoring!$I$34+WR!L683*Scoring!$J$34+U681</f>
        <v>0</v>
      </c>
      <c r="N681" s="66">
        <f>C681*Scoring!$B$34+D681/Scoring!$C$34+E681*Scoring!$D$34+WR!F681*Scoring!$E$34+WR!G681/Scoring!$F$34+WR!H681*Scoring!$G$34+WR!I681*Scoring!$H$34+K681*Scoring!$I$34+WR!L681*Scoring!$J$34+U681</f>
        <v>0</v>
      </c>
      <c r="O681" s="66">
        <f>C682*Scoring!$B$34+D682/Scoring!$C$34+E682*Scoring!$D$34+WR!F682*Scoring!$E$34+WR!G682/Scoring!$F$34+WR!H682*Scoring!$G$34+WR!I682*Scoring!$H$34+K682*Scoring!$I$34+WR!L682*Scoring!$J$34+U681</f>
        <v>0</v>
      </c>
    </row>
    <row r="682" spans="11:15" ht="14.25" customHeight="1" x14ac:dyDescent="0.3">
      <c r="K682" s="64">
        <f t="shared" si="20"/>
        <v>0</v>
      </c>
      <c r="L682" s="64">
        <f t="shared" si="21"/>
        <v>0</v>
      </c>
      <c r="M682" s="67"/>
      <c r="N682" s="67"/>
      <c r="O682" s="67"/>
    </row>
    <row r="683" spans="11:15" ht="14.25" customHeight="1" x14ac:dyDescent="0.3">
      <c r="K683" s="64">
        <f t="shared" si="20"/>
        <v>0</v>
      </c>
      <c r="L683" s="64">
        <f t="shared" si="21"/>
        <v>0</v>
      </c>
      <c r="M683" s="67"/>
      <c r="N683" s="67"/>
      <c r="O683" s="67"/>
    </row>
    <row r="684" spans="11:15" ht="14.25" customHeight="1" x14ac:dyDescent="0.3">
      <c r="K684" s="64">
        <f t="shared" si="20"/>
        <v>0</v>
      </c>
      <c r="L684" s="64">
        <f t="shared" si="21"/>
        <v>0</v>
      </c>
      <c r="M684" s="66">
        <f>C686*Scoring!$B$34+D686/Scoring!$C$34+E686*Scoring!$D$34+WR!F686*Scoring!$E$34+WR!G686/Scoring!$F$34+WR!H686*Scoring!$G$34+WR!I686*Scoring!$H$34+K686*Scoring!$I$34+WR!L686*Scoring!$J$34+U684</f>
        <v>0</v>
      </c>
      <c r="N684" s="66">
        <f>C684*Scoring!$B$34+D684/Scoring!$C$34+E684*Scoring!$D$34+WR!F684*Scoring!$E$34+WR!G684/Scoring!$F$34+WR!H684*Scoring!$G$34+WR!I684*Scoring!$H$34+K684*Scoring!$I$34+WR!L684*Scoring!$J$34+U684</f>
        <v>0</v>
      </c>
      <c r="O684" s="66">
        <f>C685*Scoring!$B$34+D685/Scoring!$C$34+E685*Scoring!$D$34+WR!F685*Scoring!$E$34+WR!G685/Scoring!$F$34+WR!H685*Scoring!$G$34+WR!I685*Scoring!$H$34+K685*Scoring!$I$34+WR!L685*Scoring!$J$34+U684</f>
        <v>0</v>
      </c>
    </row>
    <row r="685" spans="11:15" ht="14.25" customHeight="1" x14ac:dyDescent="0.3">
      <c r="K685" s="64">
        <f t="shared" si="20"/>
        <v>0</v>
      </c>
      <c r="L685" s="64">
        <f t="shared" si="21"/>
        <v>0</v>
      </c>
      <c r="M685" s="67"/>
      <c r="N685" s="67"/>
      <c r="O685" s="67"/>
    </row>
    <row r="686" spans="11:15" ht="14.25" customHeight="1" x14ac:dyDescent="0.3">
      <c r="K686" s="64">
        <f t="shared" si="20"/>
        <v>0</v>
      </c>
      <c r="L686" s="64">
        <f t="shared" si="21"/>
        <v>0</v>
      </c>
      <c r="M686" s="67"/>
      <c r="N686" s="67"/>
      <c r="O686" s="67"/>
    </row>
    <row r="687" spans="11:15" ht="14.25" customHeight="1" x14ac:dyDescent="0.3">
      <c r="K687" s="64">
        <f t="shared" si="20"/>
        <v>0</v>
      </c>
      <c r="L687" s="64">
        <f t="shared" si="21"/>
        <v>0</v>
      </c>
      <c r="M687" s="66">
        <f>C689*Scoring!$B$34+D689/Scoring!$C$34+E689*Scoring!$D$34+WR!F689*Scoring!$E$34+WR!G689/Scoring!$F$34+WR!H689*Scoring!$G$34+WR!I689*Scoring!$H$34+K689*Scoring!$I$34+WR!L689*Scoring!$J$34+U687</f>
        <v>0</v>
      </c>
      <c r="N687" s="66">
        <f>C687*Scoring!$B$34+D687/Scoring!$C$34+E687*Scoring!$D$34+WR!F687*Scoring!$E$34+WR!G687/Scoring!$F$34+WR!H687*Scoring!$G$34+WR!I687*Scoring!$H$34+K687*Scoring!$I$34+WR!L687*Scoring!$J$34+U687</f>
        <v>0</v>
      </c>
      <c r="O687" s="66">
        <f>C688*Scoring!$B$34+D688/Scoring!$C$34+E688*Scoring!$D$34+WR!F688*Scoring!$E$34+WR!G688/Scoring!$F$34+WR!H688*Scoring!$G$34+WR!I688*Scoring!$H$34+K688*Scoring!$I$34+WR!L688*Scoring!$J$34+U687</f>
        <v>0</v>
      </c>
    </row>
    <row r="688" spans="11:15" ht="14.25" customHeight="1" x14ac:dyDescent="0.3">
      <c r="K688" s="64">
        <f t="shared" si="20"/>
        <v>0</v>
      </c>
      <c r="L688" s="64">
        <f t="shared" si="21"/>
        <v>0</v>
      </c>
      <c r="M688" s="67"/>
      <c r="N688" s="67"/>
      <c r="O688" s="67"/>
    </row>
    <row r="689" spans="11:15" ht="14.25" customHeight="1" x14ac:dyDescent="0.3">
      <c r="K689" s="64">
        <f t="shared" si="20"/>
        <v>0</v>
      </c>
      <c r="L689" s="64">
        <f t="shared" si="21"/>
        <v>0</v>
      </c>
      <c r="M689" s="67"/>
      <c r="N689" s="67"/>
      <c r="O689" s="67"/>
    </row>
    <row r="690" spans="11:15" ht="14.25" customHeight="1" x14ac:dyDescent="0.3">
      <c r="K690" s="64">
        <f t="shared" si="20"/>
        <v>0</v>
      </c>
      <c r="L690" s="64">
        <f t="shared" si="21"/>
        <v>0</v>
      </c>
      <c r="M690" s="66">
        <f>C692*Scoring!$B$34+D692/Scoring!$C$34+E692*Scoring!$D$34+WR!F692*Scoring!$E$34+WR!G692/Scoring!$F$34+WR!H692*Scoring!$G$34+WR!I692*Scoring!$H$34+K692*Scoring!$I$34+WR!L692*Scoring!$J$34+U690</f>
        <v>0</v>
      </c>
      <c r="N690" s="66">
        <f>C690*Scoring!$B$34+D690/Scoring!$C$34+E690*Scoring!$D$34+WR!F690*Scoring!$E$34+WR!G690/Scoring!$F$34+WR!H690*Scoring!$G$34+WR!I690*Scoring!$H$34+K690*Scoring!$I$34+WR!L690*Scoring!$J$34+U690</f>
        <v>0</v>
      </c>
      <c r="O690" s="66">
        <f>C691*Scoring!$B$34+D691/Scoring!$C$34+E691*Scoring!$D$34+WR!F691*Scoring!$E$34+WR!G691/Scoring!$F$34+WR!H691*Scoring!$G$34+WR!I691*Scoring!$H$34+K691*Scoring!$I$34+WR!L691*Scoring!$J$34+U690</f>
        <v>0</v>
      </c>
    </row>
    <row r="691" spans="11:15" ht="14.25" customHeight="1" x14ac:dyDescent="0.3">
      <c r="K691" s="64">
        <f t="shared" si="20"/>
        <v>0</v>
      </c>
      <c r="L691" s="64">
        <f t="shared" si="21"/>
        <v>0</v>
      </c>
      <c r="M691" s="67"/>
      <c r="N691" s="67"/>
      <c r="O691" s="67"/>
    </row>
    <row r="692" spans="11:15" ht="14.25" customHeight="1" x14ac:dyDescent="0.3">
      <c r="K692" s="64">
        <f t="shared" si="20"/>
        <v>0</v>
      </c>
      <c r="L692" s="64">
        <f t="shared" si="21"/>
        <v>0</v>
      </c>
      <c r="M692" s="67"/>
      <c r="N692" s="67"/>
      <c r="O692" s="67"/>
    </row>
    <row r="693" spans="11:15" ht="14.25" customHeight="1" x14ac:dyDescent="0.3">
      <c r="K693" s="64">
        <f t="shared" si="20"/>
        <v>0</v>
      </c>
      <c r="L693" s="64">
        <f t="shared" si="21"/>
        <v>0</v>
      </c>
      <c r="M693" s="66">
        <f>C695*Scoring!$B$34+D695/Scoring!$C$34+E695*Scoring!$D$34+WR!F695*Scoring!$E$34+WR!G695/Scoring!$F$34+WR!H695*Scoring!$G$34+WR!I695*Scoring!$H$34+K695*Scoring!$I$34+WR!L695*Scoring!$J$34</f>
        <v>0</v>
      </c>
      <c r="N693" s="66">
        <f>C693*Scoring!$B$34+D693/Scoring!$C$34+E693*Scoring!$D$34+WR!F693*Scoring!$E$34+WR!G693/Scoring!$F$34+WR!H693*Scoring!$G$34+WR!I693*Scoring!$H$34+K693*Scoring!$I$34+WR!L693*Scoring!$J$34</f>
        <v>0</v>
      </c>
      <c r="O693" s="66">
        <f>C694*Scoring!$B$34+D694/Scoring!$C$34+E694*Scoring!$D$34+WR!F694*Scoring!$E$34+WR!G694/Scoring!$F$34+WR!H694*Scoring!$G$34+WR!I694*Scoring!$H$34+K694*Scoring!$I$34+WR!L694*Scoring!$J$34</f>
        <v>0</v>
      </c>
    </row>
    <row r="694" spans="11:15" ht="14.25" customHeight="1" x14ac:dyDescent="0.3">
      <c r="K694" s="64">
        <f t="shared" si="20"/>
        <v>0</v>
      </c>
      <c r="L694" s="64">
        <f t="shared" si="21"/>
        <v>0</v>
      </c>
      <c r="M694" s="67"/>
      <c r="N694" s="67"/>
      <c r="O694" s="67"/>
    </row>
    <row r="695" spans="11:15" ht="14.25" customHeight="1" x14ac:dyDescent="0.3">
      <c r="K695" s="64">
        <f t="shared" si="20"/>
        <v>0</v>
      </c>
      <c r="L695" s="64">
        <f t="shared" si="21"/>
        <v>0</v>
      </c>
      <c r="M695" s="67"/>
      <c r="N695" s="67"/>
      <c r="O695" s="67"/>
    </row>
    <row r="696" spans="11:15" ht="14.25" customHeight="1" x14ac:dyDescent="0.3">
      <c r="K696" s="64">
        <f t="shared" si="20"/>
        <v>0</v>
      </c>
      <c r="L696" s="64">
        <f t="shared" si="21"/>
        <v>0</v>
      </c>
      <c r="M696" s="66">
        <f>C698*Scoring!$B$34+D698/Scoring!$C$34+E698*Scoring!$D$34+WR!F698*Scoring!$E$34+WR!G698/Scoring!$F$34+WR!H698*Scoring!$G$34+WR!I698*Scoring!$H$34+K698*Scoring!$I$34+WR!L698*Scoring!$J$34</f>
        <v>0</v>
      </c>
      <c r="N696" s="66">
        <f>C696*Scoring!$B$34+D696/Scoring!$C$34+E696*Scoring!$D$34+WR!F696*Scoring!$E$34+WR!G696/Scoring!$F$34+WR!H696*Scoring!$G$34+WR!I696*Scoring!$H$34+K696*Scoring!$I$34+WR!L696*Scoring!$J$34</f>
        <v>0</v>
      </c>
      <c r="O696" s="66">
        <f>C697*Scoring!$B$34+D697/Scoring!$C$34+E697*Scoring!$D$34+WR!F697*Scoring!$E$34+WR!G697/Scoring!$F$34+WR!H697*Scoring!$G$34+WR!I697*Scoring!$H$34+K697*Scoring!$I$34+WR!L697*Scoring!$J$34</f>
        <v>0</v>
      </c>
    </row>
    <row r="697" spans="11:15" ht="14.25" customHeight="1" x14ac:dyDescent="0.3">
      <c r="K697" s="64">
        <f t="shared" si="20"/>
        <v>0</v>
      </c>
      <c r="L697" s="64">
        <f t="shared" si="21"/>
        <v>0</v>
      </c>
      <c r="M697" s="67"/>
      <c r="N697" s="67"/>
      <c r="O697" s="67"/>
    </row>
    <row r="698" spans="11:15" ht="14.25" customHeight="1" x14ac:dyDescent="0.3">
      <c r="K698" s="64">
        <f t="shared" si="20"/>
        <v>0</v>
      </c>
      <c r="L698" s="64">
        <f t="shared" si="21"/>
        <v>0</v>
      </c>
      <c r="M698" s="67"/>
      <c r="N698" s="67"/>
      <c r="O698" s="6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70"/>
  <sheetViews>
    <sheetView zoomScaleNormal="100" workbookViewId="0">
      <selection activeCell="M13" sqref="M13"/>
    </sheetView>
  </sheetViews>
  <sheetFormatPr defaultColWidth="8.5546875" defaultRowHeight="14.4" x14ac:dyDescent="0.3"/>
  <cols>
    <col min="8" max="8" width="6.33203125" style="63" customWidth="1"/>
    <col min="9" max="11" width="5.5546875" customWidth="1"/>
  </cols>
  <sheetData>
    <row r="1" spans="1:11" ht="14.25" customHeight="1" x14ac:dyDescent="0.3">
      <c r="A1" t="s">
        <v>461</v>
      </c>
      <c r="B1" t="s">
        <v>350</v>
      </c>
      <c r="C1" t="s">
        <v>583</v>
      </c>
      <c r="D1" t="s">
        <v>464</v>
      </c>
      <c r="E1" t="s">
        <v>465</v>
      </c>
      <c r="F1" t="s">
        <v>49</v>
      </c>
      <c r="G1" t="s">
        <v>466</v>
      </c>
      <c r="H1" s="63" t="s">
        <v>55</v>
      </c>
      <c r="I1" s="55" t="s">
        <v>353</v>
      </c>
      <c r="J1" s="55" t="s">
        <v>354</v>
      </c>
      <c r="K1" s="55" t="s">
        <v>355</v>
      </c>
    </row>
    <row r="2" spans="1:11" ht="14.25" customHeight="1" x14ac:dyDescent="0.3">
      <c r="A2" t="s">
        <v>469</v>
      </c>
      <c r="I2" s="55"/>
      <c r="J2" s="55"/>
      <c r="K2" s="55"/>
    </row>
    <row r="3" spans="1:11" ht="14.25" customHeight="1" x14ac:dyDescent="0.3">
      <c r="A3" t="s">
        <v>901</v>
      </c>
      <c r="B3" t="s">
        <v>527</v>
      </c>
      <c r="C3">
        <v>108.9</v>
      </c>
      <c r="D3">
        <v>1068.9000000000001</v>
      </c>
      <c r="E3">
        <v>6.8</v>
      </c>
      <c r="F3">
        <v>0.2</v>
      </c>
      <c r="G3">
        <v>201.5</v>
      </c>
      <c r="H3" s="64">
        <f t="shared" ref="H3:H66" si="0">IFERROR(D3/C3/11.1*0.585*C3,0)</f>
        <v>56.333918918918918</v>
      </c>
      <c r="I3" s="66">
        <f>C5*Scoring!$B$36+TE!D5/Scoring!$C$36+TE!E5*Scoring!$D$36+TE!F5*Scoring!$E$36+H5*Scoring!$F$36</f>
        <v>185.07999999999998</v>
      </c>
      <c r="J3" s="66">
        <f>C3*Scoring!$B$36+TE!D3/Scoring!$C$36+TE!E3*Scoring!$D$36+TE!F3*Scoring!$E$36+H3*Scoring!$F$36</f>
        <v>201.74000000000004</v>
      </c>
      <c r="K3" s="66">
        <f>C4*Scoring!$B$36+TE!D4/Scoring!$C$36+TE!E4*Scoring!$D$36+TE!F4*Scoring!$E$36+H4*Scoring!$F$36</f>
        <v>219</v>
      </c>
    </row>
    <row r="4" spans="1:11" ht="14.25" customHeight="1" x14ac:dyDescent="0.3">
      <c r="B4" t="s">
        <v>472</v>
      </c>
      <c r="C4">
        <v>115</v>
      </c>
      <c r="D4">
        <v>1135</v>
      </c>
      <c r="E4">
        <v>8</v>
      </c>
      <c r="F4">
        <v>0</v>
      </c>
      <c r="G4">
        <v>253.4</v>
      </c>
      <c r="H4" s="64">
        <f t="shared" si="0"/>
        <v>59.817567567567572</v>
      </c>
      <c r="I4" s="68"/>
      <c r="J4" s="68"/>
      <c r="K4" s="68"/>
    </row>
    <row r="5" spans="1:11" ht="14.25" customHeight="1" x14ac:dyDescent="0.3">
      <c r="B5" t="s">
        <v>473</v>
      </c>
      <c r="C5">
        <v>104</v>
      </c>
      <c r="D5">
        <v>1022.8</v>
      </c>
      <c r="E5">
        <v>5.3</v>
      </c>
      <c r="F5">
        <v>0.5</v>
      </c>
      <c r="G5">
        <v>188.4</v>
      </c>
      <c r="H5" s="64">
        <f t="shared" si="0"/>
        <v>53.904324324324321</v>
      </c>
      <c r="I5" s="68"/>
      <c r="J5" s="68"/>
      <c r="K5" s="68"/>
    </row>
    <row r="6" spans="1:11" ht="14.25" customHeight="1" x14ac:dyDescent="0.3">
      <c r="A6" t="s">
        <v>902</v>
      </c>
      <c r="B6" t="s">
        <v>531</v>
      </c>
      <c r="C6">
        <v>99</v>
      </c>
      <c r="D6">
        <v>1023</v>
      </c>
      <c r="E6">
        <v>8</v>
      </c>
      <c r="F6">
        <v>0.2</v>
      </c>
      <c r="G6">
        <v>195.4</v>
      </c>
      <c r="H6" s="64">
        <f t="shared" si="0"/>
        <v>53.91486486486486</v>
      </c>
      <c r="I6" s="66">
        <f>C8*Scoring!$B$36+TE!D8/Scoring!$C$36+TE!E8*Scoring!$D$36+TE!F8*Scoring!$E$36+H8*Scoring!$F$36</f>
        <v>184.89999999999998</v>
      </c>
      <c r="J6" s="66">
        <f>C6*Scoring!$B$36+TE!D6/Scoring!$C$36+TE!E6*Scoring!$D$36+TE!F6*Scoring!$E$36+H6*Scoring!$F$36</f>
        <v>199.4</v>
      </c>
      <c r="K6" s="66">
        <f>C7*Scoring!$B$36+TE!D7/Scoring!$C$36+TE!E7*Scoring!$D$36+TE!F7*Scoring!$E$36+H7*Scoring!$F$36</f>
        <v>214.3</v>
      </c>
    </row>
    <row r="7" spans="1:11" ht="14.25" customHeight="1" x14ac:dyDescent="0.3">
      <c r="B7" t="s">
        <v>472</v>
      </c>
      <c r="C7">
        <v>103</v>
      </c>
      <c r="D7">
        <v>1088</v>
      </c>
      <c r="E7">
        <v>9</v>
      </c>
      <c r="F7">
        <v>0</v>
      </c>
      <c r="G7">
        <v>250.6</v>
      </c>
      <c r="H7" s="64">
        <f t="shared" si="0"/>
        <v>57.340540540540538</v>
      </c>
      <c r="I7" s="68"/>
      <c r="J7" s="68"/>
      <c r="K7" s="68"/>
    </row>
    <row r="8" spans="1:11" ht="14.25" customHeight="1" x14ac:dyDescent="0.3">
      <c r="B8" t="s">
        <v>473</v>
      </c>
      <c r="C8">
        <v>91</v>
      </c>
      <c r="D8">
        <v>982</v>
      </c>
      <c r="E8">
        <v>7</v>
      </c>
      <c r="F8">
        <v>0.4</v>
      </c>
      <c r="G8">
        <v>190.5</v>
      </c>
      <c r="H8" s="64">
        <f t="shared" si="0"/>
        <v>51.754054054054052</v>
      </c>
      <c r="I8" s="68"/>
      <c r="J8" s="68"/>
      <c r="K8" s="68"/>
    </row>
    <row r="9" spans="1:11" ht="14.25" customHeight="1" x14ac:dyDescent="0.3">
      <c r="A9" t="s">
        <v>903</v>
      </c>
      <c r="B9" t="s">
        <v>495</v>
      </c>
      <c r="C9">
        <v>79.3</v>
      </c>
      <c r="D9">
        <v>928.3</v>
      </c>
      <c r="E9">
        <v>6.7</v>
      </c>
      <c r="F9">
        <v>0.2</v>
      </c>
      <c r="G9">
        <v>172.1</v>
      </c>
      <c r="H9" s="64">
        <f t="shared" si="0"/>
        <v>48.923918918918915</v>
      </c>
      <c r="I9" s="66">
        <f>C11*Scoring!$B$36+TE!D11/Scoring!$C$36+TE!E11*Scoring!$D$36+TE!F11*Scoring!$E$36+H11*Scoring!$F$36</f>
        <v>156.5</v>
      </c>
      <c r="J9" s="66">
        <f>C9*Scoring!$B$36+TE!D9/Scoring!$C$36+TE!E9*Scoring!$D$36+TE!F9*Scoring!$E$36+H9*Scoring!$F$36</f>
        <v>172.28</v>
      </c>
      <c r="K9" s="66">
        <f>C10*Scoring!$B$36+TE!D10/Scoring!$C$36+TE!E10*Scoring!$D$36+TE!F10*Scoring!$E$36+H10*Scoring!$F$36</f>
        <v>193.6</v>
      </c>
    </row>
    <row r="10" spans="1:11" ht="14.25" customHeight="1" x14ac:dyDescent="0.3">
      <c r="B10" t="s">
        <v>472</v>
      </c>
      <c r="C10">
        <v>84</v>
      </c>
      <c r="D10">
        <v>1036</v>
      </c>
      <c r="E10">
        <v>8</v>
      </c>
      <c r="F10">
        <v>0</v>
      </c>
      <c r="G10">
        <v>197</v>
      </c>
      <c r="H10" s="64">
        <f t="shared" si="0"/>
        <v>54.6</v>
      </c>
      <c r="I10" s="68"/>
      <c r="J10" s="68"/>
      <c r="K10" s="68"/>
    </row>
    <row r="11" spans="1:11" ht="14.25" customHeight="1" x14ac:dyDescent="0.3">
      <c r="B11" t="s">
        <v>473</v>
      </c>
      <c r="C11">
        <v>73</v>
      </c>
      <c r="D11">
        <v>848</v>
      </c>
      <c r="E11">
        <v>6</v>
      </c>
      <c r="F11">
        <v>0.4</v>
      </c>
      <c r="G11">
        <v>165.6</v>
      </c>
      <c r="H11" s="64">
        <f t="shared" si="0"/>
        <v>44.691891891891885</v>
      </c>
      <c r="I11" s="68"/>
      <c r="J11" s="68"/>
      <c r="K11" s="68"/>
    </row>
    <row r="12" spans="1:11" ht="14.25" customHeight="1" x14ac:dyDescent="0.3">
      <c r="A12" t="s">
        <v>904</v>
      </c>
      <c r="B12" t="s">
        <v>511</v>
      </c>
      <c r="C12">
        <v>78.900000000000006</v>
      </c>
      <c r="D12">
        <v>877.8</v>
      </c>
      <c r="E12">
        <v>5.5</v>
      </c>
      <c r="F12">
        <v>0.3</v>
      </c>
      <c r="G12">
        <v>159.69999999999999</v>
      </c>
      <c r="H12" s="64">
        <f t="shared" si="0"/>
        <v>46.262432432432426</v>
      </c>
      <c r="I12" s="66">
        <f>C14*Scoring!$B$36+TE!D14/Scoring!$C$36+TE!E14*Scoring!$D$36+TE!F14*Scoring!$E$36+H14*Scoring!$F$36</f>
        <v>149.4</v>
      </c>
      <c r="J12" s="66">
        <f>C12*Scoring!$B$36+TE!D12/Scoring!$C$36+TE!E12*Scoring!$D$36+TE!F12*Scoring!$E$36+H12*Scoring!$F$36</f>
        <v>159.63000000000002</v>
      </c>
      <c r="K12" s="66">
        <f>C13*Scoring!$B$36+TE!D13/Scoring!$C$36+TE!E13*Scoring!$D$36+TE!F13*Scoring!$E$36+H13*Scoring!$F$36</f>
        <v>168.7</v>
      </c>
    </row>
    <row r="13" spans="1:11" ht="14.25" customHeight="1" x14ac:dyDescent="0.3">
      <c r="B13" t="s">
        <v>472</v>
      </c>
      <c r="C13">
        <v>84.6</v>
      </c>
      <c r="D13">
        <v>904</v>
      </c>
      <c r="E13">
        <v>6</v>
      </c>
      <c r="F13">
        <v>0</v>
      </c>
      <c r="G13">
        <v>192</v>
      </c>
      <c r="H13" s="64">
        <f t="shared" si="0"/>
        <v>47.643243243243234</v>
      </c>
      <c r="I13" s="68"/>
      <c r="J13" s="68"/>
      <c r="K13" s="68"/>
    </row>
    <row r="14" spans="1:11" ht="14.25" customHeight="1" x14ac:dyDescent="0.3">
      <c r="B14" t="s">
        <v>473</v>
      </c>
      <c r="C14">
        <v>74</v>
      </c>
      <c r="D14">
        <v>836</v>
      </c>
      <c r="E14">
        <v>5</v>
      </c>
      <c r="F14">
        <v>0.6</v>
      </c>
      <c r="G14">
        <v>164.4</v>
      </c>
      <c r="H14" s="64">
        <f t="shared" si="0"/>
        <v>44.059459459459461</v>
      </c>
      <c r="I14" s="68"/>
      <c r="J14" s="68"/>
      <c r="K14" s="68"/>
    </row>
    <row r="15" spans="1:11" ht="14.25" customHeight="1" x14ac:dyDescent="0.3">
      <c r="A15" t="s">
        <v>906</v>
      </c>
      <c r="B15" t="s">
        <v>535</v>
      </c>
      <c r="C15">
        <v>82.6</v>
      </c>
      <c r="D15">
        <v>834.3</v>
      </c>
      <c r="E15">
        <v>5.7</v>
      </c>
      <c r="F15">
        <v>0.8</v>
      </c>
      <c r="G15">
        <v>157.5</v>
      </c>
      <c r="H15" s="64">
        <f t="shared" si="0"/>
        <v>43.969864864864867</v>
      </c>
      <c r="I15" s="66">
        <f>C17*Scoring!$B$36+TE!D17/Scoring!$C$36+TE!E17*Scoring!$D$36+TE!F17*Scoring!$E$36+H17*Scoring!$F$36</f>
        <v>135.80000000000001</v>
      </c>
      <c r="J15" s="66">
        <f>C15*Scoring!$B$36+TE!D15/Scoring!$C$36+TE!E15*Scoring!$D$36+TE!F15*Scoring!$E$36+H15*Scoring!$F$36</f>
        <v>157.33000000000001</v>
      </c>
      <c r="K15" s="66">
        <f>C16*Scoring!$B$36+TE!D16/Scoring!$C$36+TE!E16*Scoring!$D$36+TE!F16*Scoring!$E$36+H16*Scoring!$F$36</f>
        <v>184</v>
      </c>
    </row>
    <row r="16" spans="1:11" ht="14.25" customHeight="1" x14ac:dyDescent="0.3">
      <c r="B16" t="s">
        <v>472</v>
      </c>
      <c r="C16">
        <v>87</v>
      </c>
      <c r="D16">
        <v>877</v>
      </c>
      <c r="E16">
        <v>9</v>
      </c>
      <c r="F16">
        <v>0.6</v>
      </c>
      <c r="G16">
        <v>189.9</v>
      </c>
      <c r="H16" s="64">
        <f t="shared" si="0"/>
        <v>46.220270270270262</v>
      </c>
      <c r="I16" s="68"/>
      <c r="J16" s="68"/>
      <c r="K16" s="68"/>
    </row>
    <row r="17" spans="1:11" ht="14.25" customHeight="1" x14ac:dyDescent="0.3">
      <c r="B17" t="s">
        <v>473</v>
      </c>
      <c r="C17">
        <v>77</v>
      </c>
      <c r="D17">
        <v>801</v>
      </c>
      <c r="E17">
        <v>3.2</v>
      </c>
      <c r="F17">
        <v>1</v>
      </c>
      <c r="G17">
        <v>146.4</v>
      </c>
      <c r="H17" s="64">
        <f t="shared" si="0"/>
        <v>42.214864864864865</v>
      </c>
      <c r="I17" s="68"/>
      <c r="J17" s="68"/>
      <c r="K17" s="68"/>
    </row>
    <row r="18" spans="1:11" ht="14.25" customHeight="1" x14ac:dyDescent="0.3">
      <c r="A18" t="s">
        <v>908</v>
      </c>
      <c r="B18" t="s">
        <v>487</v>
      </c>
      <c r="C18">
        <v>70.2</v>
      </c>
      <c r="D18">
        <v>796.2</v>
      </c>
      <c r="E18">
        <v>6.2</v>
      </c>
      <c r="F18">
        <v>0.2</v>
      </c>
      <c r="G18">
        <v>151.69999999999999</v>
      </c>
      <c r="H18" s="64">
        <f t="shared" si="0"/>
        <v>41.961891891891895</v>
      </c>
      <c r="I18" s="66">
        <f>C20*Scoring!$B$36+TE!D20/Scoring!$C$36+TE!E20*Scoring!$D$36+TE!F20*Scoring!$E$36+H20*Scoring!$F$36</f>
        <v>123.2</v>
      </c>
      <c r="J18" s="66">
        <f>C18*Scoring!$B$36+TE!D18/Scoring!$C$36+TE!E18*Scoring!$D$36+TE!F18*Scoring!$E$36+H18*Scoring!$F$36</f>
        <v>151.52000000000001</v>
      </c>
      <c r="K18" s="66">
        <f>C19*Scoring!$B$36+TE!D19/Scoring!$C$36+TE!E19*Scoring!$D$36+TE!F19*Scoring!$E$36+H19*Scoring!$F$36</f>
        <v>177</v>
      </c>
    </row>
    <row r="19" spans="1:11" ht="14.25" customHeight="1" x14ac:dyDescent="0.3">
      <c r="B19" t="s">
        <v>472</v>
      </c>
      <c r="C19">
        <v>77</v>
      </c>
      <c r="D19">
        <v>905</v>
      </c>
      <c r="E19">
        <v>8</v>
      </c>
      <c r="F19">
        <v>0</v>
      </c>
      <c r="G19">
        <v>166.1</v>
      </c>
      <c r="H19" s="64">
        <f t="shared" si="0"/>
        <v>47.695945945945944</v>
      </c>
      <c r="I19" s="68"/>
      <c r="J19" s="68"/>
      <c r="K19" s="68"/>
    </row>
    <row r="20" spans="1:11" ht="14.25" customHeight="1" x14ac:dyDescent="0.3">
      <c r="B20" t="s">
        <v>473</v>
      </c>
      <c r="C20">
        <v>57</v>
      </c>
      <c r="D20">
        <v>655</v>
      </c>
      <c r="E20">
        <v>5</v>
      </c>
      <c r="F20">
        <v>0.4</v>
      </c>
      <c r="G20">
        <v>152</v>
      </c>
      <c r="H20" s="64">
        <f t="shared" si="0"/>
        <v>34.520270270270267</v>
      </c>
      <c r="I20" s="68"/>
      <c r="J20" s="68"/>
      <c r="K20" s="68"/>
    </row>
    <row r="21" spans="1:11" ht="14.25" customHeight="1" x14ac:dyDescent="0.3">
      <c r="A21" t="s">
        <v>910</v>
      </c>
      <c r="B21" t="s">
        <v>503</v>
      </c>
      <c r="C21">
        <v>70.5</v>
      </c>
      <c r="D21">
        <v>814</v>
      </c>
      <c r="E21">
        <v>5.5</v>
      </c>
      <c r="F21">
        <v>0.2</v>
      </c>
      <c r="G21">
        <v>149</v>
      </c>
      <c r="H21" s="64">
        <f t="shared" si="0"/>
        <v>42.899999999999991</v>
      </c>
      <c r="I21" s="66">
        <f>C23*Scoring!$B$36+TE!D23/Scoring!$C$36+TE!E23*Scoring!$D$36+TE!F23*Scoring!$E$36+H23*Scoring!$F$36</f>
        <v>134.19999999999999</v>
      </c>
      <c r="J21" s="66">
        <f>C21*Scoring!$B$36+TE!D21/Scoring!$C$36+TE!E21*Scoring!$D$36+TE!F21*Scoring!$E$36+H21*Scoring!$F$36</f>
        <v>149.25</v>
      </c>
      <c r="K21" s="66">
        <f>C22*Scoring!$B$36+TE!D22/Scoring!$C$36+TE!E22*Scoring!$D$36+TE!F22*Scoring!$E$36+H22*Scoring!$F$36</f>
        <v>166.25</v>
      </c>
    </row>
    <row r="22" spans="1:11" ht="14.25" customHeight="1" x14ac:dyDescent="0.3">
      <c r="B22" t="s">
        <v>472</v>
      </c>
      <c r="C22">
        <v>78.5</v>
      </c>
      <c r="D22">
        <v>910</v>
      </c>
      <c r="E22">
        <v>6</v>
      </c>
      <c r="F22">
        <v>0</v>
      </c>
      <c r="G22">
        <v>170.2</v>
      </c>
      <c r="H22" s="64">
        <f t="shared" si="0"/>
        <v>47.959459459459467</v>
      </c>
      <c r="I22" s="68"/>
      <c r="J22" s="68"/>
      <c r="K22" s="68"/>
    </row>
    <row r="23" spans="1:11" ht="14.25" customHeight="1" x14ac:dyDescent="0.3">
      <c r="B23" t="s">
        <v>473</v>
      </c>
      <c r="C23">
        <v>61</v>
      </c>
      <c r="D23">
        <v>745</v>
      </c>
      <c r="E23">
        <v>5</v>
      </c>
      <c r="F23">
        <v>0.4</v>
      </c>
      <c r="G23">
        <v>145.69999999999999</v>
      </c>
      <c r="H23" s="64">
        <f t="shared" si="0"/>
        <v>39.263513513513509</v>
      </c>
      <c r="I23" s="68"/>
      <c r="J23" s="68"/>
      <c r="K23" s="68"/>
    </row>
    <row r="24" spans="1:11" ht="14.25" customHeight="1" x14ac:dyDescent="0.3">
      <c r="A24" t="s">
        <v>905</v>
      </c>
      <c r="B24" t="s">
        <v>533</v>
      </c>
      <c r="C24">
        <v>76.8</v>
      </c>
      <c r="D24">
        <v>844.9</v>
      </c>
      <c r="E24">
        <v>4.4000000000000004</v>
      </c>
      <c r="F24">
        <v>0.1</v>
      </c>
      <c r="G24">
        <v>149</v>
      </c>
      <c r="H24" s="64">
        <f t="shared" si="0"/>
        <v>44.528513513513509</v>
      </c>
      <c r="I24" s="66">
        <f>C26*Scoring!$B$36+TE!D26/Scoring!$C$36+TE!E26*Scoring!$D$36+TE!F26*Scoring!$E$36+H26*Scoring!$F$36</f>
        <v>137.70000000000002</v>
      </c>
      <c r="J24" s="66">
        <f>C24*Scoring!$B$36+TE!D24/Scoring!$C$36+TE!E24*Scoring!$D$36+TE!F24*Scoring!$E$36+H24*Scoring!$F$36</f>
        <v>149.09</v>
      </c>
      <c r="K24" s="66">
        <f>C25*Scoring!$B$36+TE!D25/Scoring!$C$36+TE!E25*Scoring!$D$36+TE!F25*Scoring!$E$36+H25*Scoring!$F$36</f>
        <v>162.01</v>
      </c>
    </row>
    <row r="25" spans="1:11" ht="14.25" customHeight="1" x14ac:dyDescent="0.3">
      <c r="B25" t="s">
        <v>472</v>
      </c>
      <c r="C25">
        <v>80.5</v>
      </c>
      <c r="D25">
        <v>857.6</v>
      </c>
      <c r="E25">
        <v>6</v>
      </c>
      <c r="F25">
        <v>0</v>
      </c>
      <c r="G25">
        <v>186</v>
      </c>
      <c r="H25" s="64">
        <f t="shared" si="0"/>
        <v>45.197837837837845</v>
      </c>
      <c r="I25" s="68"/>
      <c r="J25" s="68"/>
      <c r="K25" s="68"/>
    </row>
    <row r="26" spans="1:11" ht="14.25" customHeight="1" x14ac:dyDescent="0.3">
      <c r="B26" t="s">
        <v>473</v>
      </c>
      <c r="C26">
        <v>74</v>
      </c>
      <c r="D26">
        <v>821</v>
      </c>
      <c r="E26">
        <v>3.2</v>
      </c>
      <c r="F26">
        <v>0.3</v>
      </c>
      <c r="G26">
        <v>143.1</v>
      </c>
      <c r="H26" s="64">
        <f t="shared" si="0"/>
        <v>43.268918918918921</v>
      </c>
      <c r="I26" s="68"/>
      <c r="J26" s="68"/>
      <c r="K26" s="68"/>
    </row>
    <row r="27" spans="1:11" ht="14.25" customHeight="1" x14ac:dyDescent="0.3">
      <c r="A27" t="s">
        <v>909</v>
      </c>
      <c r="B27" t="s">
        <v>481</v>
      </c>
      <c r="C27">
        <v>65.5</v>
      </c>
      <c r="D27">
        <v>690.1</v>
      </c>
      <c r="E27">
        <v>7.6</v>
      </c>
      <c r="F27">
        <v>0.2</v>
      </c>
      <c r="G27">
        <v>146.80000000000001</v>
      </c>
      <c r="H27" s="64">
        <f t="shared" si="0"/>
        <v>36.370135135135136</v>
      </c>
      <c r="I27" s="66">
        <f>C29*Scoring!$B$36+TE!D29/Scoring!$C$36+TE!E29*Scoring!$D$36+TE!F29*Scoring!$E$36+H29*Scoring!$F$36</f>
        <v>124.9</v>
      </c>
      <c r="J27" s="66">
        <f>C27*Scoring!$B$36+TE!D27/Scoring!$C$36+TE!E27*Scoring!$D$36+TE!F27*Scoring!$E$36+H27*Scoring!$F$36</f>
        <v>146.96</v>
      </c>
      <c r="K27" s="66">
        <f>C28*Scoring!$B$36+TE!D28/Scoring!$C$36+TE!E28*Scoring!$D$36+TE!F28*Scoring!$E$36+H28*Scoring!$F$36</f>
        <v>173.83999999999997</v>
      </c>
    </row>
    <row r="28" spans="1:11" ht="14.25" customHeight="1" x14ac:dyDescent="0.3">
      <c r="B28" t="s">
        <v>472</v>
      </c>
      <c r="C28">
        <v>70.599999999999994</v>
      </c>
      <c r="D28">
        <v>725.4</v>
      </c>
      <c r="E28">
        <v>11</v>
      </c>
      <c r="F28">
        <v>0</v>
      </c>
      <c r="G28">
        <v>168.8</v>
      </c>
      <c r="H28" s="64">
        <f t="shared" si="0"/>
        <v>38.230540540540538</v>
      </c>
      <c r="I28" s="68"/>
      <c r="J28" s="68"/>
      <c r="K28" s="68"/>
    </row>
    <row r="29" spans="1:11" ht="14.25" customHeight="1" x14ac:dyDescent="0.3">
      <c r="B29" t="s">
        <v>473</v>
      </c>
      <c r="C29">
        <v>58</v>
      </c>
      <c r="D29">
        <v>625</v>
      </c>
      <c r="E29">
        <v>5.7</v>
      </c>
      <c r="F29">
        <v>0.4</v>
      </c>
      <c r="G29">
        <v>139.1</v>
      </c>
      <c r="H29" s="64">
        <f t="shared" si="0"/>
        <v>32.939189189189193</v>
      </c>
      <c r="I29" s="68"/>
      <c r="J29" s="68"/>
      <c r="K29" s="68"/>
    </row>
    <row r="30" spans="1:11" ht="14.25" customHeight="1" x14ac:dyDescent="0.3">
      <c r="A30" t="s">
        <v>911</v>
      </c>
      <c r="B30" t="s">
        <v>493</v>
      </c>
      <c r="C30">
        <v>74.900000000000006</v>
      </c>
      <c r="D30">
        <v>784.8</v>
      </c>
      <c r="E30">
        <v>4.8</v>
      </c>
      <c r="F30">
        <v>0.3</v>
      </c>
      <c r="G30">
        <v>144.4</v>
      </c>
      <c r="H30" s="64">
        <f t="shared" si="0"/>
        <v>41.361081081081082</v>
      </c>
      <c r="I30" s="66">
        <f>C32*Scoring!$B$36+TE!D32/Scoring!$C$36+TE!E32*Scoring!$D$36+TE!F32*Scoring!$E$36+H32*Scoring!$F$36</f>
        <v>136.54</v>
      </c>
      <c r="J30" s="66">
        <f>C30*Scoring!$B$36+TE!D30/Scoring!$C$36+TE!E30*Scoring!$D$36+TE!F30*Scoring!$E$36+H30*Scoring!$F$36</f>
        <v>144.13</v>
      </c>
      <c r="K30" s="66">
        <f>C31*Scoring!$B$36+TE!D31/Scoring!$C$36+TE!E31*Scoring!$D$36+TE!F31*Scoring!$E$36+H31*Scoring!$F$36</f>
        <v>156.30000000000001</v>
      </c>
    </row>
    <row r="31" spans="1:11" ht="14.25" customHeight="1" x14ac:dyDescent="0.3">
      <c r="B31" t="s">
        <v>472</v>
      </c>
      <c r="C31">
        <v>78</v>
      </c>
      <c r="D31">
        <v>813</v>
      </c>
      <c r="E31">
        <v>6</v>
      </c>
      <c r="F31">
        <v>0</v>
      </c>
      <c r="G31">
        <v>175.1</v>
      </c>
      <c r="H31" s="64">
        <f t="shared" si="0"/>
        <v>42.847297297297295</v>
      </c>
      <c r="I31" s="68"/>
      <c r="J31" s="68"/>
      <c r="K31" s="68"/>
    </row>
    <row r="32" spans="1:11" ht="14.25" customHeight="1" x14ac:dyDescent="0.3">
      <c r="B32" t="s">
        <v>473</v>
      </c>
      <c r="C32">
        <v>73</v>
      </c>
      <c r="D32">
        <v>770.4</v>
      </c>
      <c r="E32">
        <v>4</v>
      </c>
      <c r="F32">
        <v>0.5</v>
      </c>
      <c r="G32">
        <v>140.9</v>
      </c>
      <c r="H32" s="64">
        <f t="shared" si="0"/>
        <v>40.602162162162152</v>
      </c>
      <c r="I32" s="68"/>
      <c r="J32" s="68"/>
      <c r="K32" s="68"/>
    </row>
    <row r="33" spans="1:11" ht="14.25" customHeight="1" x14ac:dyDescent="0.3">
      <c r="A33" t="s">
        <v>907</v>
      </c>
      <c r="B33" t="s">
        <v>515</v>
      </c>
      <c r="C33">
        <v>60</v>
      </c>
      <c r="D33">
        <v>760.8</v>
      </c>
      <c r="E33">
        <v>6.4</v>
      </c>
      <c r="F33">
        <v>0.2</v>
      </c>
      <c r="G33">
        <v>144.1</v>
      </c>
      <c r="H33" s="64">
        <f t="shared" si="0"/>
        <v>40.09621621621622</v>
      </c>
      <c r="I33" s="66">
        <f>C35*Scoring!$B$36+TE!D35/Scoring!$C$36+TE!E35*Scoring!$D$36+TE!F35*Scoring!$E$36+H35*Scoring!$F$36</f>
        <v>124.30000000000001</v>
      </c>
      <c r="J33" s="66">
        <f>C33*Scoring!$B$36+TE!D33/Scoring!$C$36+TE!E33*Scoring!$D$36+TE!F33*Scoring!$E$36+H33*Scoring!$F$36</f>
        <v>144.08000000000001</v>
      </c>
      <c r="K33" s="66">
        <f>C34*Scoring!$B$36+TE!D34/Scoring!$C$36+TE!E34*Scoring!$D$36+TE!F34*Scoring!$E$36+H34*Scoring!$F$36</f>
        <v>172.1</v>
      </c>
    </row>
    <row r="34" spans="1:11" ht="14.25" customHeight="1" x14ac:dyDescent="0.3">
      <c r="B34" t="s">
        <v>472</v>
      </c>
      <c r="C34">
        <v>68</v>
      </c>
      <c r="D34">
        <v>781</v>
      </c>
      <c r="E34">
        <v>10</v>
      </c>
      <c r="F34">
        <v>0</v>
      </c>
      <c r="G34">
        <v>160.9</v>
      </c>
      <c r="H34" s="64">
        <f t="shared" si="0"/>
        <v>41.160810810810801</v>
      </c>
      <c r="I34" s="68"/>
      <c r="J34" s="68"/>
      <c r="K34" s="68"/>
    </row>
    <row r="35" spans="1:11" ht="14.25" customHeight="1" x14ac:dyDescent="0.3">
      <c r="B35" t="s">
        <v>473</v>
      </c>
      <c r="C35">
        <v>55</v>
      </c>
      <c r="D35">
        <v>724</v>
      </c>
      <c r="E35">
        <v>4.2</v>
      </c>
      <c r="F35">
        <v>0.4</v>
      </c>
      <c r="G35">
        <v>134.19999999999999</v>
      </c>
      <c r="H35" s="64">
        <f t="shared" si="0"/>
        <v>38.156756756756756</v>
      </c>
      <c r="I35" s="68"/>
      <c r="J35" s="68"/>
      <c r="K35" s="68"/>
    </row>
    <row r="36" spans="1:11" ht="14.25" customHeight="1" x14ac:dyDescent="0.3">
      <c r="A36" t="s">
        <v>912</v>
      </c>
      <c r="B36" t="s">
        <v>475</v>
      </c>
      <c r="C36">
        <v>59.6</v>
      </c>
      <c r="D36">
        <v>618.20000000000005</v>
      </c>
      <c r="E36">
        <v>7.7</v>
      </c>
      <c r="F36">
        <v>0.3</v>
      </c>
      <c r="G36">
        <v>137.30000000000001</v>
      </c>
      <c r="H36" s="64">
        <f t="shared" si="0"/>
        <v>32.580810810810817</v>
      </c>
      <c r="I36" s="66">
        <f>C38*Scoring!$B$36+TE!D38/Scoring!$C$36+TE!E38*Scoring!$D$36+TE!F38*Scoring!$E$36+H38*Scoring!$F$36</f>
        <v>123.25</v>
      </c>
      <c r="J36" s="66">
        <f>C36*Scoring!$B$36+TE!D36/Scoring!$C$36+TE!E36*Scoring!$D$36+TE!F36*Scoring!$E$36+H36*Scoring!$F$36</f>
        <v>137.22</v>
      </c>
      <c r="K36" s="66">
        <f>C37*Scoring!$B$36+TE!D37/Scoring!$C$36+TE!E37*Scoring!$D$36+TE!F37*Scoring!$E$36+H37*Scoring!$F$36</f>
        <v>155</v>
      </c>
    </row>
    <row r="37" spans="1:11" ht="14.25" customHeight="1" x14ac:dyDescent="0.3">
      <c r="B37" t="s">
        <v>472</v>
      </c>
      <c r="C37">
        <v>61</v>
      </c>
      <c r="D37">
        <v>645</v>
      </c>
      <c r="E37">
        <v>10</v>
      </c>
      <c r="F37">
        <v>0</v>
      </c>
      <c r="G37">
        <v>160.80000000000001</v>
      </c>
      <c r="H37" s="64">
        <f t="shared" si="0"/>
        <v>33.993243243243235</v>
      </c>
      <c r="I37" s="68"/>
      <c r="J37" s="68"/>
      <c r="K37" s="68"/>
    </row>
    <row r="38" spans="1:11" ht="14.25" customHeight="1" x14ac:dyDescent="0.3">
      <c r="B38" t="s">
        <v>473</v>
      </c>
      <c r="C38">
        <v>57.9</v>
      </c>
      <c r="D38">
        <v>593</v>
      </c>
      <c r="E38">
        <v>6</v>
      </c>
      <c r="F38">
        <v>0.5</v>
      </c>
      <c r="G38">
        <v>141</v>
      </c>
      <c r="H38" s="64">
        <f t="shared" si="0"/>
        <v>31.252702702702699</v>
      </c>
      <c r="I38" s="68"/>
      <c r="J38" s="68"/>
      <c r="K38" s="68"/>
    </row>
    <row r="39" spans="1:11" ht="14.25" customHeight="1" x14ac:dyDescent="0.3">
      <c r="A39" t="s">
        <v>913</v>
      </c>
      <c r="B39" t="s">
        <v>485</v>
      </c>
      <c r="C39">
        <v>63.7</v>
      </c>
      <c r="D39">
        <v>744.4</v>
      </c>
      <c r="E39">
        <v>5</v>
      </c>
      <c r="F39">
        <v>1.3</v>
      </c>
      <c r="G39">
        <v>133.9</v>
      </c>
      <c r="H39" s="64">
        <f t="shared" si="0"/>
        <v>39.231891891891891</v>
      </c>
      <c r="I39" s="66">
        <f>C41*Scoring!$B$36+TE!D41/Scoring!$C$36+TE!E41*Scoring!$D$36+TE!F41*Scoring!$E$36+H41*Scoring!$F$36</f>
        <v>113.6</v>
      </c>
      <c r="J39" s="66">
        <f>C39*Scoring!$B$36+TE!D39/Scoring!$C$36+TE!E39*Scoring!$D$36+TE!F39*Scoring!$E$36+H39*Scoring!$F$36</f>
        <v>133.69</v>
      </c>
      <c r="K39" s="66">
        <f>C40*Scoring!$B$36+TE!D40/Scoring!$C$36+TE!E40*Scoring!$D$36+TE!F40*Scoring!$E$36+H40*Scoring!$F$36</f>
        <v>166.5</v>
      </c>
    </row>
    <row r="40" spans="1:11" ht="14.25" customHeight="1" x14ac:dyDescent="0.3">
      <c r="B40" t="s">
        <v>472</v>
      </c>
      <c r="C40">
        <v>72</v>
      </c>
      <c r="D40">
        <v>895</v>
      </c>
      <c r="E40">
        <v>7</v>
      </c>
      <c r="F40">
        <v>0.5</v>
      </c>
      <c r="G40">
        <v>150.80000000000001</v>
      </c>
      <c r="H40" s="64">
        <f t="shared" si="0"/>
        <v>47.168918918918919</v>
      </c>
      <c r="I40" s="68"/>
      <c r="J40" s="68"/>
      <c r="K40" s="68"/>
    </row>
    <row r="41" spans="1:11" ht="14.25" customHeight="1" x14ac:dyDescent="0.3">
      <c r="B41" t="s">
        <v>473</v>
      </c>
      <c r="C41">
        <v>56</v>
      </c>
      <c r="D41">
        <v>656</v>
      </c>
      <c r="E41">
        <v>4</v>
      </c>
      <c r="F41">
        <v>2</v>
      </c>
      <c r="G41">
        <v>123.9</v>
      </c>
      <c r="H41" s="64">
        <f t="shared" si="0"/>
        <v>34.57297297297297</v>
      </c>
      <c r="I41" s="68"/>
      <c r="J41" s="68"/>
      <c r="K41" s="68"/>
    </row>
    <row r="42" spans="1:11" ht="14.25" customHeight="1" x14ac:dyDescent="0.3">
      <c r="A42" t="s">
        <v>914</v>
      </c>
      <c r="B42" t="s">
        <v>471</v>
      </c>
      <c r="C42">
        <v>56.8</v>
      </c>
      <c r="D42">
        <v>706.3</v>
      </c>
      <c r="E42">
        <v>5.5</v>
      </c>
      <c r="F42">
        <v>0.2</v>
      </c>
      <c r="G42">
        <v>131.4</v>
      </c>
      <c r="H42" s="64">
        <f t="shared" si="0"/>
        <v>37.223918918918919</v>
      </c>
      <c r="I42" s="66">
        <f>C44*Scoring!$B$36+TE!D44/Scoring!$C$36+TE!E44*Scoring!$D$36+TE!F44*Scoring!$E$36+H44*Scoring!$F$36</f>
        <v>115.9</v>
      </c>
      <c r="J42" s="66">
        <f>C42*Scoring!$B$36+TE!D42/Scoring!$C$36+TE!E42*Scoring!$D$36+TE!F42*Scoring!$E$36+H42*Scoring!$F$36</f>
        <v>131.63</v>
      </c>
      <c r="K42" s="66">
        <f>C43*Scoring!$B$36+TE!D43/Scoring!$C$36+TE!E43*Scoring!$D$36+TE!F43*Scoring!$E$36+H43*Scoring!$F$36</f>
        <v>149.25</v>
      </c>
    </row>
    <row r="43" spans="1:11" ht="14.25" customHeight="1" x14ac:dyDescent="0.3">
      <c r="B43" t="s">
        <v>472</v>
      </c>
      <c r="C43">
        <v>59.3</v>
      </c>
      <c r="D43">
        <v>776</v>
      </c>
      <c r="E43">
        <v>7</v>
      </c>
      <c r="F43">
        <v>0</v>
      </c>
      <c r="G43">
        <v>148.9</v>
      </c>
      <c r="H43" s="64">
        <f t="shared" si="0"/>
        <v>40.897297297297307</v>
      </c>
      <c r="I43" s="68"/>
      <c r="J43" s="68"/>
      <c r="K43" s="68"/>
    </row>
    <row r="44" spans="1:11" ht="14.25" customHeight="1" x14ac:dyDescent="0.3">
      <c r="B44" t="s">
        <v>473</v>
      </c>
      <c r="C44">
        <v>52</v>
      </c>
      <c r="D44">
        <v>645</v>
      </c>
      <c r="E44">
        <v>4.4000000000000004</v>
      </c>
      <c r="F44">
        <v>0.5</v>
      </c>
      <c r="G44">
        <v>124.7</v>
      </c>
      <c r="H44" s="64">
        <f t="shared" si="0"/>
        <v>33.993243243243235</v>
      </c>
      <c r="I44" s="68"/>
      <c r="J44" s="68"/>
      <c r="K44" s="68"/>
    </row>
    <row r="45" spans="1:11" ht="14.25" customHeight="1" x14ac:dyDescent="0.3">
      <c r="A45" t="s">
        <v>915</v>
      </c>
      <c r="B45" t="s">
        <v>491</v>
      </c>
      <c r="C45">
        <v>74</v>
      </c>
      <c r="D45">
        <v>605.6</v>
      </c>
      <c r="E45">
        <v>5.9</v>
      </c>
      <c r="F45">
        <v>1.4</v>
      </c>
      <c r="G45">
        <v>130.4</v>
      </c>
      <c r="H45" s="64">
        <f t="shared" si="0"/>
        <v>31.916756756756758</v>
      </c>
      <c r="I45" s="66">
        <f>C47*Scoring!$B$36+TE!D47/Scoring!$C$36+TE!E47*Scoring!$D$36+TE!F47*Scoring!$E$36+H47*Scoring!$F$36</f>
        <v>120</v>
      </c>
      <c r="J45" s="66">
        <f>C45*Scoring!$B$36+TE!D45/Scoring!$C$36+TE!E45*Scoring!$D$36+TE!F45*Scoring!$E$36+H45*Scoring!$F$36</f>
        <v>130.16</v>
      </c>
      <c r="K45" s="66">
        <f>C46*Scoring!$B$36+TE!D46/Scoring!$C$36+TE!E46*Scoring!$D$36+TE!F46*Scoring!$E$36+H46*Scoring!$F$36</f>
        <v>142.80000000000001</v>
      </c>
    </row>
    <row r="46" spans="1:11" ht="14.25" customHeight="1" x14ac:dyDescent="0.3">
      <c r="B46" t="s">
        <v>472</v>
      </c>
      <c r="C46">
        <v>78</v>
      </c>
      <c r="D46">
        <v>634</v>
      </c>
      <c r="E46">
        <v>7</v>
      </c>
      <c r="F46">
        <v>0.8</v>
      </c>
      <c r="G46">
        <v>161</v>
      </c>
      <c r="H46" s="64">
        <f t="shared" si="0"/>
        <v>33.413513513513507</v>
      </c>
      <c r="I46" s="68"/>
      <c r="J46" s="68"/>
      <c r="K46" s="68"/>
    </row>
    <row r="47" spans="1:11" ht="14.25" customHeight="1" x14ac:dyDescent="0.3">
      <c r="B47" t="s">
        <v>473</v>
      </c>
      <c r="C47">
        <v>71</v>
      </c>
      <c r="D47">
        <v>585</v>
      </c>
      <c r="E47">
        <v>5</v>
      </c>
      <c r="F47">
        <v>2</v>
      </c>
      <c r="G47">
        <v>130</v>
      </c>
      <c r="H47" s="64">
        <f t="shared" si="0"/>
        <v>30.831081081081081</v>
      </c>
      <c r="I47" s="68"/>
      <c r="J47" s="68"/>
      <c r="K47" s="68"/>
    </row>
    <row r="48" spans="1:11" ht="14.25" customHeight="1" x14ac:dyDescent="0.3">
      <c r="A48" t="s">
        <v>916</v>
      </c>
      <c r="B48" t="s">
        <v>477</v>
      </c>
      <c r="C48">
        <v>55.9</v>
      </c>
      <c r="D48">
        <v>651.70000000000005</v>
      </c>
      <c r="E48">
        <v>5.4</v>
      </c>
      <c r="F48">
        <v>0.1</v>
      </c>
      <c r="G48">
        <v>125.5</v>
      </c>
      <c r="H48" s="64">
        <f t="shared" si="0"/>
        <v>34.346351351351352</v>
      </c>
      <c r="I48" s="66">
        <f>C50*Scoring!$B$36+TE!D50/Scoring!$C$36+TE!E50*Scoring!$D$36+TE!F50*Scoring!$E$36+H50*Scoring!$F$36</f>
        <v>119.5</v>
      </c>
      <c r="J48" s="66">
        <f>C48*Scoring!$B$36+TE!D48/Scoring!$C$36+TE!E48*Scoring!$D$36+TE!F48*Scoring!$E$36+H48*Scoring!$F$36</f>
        <v>125.32000000000001</v>
      </c>
      <c r="K48" s="66">
        <f>C49*Scoring!$B$36+TE!D49/Scoring!$C$36+TE!E49*Scoring!$D$36+TE!F49*Scoring!$E$36+H49*Scoring!$F$36</f>
        <v>134.69999999999999</v>
      </c>
    </row>
    <row r="49" spans="1:11" ht="14.25" customHeight="1" x14ac:dyDescent="0.3">
      <c r="B49" t="s">
        <v>472</v>
      </c>
      <c r="C49">
        <v>57</v>
      </c>
      <c r="D49">
        <v>702</v>
      </c>
      <c r="E49">
        <v>6</v>
      </c>
      <c r="F49">
        <v>0</v>
      </c>
      <c r="G49">
        <v>147.80000000000001</v>
      </c>
      <c r="H49" s="64">
        <f t="shared" si="0"/>
        <v>36.997297297297294</v>
      </c>
      <c r="I49" s="68"/>
      <c r="J49" s="68"/>
      <c r="K49" s="68"/>
    </row>
    <row r="50" spans="1:11" ht="14.25" customHeight="1" x14ac:dyDescent="0.3">
      <c r="B50" t="s">
        <v>473</v>
      </c>
      <c r="C50">
        <v>55</v>
      </c>
      <c r="D50">
        <v>624</v>
      </c>
      <c r="E50">
        <v>5</v>
      </c>
      <c r="F50">
        <v>0.2</v>
      </c>
      <c r="G50">
        <v>122.6</v>
      </c>
      <c r="H50" s="64">
        <f t="shared" si="0"/>
        <v>32.886486486486483</v>
      </c>
      <c r="I50" s="68"/>
      <c r="J50" s="68"/>
      <c r="K50" s="68"/>
    </row>
    <row r="51" spans="1:11" ht="14.25" customHeight="1" x14ac:dyDescent="0.3">
      <c r="A51" t="s">
        <v>917</v>
      </c>
      <c r="B51" t="s">
        <v>505</v>
      </c>
      <c r="C51">
        <v>65.2</v>
      </c>
      <c r="D51">
        <v>736.3</v>
      </c>
      <c r="E51">
        <v>3.3</v>
      </c>
      <c r="F51">
        <v>1.3</v>
      </c>
      <c r="G51">
        <v>123.3</v>
      </c>
      <c r="H51" s="64">
        <f t="shared" si="0"/>
        <v>38.805</v>
      </c>
      <c r="I51" s="66">
        <f>C53*Scoring!$B$36+TE!D53/Scoring!$C$36+TE!E53*Scoring!$D$36+TE!F53*Scoring!$E$36+H53*Scoring!$F$36</f>
        <v>109.47999999999999</v>
      </c>
      <c r="J51" s="66">
        <f>C51*Scoring!$B$36+TE!D51/Scoring!$C$36+TE!E51*Scoring!$D$36+TE!F51*Scoring!$E$36+H51*Scoring!$F$36</f>
        <v>123.42999999999999</v>
      </c>
      <c r="K51" s="66">
        <f>C52*Scoring!$B$36+TE!D52/Scoring!$C$36+TE!E52*Scoring!$D$36+TE!F52*Scoring!$E$36+H52*Scoring!$F$36</f>
        <v>145.5</v>
      </c>
    </row>
    <row r="52" spans="1:11" ht="14.25" customHeight="1" x14ac:dyDescent="0.3">
      <c r="B52" t="s">
        <v>472</v>
      </c>
      <c r="C52">
        <v>71</v>
      </c>
      <c r="D52">
        <v>872</v>
      </c>
      <c r="E52">
        <v>4</v>
      </c>
      <c r="F52">
        <v>0.6</v>
      </c>
      <c r="G52">
        <v>148.19999999999999</v>
      </c>
      <c r="H52" s="64">
        <f t="shared" si="0"/>
        <v>45.956756756756754</v>
      </c>
      <c r="I52" s="68"/>
      <c r="J52" s="68"/>
      <c r="K52" s="68"/>
    </row>
    <row r="53" spans="1:11" ht="14.25" customHeight="1" x14ac:dyDescent="0.3">
      <c r="B53" t="s">
        <v>473</v>
      </c>
      <c r="C53">
        <v>60</v>
      </c>
      <c r="D53">
        <v>660.8</v>
      </c>
      <c r="E53">
        <v>2.9</v>
      </c>
      <c r="F53">
        <v>2</v>
      </c>
      <c r="G53">
        <v>114.9</v>
      </c>
      <c r="H53" s="64">
        <f t="shared" si="0"/>
        <v>34.825945945945939</v>
      </c>
      <c r="I53" s="68"/>
      <c r="J53" s="68"/>
      <c r="K53" s="68"/>
    </row>
    <row r="54" spans="1:11" ht="14.25" customHeight="1" x14ac:dyDescent="0.3">
      <c r="A54" t="s">
        <v>918</v>
      </c>
      <c r="B54" t="s">
        <v>489</v>
      </c>
      <c r="C54">
        <v>60</v>
      </c>
      <c r="D54">
        <v>661.3</v>
      </c>
      <c r="E54">
        <v>4.3</v>
      </c>
      <c r="F54">
        <v>0.2</v>
      </c>
      <c r="G54">
        <v>121.8</v>
      </c>
      <c r="H54" s="64">
        <f t="shared" si="0"/>
        <v>34.852297297297291</v>
      </c>
      <c r="I54" s="66">
        <f>C56*Scoring!$B$36+TE!D56/Scoring!$C$36+TE!E56*Scoring!$D$36+TE!F56*Scoring!$E$36+H56*Scoring!$F$36</f>
        <v>105.8</v>
      </c>
      <c r="J54" s="66">
        <f>C54*Scoring!$B$36+TE!D54/Scoring!$C$36+TE!E54*Scoring!$D$36+TE!F54*Scoring!$E$36+H54*Scoring!$F$36</f>
        <v>121.52999999999999</v>
      </c>
      <c r="K54" s="66">
        <f>C55*Scoring!$B$36+TE!D55/Scoring!$C$36+TE!E55*Scoring!$D$36+TE!F55*Scoring!$E$36+H55*Scoring!$F$36</f>
        <v>146.4</v>
      </c>
    </row>
    <row r="55" spans="1:11" ht="14.25" customHeight="1" x14ac:dyDescent="0.3">
      <c r="B55" t="s">
        <v>472</v>
      </c>
      <c r="C55">
        <v>70</v>
      </c>
      <c r="D55">
        <v>814</v>
      </c>
      <c r="E55">
        <v>5</v>
      </c>
      <c r="F55">
        <v>0</v>
      </c>
      <c r="G55">
        <v>136.6</v>
      </c>
      <c r="H55" s="64">
        <f t="shared" si="0"/>
        <v>42.9</v>
      </c>
      <c r="I55" s="68"/>
      <c r="J55" s="68"/>
      <c r="K55" s="68"/>
    </row>
    <row r="56" spans="1:11" ht="14.25" customHeight="1" x14ac:dyDescent="0.3">
      <c r="B56" t="s">
        <v>473</v>
      </c>
      <c r="C56">
        <v>51</v>
      </c>
      <c r="D56">
        <v>571</v>
      </c>
      <c r="E56">
        <v>4</v>
      </c>
      <c r="F56">
        <v>0.4</v>
      </c>
      <c r="G56">
        <v>113.5</v>
      </c>
      <c r="H56" s="64">
        <f t="shared" si="0"/>
        <v>30.09324324324324</v>
      </c>
      <c r="I56" s="68"/>
      <c r="J56" s="68"/>
      <c r="K56" s="68"/>
    </row>
    <row r="57" spans="1:11" ht="14.25" customHeight="1" x14ac:dyDescent="0.3">
      <c r="A57" t="s">
        <v>919</v>
      </c>
      <c r="B57" t="s">
        <v>519</v>
      </c>
      <c r="C57">
        <v>65.900000000000006</v>
      </c>
      <c r="D57">
        <v>628.70000000000005</v>
      </c>
      <c r="E57">
        <v>3.4</v>
      </c>
      <c r="F57">
        <v>0.2</v>
      </c>
      <c r="G57">
        <v>115.7</v>
      </c>
      <c r="H57" s="64">
        <f t="shared" si="0"/>
        <v>33.134189189189193</v>
      </c>
      <c r="I57" s="66">
        <f>C59*Scoring!$B$36+TE!D59/Scoring!$C$36+TE!E59*Scoring!$D$36+TE!F59*Scoring!$E$36+H59*Scoring!$F$36</f>
        <v>101.95</v>
      </c>
      <c r="J57" s="66">
        <f>C57*Scoring!$B$36+TE!D57/Scoring!$C$36+TE!E57*Scoring!$D$36+TE!F57*Scoring!$E$36+H57*Scoring!$F$36</f>
        <v>115.82</v>
      </c>
      <c r="K57" s="66">
        <f>C58*Scoring!$B$36+TE!D58/Scoring!$C$36+TE!E58*Scoring!$D$36+TE!F58*Scoring!$E$36+H58*Scoring!$F$36</f>
        <v>128.6</v>
      </c>
    </row>
    <row r="58" spans="1:11" ht="14.25" customHeight="1" x14ac:dyDescent="0.3">
      <c r="B58" t="s">
        <v>472</v>
      </c>
      <c r="C58">
        <v>71</v>
      </c>
      <c r="D58">
        <v>691</v>
      </c>
      <c r="E58">
        <v>4</v>
      </c>
      <c r="F58">
        <v>0</v>
      </c>
      <c r="G58">
        <v>149</v>
      </c>
      <c r="H58" s="64">
        <f t="shared" si="0"/>
        <v>36.417567567567566</v>
      </c>
      <c r="I58" s="68"/>
      <c r="J58" s="68"/>
      <c r="K58" s="68"/>
    </row>
    <row r="59" spans="1:11" ht="14.25" customHeight="1" x14ac:dyDescent="0.3">
      <c r="B59" t="s">
        <v>473</v>
      </c>
      <c r="C59">
        <v>59.7</v>
      </c>
      <c r="D59">
        <v>549</v>
      </c>
      <c r="E59">
        <v>3</v>
      </c>
      <c r="F59">
        <v>0.4</v>
      </c>
      <c r="G59">
        <v>106.2</v>
      </c>
      <c r="H59" s="64">
        <f t="shared" si="0"/>
        <v>28.933783783783781</v>
      </c>
      <c r="I59" s="68"/>
      <c r="J59" s="68"/>
      <c r="K59" s="68"/>
    </row>
    <row r="60" spans="1:11" ht="14.25" customHeight="1" x14ac:dyDescent="0.3">
      <c r="A60" t="s">
        <v>920</v>
      </c>
      <c r="B60" t="s">
        <v>509</v>
      </c>
      <c r="C60">
        <v>64.099999999999994</v>
      </c>
      <c r="D60">
        <v>575.20000000000005</v>
      </c>
      <c r="E60">
        <v>3.3</v>
      </c>
      <c r="F60">
        <v>0.2</v>
      </c>
      <c r="G60">
        <v>108.9</v>
      </c>
      <c r="H60" s="64">
        <f t="shared" si="0"/>
        <v>30.314594594594595</v>
      </c>
      <c r="I60" s="66">
        <f>C62*Scoring!$B$36+TE!D62/Scoring!$C$36+TE!E62*Scoring!$D$36+TE!F62*Scoring!$E$36+H62*Scoring!$F$36</f>
        <v>96.1</v>
      </c>
      <c r="J60" s="66">
        <f>C60*Scoring!$B$36+TE!D60/Scoring!$C$36+TE!E60*Scoring!$D$36+TE!F60*Scoring!$E$36+H60*Scoring!$F$36</f>
        <v>108.96999999999998</v>
      </c>
      <c r="K60" s="66">
        <f>C61*Scoring!$B$36+TE!D61/Scoring!$C$36+TE!E61*Scoring!$D$36+TE!F61*Scoring!$E$36+H61*Scoring!$F$36</f>
        <v>127.07000000000001</v>
      </c>
    </row>
    <row r="61" spans="1:11" ht="14.25" customHeight="1" x14ac:dyDescent="0.3">
      <c r="B61" t="s">
        <v>472</v>
      </c>
      <c r="C61">
        <v>78.2</v>
      </c>
      <c r="D61">
        <v>639.70000000000005</v>
      </c>
      <c r="E61">
        <v>4</v>
      </c>
      <c r="F61">
        <v>0</v>
      </c>
      <c r="G61">
        <v>136.30000000000001</v>
      </c>
      <c r="H61" s="64">
        <f t="shared" si="0"/>
        <v>33.713918918918921</v>
      </c>
      <c r="I61" s="68"/>
      <c r="J61" s="68"/>
      <c r="K61" s="68"/>
    </row>
    <row r="62" spans="1:11" ht="14.25" customHeight="1" x14ac:dyDescent="0.3">
      <c r="B62" t="s">
        <v>473</v>
      </c>
      <c r="C62">
        <v>55</v>
      </c>
      <c r="D62">
        <v>518</v>
      </c>
      <c r="E62">
        <v>2.9</v>
      </c>
      <c r="F62">
        <v>0.3</v>
      </c>
      <c r="G62">
        <v>100</v>
      </c>
      <c r="H62" s="64">
        <f t="shared" si="0"/>
        <v>27.299999999999997</v>
      </c>
      <c r="I62" s="68"/>
      <c r="J62" s="68"/>
      <c r="K62" s="68"/>
    </row>
    <row r="63" spans="1:11" ht="14.25" customHeight="1" x14ac:dyDescent="0.3">
      <c r="A63" t="s">
        <v>921</v>
      </c>
      <c r="B63" t="s">
        <v>529</v>
      </c>
      <c r="C63">
        <v>53</v>
      </c>
      <c r="D63">
        <v>559.6</v>
      </c>
      <c r="E63">
        <v>4.3</v>
      </c>
      <c r="F63">
        <v>0.2</v>
      </c>
      <c r="G63">
        <v>107.6</v>
      </c>
      <c r="H63" s="64">
        <f t="shared" si="0"/>
        <v>29.492432432432437</v>
      </c>
      <c r="I63" s="66">
        <f>C65*Scoring!$B$36+TE!D65/Scoring!$C$36+TE!E65*Scoring!$D$36+TE!F65*Scoring!$E$36+H65*Scoring!$F$36</f>
        <v>89.8</v>
      </c>
      <c r="J63" s="66">
        <f>C63*Scoring!$B$36+TE!D63/Scoring!$C$36+TE!E63*Scoring!$D$36+TE!F63*Scoring!$E$36+H63*Scoring!$F$36</f>
        <v>107.86</v>
      </c>
      <c r="K63" s="66">
        <f>C64*Scoring!$B$36+TE!D64/Scoring!$C$36+TE!E64*Scoring!$D$36+TE!F64*Scoring!$E$36+H64*Scoring!$F$36</f>
        <v>120.22</v>
      </c>
    </row>
    <row r="64" spans="1:11" ht="14.25" customHeight="1" x14ac:dyDescent="0.3">
      <c r="B64" t="s">
        <v>472</v>
      </c>
      <c r="C64">
        <v>59.9</v>
      </c>
      <c r="D64">
        <v>602.70000000000005</v>
      </c>
      <c r="E64">
        <v>5</v>
      </c>
      <c r="F64">
        <v>0</v>
      </c>
      <c r="G64">
        <v>139.6</v>
      </c>
      <c r="H64" s="64">
        <f t="shared" si="0"/>
        <v>31.763918918918922</v>
      </c>
      <c r="I64" s="68"/>
      <c r="J64" s="68"/>
      <c r="K64" s="68"/>
    </row>
    <row r="65" spans="1:11" ht="14.25" customHeight="1" x14ac:dyDescent="0.3">
      <c r="B65" t="s">
        <v>473</v>
      </c>
      <c r="C65">
        <v>46</v>
      </c>
      <c r="D65">
        <v>510</v>
      </c>
      <c r="E65">
        <v>2.8</v>
      </c>
      <c r="F65">
        <v>0.5</v>
      </c>
      <c r="G65">
        <v>100.5</v>
      </c>
      <c r="H65" s="64">
        <f t="shared" si="0"/>
        <v>26.878378378378379</v>
      </c>
      <c r="I65" s="68"/>
      <c r="J65" s="68"/>
      <c r="K65" s="68"/>
    </row>
    <row r="66" spans="1:11" ht="14.25" customHeight="1" x14ac:dyDescent="0.3">
      <c r="A66" t="s">
        <v>922</v>
      </c>
      <c r="B66" t="s">
        <v>513</v>
      </c>
      <c r="C66">
        <v>54.9</v>
      </c>
      <c r="D66">
        <v>620.79999999999995</v>
      </c>
      <c r="E66">
        <v>3.2</v>
      </c>
      <c r="F66">
        <v>1.2</v>
      </c>
      <c r="G66">
        <v>106.4</v>
      </c>
      <c r="H66" s="64">
        <f t="shared" si="0"/>
        <v>32.717837837837834</v>
      </c>
      <c r="I66" s="66">
        <f>C68*Scoring!$B$36+TE!D68/Scoring!$C$36+TE!E68*Scoring!$D$36+TE!F68*Scoring!$E$36+H68*Scoring!$F$36</f>
        <v>89.539999999999992</v>
      </c>
      <c r="J66" s="66">
        <f>C66*Scoring!$B$36+TE!D66/Scoring!$C$36+TE!E66*Scoring!$D$36+TE!F66*Scoring!$E$36+H66*Scoring!$F$36</f>
        <v>106.33</v>
      </c>
      <c r="K66" s="66">
        <f>C67*Scoring!$B$36+TE!D67/Scoring!$C$36+TE!E67*Scoring!$D$36+TE!F67*Scoring!$E$36+H67*Scoring!$F$36</f>
        <v>120.2</v>
      </c>
    </row>
    <row r="67" spans="1:11" ht="14.25" customHeight="1" x14ac:dyDescent="0.3">
      <c r="B67" t="s">
        <v>472</v>
      </c>
      <c r="C67">
        <v>59</v>
      </c>
      <c r="D67">
        <v>675</v>
      </c>
      <c r="E67">
        <v>4</v>
      </c>
      <c r="F67">
        <v>0.4</v>
      </c>
      <c r="G67">
        <v>139</v>
      </c>
      <c r="H67" s="64">
        <f t="shared" ref="H67:H130" si="1">IFERROR(D67/C67/11.1*0.585*C67,0)</f>
        <v>35.574324324324323</v>
      </c>
      <c r="I67" s="68"/>
      <c r="J67" s="68"/>
      <c r="K67" s="68"/>
    </row>
    <row r="68" spans="1:11" ht="14.25" customHeight="1" x14ac:dyDescent="0.3">
      <c r="B68" t="s">
        <v>473</v>
      </c>
      <c r="C68">
        <v>51.6</v>
      </c>
      <c r="D68">
        <v>581.4</v>
      </c>
      <c r="E68">
        <v>1.6</v>
      </c>
      <c r="F68">
        <v>2</v>
      </c>
      <c r="G68">
        <v>94.8</v>
      </c>
      <c r="H68" s="64">
        <f t="shared" si="1"/>
        <v>30.641351351351354</v>
      </c>
      <c r="I68" s="68"/>
      <c r="J68" s="68"/>
      <c r="K68" s="68"/>
    </row>
    <row r="69" spans="1:11" ht="14.25" customHeight="1" x14ac:dyDescent="0.3">
      <c r="A69" t="s">
        <v>923</v>
      </c>
      <c r="B69" t="s">
        <v>523</v>
      </c>
      <c r="C69">
        <v>50.7</v>
      </c>
      <c r="D69">
        <v>558.9</v>
      </c>
      <c r="E69">
        <v>4.3</v>
      </c>
      <c r="F69">
        <v>0.7</v>
      </c>
      <c r="G69">
        <v>105.7</v>
      </c>
      <c r="H69" s="64">
        <f t="shared" si="1"/>
        <v>29.455540540540543</v>
      </c>
      <c r="I69" s="66">
        <f>C71*Scoring!$B$36+TE!D71/Scoring!$C$36+TE!E71*Scoring!$D$36+TE!F71*Scoring!$E$36+H71*Scoring!$F$36</f>
        <v>91.2</v>
      </c>
      <c r="J69" s="66">
        <f>C69*Scoring!$B$36+TE!D69/Scoring!$C$36+TE!E69*Scoring!$D$36+TE!F69*Scoring!$E$36+H69*Scoring!$F$36</f>
        <v>105.64</v>
      </c>
      <c r="K69" s="66">
        <f>C70*Scoring!$B$36+TE!D70/Scoring!$C$36+TE!E70*Scoring!$D$36+TE!F70*Scoring!$E$36+H70*Scoring!$F$36</f>
        <v>127.46</v>
      </c>
    </row>
    <row r="70" spans="1:11" ht="14.25" customHeight="1" x14ac:dyDescent="0.3">
      <c r="B70" t="s">
        <v>472</v>
      </c>
      <c r="C70">
        <v>60.2</v>
      </c>
      <c r="D70">
        <v>621.6</v>
      </c>
      <c r="E70">
        <v>6</v>
      </c>
      <c r="F70">
        <v>0.4</v>
      </c>
      <c r="G70">
        <v>118.6</v>
      </c>
      <c r="H70" s="64">
        <f t="shared" si="1"/>
        <v>32.760000000000005</v>
      </c>
      <c r="I70" s="68"/>
      <c r="J70" s="68"/>
      <c r="K70" s="68"/>
    </row>
    <row r="71" spans="1:11" ht="14.25" customHeight="1" x14ac:dyDescent="0.3">
      <c r="B71" t="s">
        <v>473</v>
      </c>
      <c r="C71">
        <v>45</v>
      </c>
      <c r="D71">
        <v>527</v>
      </c>
      <c r="E71">
        <v>3</v>
      </c>
      <c r="F71">
        <v>1</v>
      </c>
      <c r="G71">
        <v>105.4</v>
      </c>
      <c r="H71" s="64">
        <f t="shared" si="1"/>
        <v>27.774324324324322</v>
      </c>
      <c r="I71" s="68"/>
      <c r="J71" s="68"/>
      <c r="K71" s="68"/>
    </row>
    <row r="72" spans="1:11" ht="14.25" customHeight="1" x14ac:dyDescent="0.3">
      <c r="A72" t="s">
        <v>924</v>
      </c>
      <c r="B72" t="s">
        <v>501</v>
      </c>
      <c r="C72">
        <v>39</v>
      </c>
      <c r="D72">
        <v>532.79999999999995</v>
      </c>
      <c r="E72">
        <v>5.0999999999999996</v>
      </c>
      <c r="F72">
        <v>0.2</v>
      </c>
      <c r="G72">
        <v>103.2</v>
      </c>
      <c r="H72" s="64">
        <f t="shared" si="1"/>
        <v>28.08</v>
      </c>
      <c r="I72" s="66">
        <f>C74*Scoring!$B$36+TE!D74/Scoring!$C$36+TE!E74*Scoring!$D$36+TE!F74*Scoring!$E$36+H74*Scoring!$F$36</f>
        <v>92.9</v>
      </c>
      <c r="J72" s="66">
        <f>C72*Scoring!$B$36+TE!D72/Scoring!$C$36+TE!E72*Scoring!$D$36+TE!F72*Scoring!$E$36+H72*Scoring!$F$36</f>
        <v>102.97999999999999</v>
      </c>
      <c r="K72" s="66">
        <f>C73*Scoring!$B$36+TE!D73/Scoring!$C$36+TE!E73*Scoring!$D$36+TE!F73*Scoring!$E$36+H73*Scoring!$F$36</f>
        <v>113.25</v>
      </c>
    </row>
    <row r="73" spans="1:11" ht="14.25" customHeight="1" x14ac:dyDescent="0.3">
      <c r="B73" t="s">
        <v>472</v>
      </c>
      <c r="C73">
        <v>46</v>
      </c>
      <c r="D73">
        <v>578.5</v>
      </c>
      <c r="E73">
        <v>5.4</v>
      </c>
      <c r="F73">
        <v>0</v>
      </c>
      <c r="G73">
        <v>119.5</v>
      </c>
      <c r="H73" s="64">
        <f t="shared" si="1"/>
        <v>30.488513513513507</v>
      </c>
      <c r="I73" s="68"/>
      <c r="J73" s="68"/>
      <c r="K73" s="68"/>
    </row>
    <row r="74" spans="1:11" ht="14.25" customHeight="1" x14ac:dyDescent="0.3">
      <c r="B74" t="s">
        <v>473</v>
      </c>
      <c r="C74">
        <v>29</v>
      </c>
      <c r="D74">
        <v>490</v>
      </c>
      <c r="E74">
        <v>5</v>
      </c>
      <c r="F74">
        <v>0.3</v>
      </c>
      <c r="G74">
        <v>95.5</v>
      </c>
      <c r="H74" s="64">
        <f t="shared" si="1"/>
        <v>25.824324324324323</v>
      </c>
      <c r="I74" s="68"/>
      <c r="J74" s="68"/>
      <c r="K74" s="68"/>
    </row>
    <row r="75" spans="1:11" ht="14.25" customHeight="1" x14ac:dyDescent="0.3">
      <c r="A75" t="s">
        <v>925</v>
      </c>
      <c r="B75" t="s">
        <v>507</v>
      </c>
      <c r="C75">
        <v>54.8</v>
      </c>
      <c r="D75">
        <v>557.1</v>
      </c>
      <c r="E75">
        <v>3.1</v>
      </c>
      <c r="F75">
        <v>0.1</v>
      </c>
      <c r="G75">
        <v>101.4</v>
      </c>
      <c r="H75" s="64">
        <f t="shared" si="1"/>
        <v>29.360675675675676</v>
      </c>
      <c r="I75" s="66">
        <f>C77*Scoring!$B$36+TE!D77/Scoring!$C$36+TE!E77*Scoring!$D$36+TE!F77*Scoring!$E$36+H77*Scoring!$F$36</f>
        <v>79.47</v>
      </c>
      <c r="J75" s="66">
        <f>C75*Scoring!$B$36+TE!D75/Scoring!$C$36+TE!E75*Scoring!$D$36+TE!F75*Scoring!$E$36+H75*Scoring!$F$36</f>
        <v>101.51</v>
      </c>
      <c r="K75" s="66">
        <f>C76*Scoring!$B$36+TE!D76/Scoring!$C$36+TE!E76*Scoring!$D$36+TE!F76*Scoring!$E$36+H76*Scoring!$F$36</f>
        <v>128.1</v>
      </c>
    </row>
    <row r="76" spans="1:11" ht="14.25" customHeight="1" x14ac:dyDescent="0.3">
      <c r="B76" t="s">
        <v>472</v>
      </c>
      <c r="C76">
        <v>67</v>
      </c>
      <c r="D76">
        <v>706</v>
      </c>
      <c r="E76">
        <v>4</v>
      </c>
      <c r="F76">
        <v>0</v>
      </c>
      <c r="G76">
        <v>124.4</v>
      </c>
      <c r="H76" s="64">
        <f t="shared" si="1"/>
        <v>37.208108108108107</v>
      </c>
      <c r="I76" s="68"/>
      <c r="J76" s="68"/>
      <c r="K76" s="68"/>
    </row>
    <row r="77" spans="1:11" ht="14.25" customHeight="1" x14ac:dyDescent="0.3">
      <c r="B77" t="s">
        <v>473</v>
      </c>
      <c r="C77">
        <v>44.5</v>
      </c>
      <c r="D77">
        <v>440.2</v>
      </c>
      <c r="E77">
        <v>2.2999999999999998</v>
      </c>
      <c r="F77">
        <v>0.3</v>
      </c>
      <c r="G77">
        <v>85</v>
      </c>
      <c r="H77" s="64">
        <f t="shared" si="1"/>
        <v>23.199729729729729</v>
      </c>
      <c r="I77" s="68"/>
      <c r="J77" s="68"/>
      <c r="K77" s="68"/>
    </row>
    <row r="78" spans="1:11" ht="14.25" customHeight="1" x14ac:dyDescent="0.3">
      <c r="A78" t="s">
        <v>926</v>
      </c>
      <c r="B78" t="s">
        <v>517</v>
      </c>
      <c r="C78">
        <v>48.2</v>
      </c>
      <c r="D78">
        <v>468.9</v>
      </c>
      <c r="E78">
        <v>4.9000000000000004</v>
      </c>
      <c r="F78">
        <v>0.2</v>
      </c>
      <c r="G78">
        <v>99.8</v>
      </c>
      <c r="H78" s="64">
        <f t="shared" si="1"/>
        <v>24.712297297297301</v>
      </c>
      <c r="I78" s="66">
        <f>C80*Scoring!$B$36+TE!D80/Scoring!$C$36+TE!E80*Scoring!$D$36+TE!F80*Scoring!$E$36+H80*Scoring!$F$36</f>
        <v>86.210000000000008</v>
      </c>
      <c r="J78" s="66">
        <f>C78*Scoring!$B$36+TE!D78/Scoring!$C$36+TE!E78*Scoring!$D$36+TE!F78*Scoring!$E$36+H78*Scoring!$F$36</f>
        <v>99.990000000000009</v>
      </c>
      <c r="K78" s="66">
        <f>C79*Scoring!$B$36+TE!D79/Scoring!$C$36+TE!E79*Scoring!$D$36+TE!F79*Scoring!$E$36+H79*Scoring!$F$36</f>
        <v>119.4</v>
      </c>
    </row>
    <row r="79" spans="1:11" ht="14.25" customHeight="1" x14ac:dyDescent="0.3">
      <c r="B79" t="s">
        <v>472</v>
      </c>
      <c r="C79">
        <v>54</v>
      </c>
      <c r="D79">
        <v>504</v>
      </c>
      <c r="E79">
        <v>7</v>
      </c>
      <c r="F79">
        <v>0</v>
      </c>
      <c r="G79">
        <v>125.5</v>
      </c>
      <c r="H79" s="64">
        <f t="shared" si="1"/>
        <v>26.56216216216216</v>
      </c>
      <c r="I79" s="68"/>
      <c r="J79" s="68"/>
      <c r="K79" s="68"/>
    </row>
    <row r="80" spans="1:11" ht="14.25" customHeight="1" x14ac:dyDescent="0.3">
      <c r="B80" t="s">
        <v>473</v>
      </c>
      <c r="C80">
        <v>44.7</v>
      </c>
      <c r="D80">
        <v>432.6</v>
      </c>
      <c r="E80">
        <v>3.6</v>
      </c>
      <c r="F80">
        <v>0.5</v>
      </c>
      <c r="G80">
        <v>93.2</v>
      </c>
      <c r="H80" s="64">
        <f t="shared" si="1"/>
        <v>22.799189189189192</v>
      </c>
      <c r="I80" s="68"/>
      <c r="J80" s="68"/>
      <c r="K80" s="68"/>
    </row>
    <row r="81" spans="1:11" ht="14.25" customHeight="1" x14ac:dyDescent="0.3">
      <c r="A81" t="s">
        <v>927</v>
      </c>
      <c r="B81" t="s">
        <v>479</v>
      </c>
      <c r="C81">
        <v>52.7</v>
      </c>
      <c r="D81">
        <v>568.70000000000005</v>
      </c>
      <c r="E81">
        <v>2.8</v>
      </c>
      <c r="F81">
        <v>0.1</v>
      </c>
      <c r="G81">
        <v>99.6</v>
      </c>
      <c r="H81" s="64">
        <f t="shared" si="1"/>
        <v>29.972027027027025</v>
      </c>
      <c r="I81" s="66">
        <f>C83*Scoring!$B$36+TE!D83/Scoring!$C$36+TE!E83*Scoring!$D$36+TE!F83*Scoring!$E$36+H83*Scoring!$F$36</f>
        <v>90.65</v>
      </c>
      <c r="J81" s="66">
        <f>C81*Scoring!$B$36+TE!D81/Scoring!$C$36+TE!E81*Scoring!$D$36+TE!F81*Scoring!$E$36+H81*Scoring!$F$36</f>
        <v>99.82</v>
      </c>
      <c r="K81" s="66">
        <f>C82*Scoring!$B$36+TE!D82/Scoring!$C$36+TE!E82*Scoring!$D$36+TE!F82*Scoring!$E$36+H82*Scoring!$F$36</f>
        <v>107.8</v>
      </c>
    </row>
    <row r="82" spans="1:11" ht="14.25" customHeight="1" x14ac:dyDescent="0.3">
      <c r="B82" t="s">
        <v>472</v>
      </c>
      <c r="C82">
        <v>54</v>
      </c>
      <c r="D82">
        <v>628</v>
      </c>
      <c r="E82">
        <v>3</v>
      </c>
      <c r="F82">
        <v>0</v>
      </c>
      <c r="G82">
        <v>123.3</v>
      </c>
      <c r="H82" s="64">
        <f t="shared" si="1"/>
        <v>33.097297297297303</v>
      </c>
      <c r="I82" s="68"/>
      <c r="J82" s="68"/>
      <c r="K82" s="68"/>
    </row>
    <row r="83" spans="1:11" ht="14.25" customHeight="1" x14ac:dyDescent="0.3">
      <c r="B83" t="s">
        <v>473</v>
      </c>
      <c r="C83">
        <v>51.1</v>
      </c>
      <c r="D83">
        <v>519</v>
      </c>
      <c r="E83">
        <v>2.2999999999999998</v>
      </c>
      <c r="F83">
        <v>0.3</v>
      </c>
      <c r="G83">
        <v>96.2</v>
      </c>
      <c r="H83" s="64">
        <f t="shared" si="1"/>
        <v>27.352702702702697</v>
      </c>
      <c r="I83" s="68"/>
      <c r="J83" s="68"/>
      <c r="K83" s="68"/>
    </row>
    <row r="84" spans="1:11" ht="14.25" customHeight="1" x14ac:dyDescent="0.3">
      <c r="A84" t="s">
        <v>928</v>
      </c>
      <c r="B84" t="s">
        <v>521</v>
      </c>
      <c r="C84">
        <v>43.3</v>
      </c>
      <c r="D84">
        <v>446.2</v>
      </c>
      <c r="E84">
        <v>4.7</v>
      </c>
      <c r="F84">
        <v>0.1</v>
      </c>
      <c r="G84">
        <v>94.1</v>
      </c>
      <c r="H84" s="64">
        <f t="shared" si="1"/>
        <v>23.515945945945948</v>
      </c>
      <c r="I84" s="66">
        <f>C86*Scoring!$B$36+TE!D86/Scoring!$C$36+TE!E86*Scoring!$D$36+TE!F86*Scoring!$E$36+H86*Scoring!$F$36</f>
        <v>83.8</v>
      </c>
      <c r="J84" s="66">
        <f>C84*Scoring!$B$36+TE!D84/Scoring!$C$36+TE!E84*Scoring!$D$36+TE!F84*Scoring!$E$36+H84*Scoring!$F$36</f>
        <v>94.27</v>
      </c>
      <c r="K84" s="66">
        <f>C85*Scoring!$B$36+TE!D85/Scoring!$C$36+TE!E85*Scoring!$D$36+TE!F85*Scoring!$E$36+H85*Scoring!$F$36</f>
        <v>106.27</v>
      </c>
    </row>
    <row r="85" spans="1:11" ht="14.25" customHeight="1" x14ac:dyDescent="0.3">
      <c r="B85" t="s">
        <v>472</v>
      </c>
      <c r="C85">
        <v>46</v>
      </c>
      <c r="D85">
        <v>472.7</v>
      </c>
      <c r="E85">
        <v>6</v>
      </c>
      <c r="F85">
        <v>0</v>
      </c>
      <c r="G85">
        <v>105.9</v>
      </c>
      <c r="H85" s="64">
        <f t="shared" si="1"/>
        <v>24.912567567567564</v>
      </c>
      <c r="I85" s="68"/>
      <c r="J85" s="68"/>
      <c r="K85" s="68"/>
    </row>
    <row r="86" spans="1:11" ht="14.25" customHeight="1" x14ac:dyDescent="0.3">
      <c r="B86" t="s">
        <v>473</v>
      </c>
      <c r="C86">
        <v>41</v>
      </c>
      <c r="D86">
        <v>397</v>
      </c>
      <c r="E86">
        <v>4</v>
      </c>
      <c r="F86">
        <v>0.2</v>
      </c>
      <c r="G86">
        <v>93.2</v>
      </c>
      <c r="H86" s="64">
        <f t="shared" si="1"/>
        <v>20.922972972972971</v>
      </c>
      <c r="I86" s="68"/>
      <c r="J86" s="68"/>
      <c r="K86" s="68"/>
    </row>
    <row r="87" spans="1:11" ht="14.25" customHeight="1" x14ac:dyDescent="0.3">
      <c r="A87" t="s">
        <v>929</v>
      </c>
      <c r="B87" t="s">
        <v>499</v>
      </c>
      <c r="C87">
        <v>53.4</v>
      </c>
      <c r="D87">
        <v>475.8</v>
      </c>
      <c r="E87">
        <v>2.7</v>
      </c>
      <c r="F87">
        <v>0.1</v>
      </c>
      <c r="G87">
        <v>90.4</v>
      </c>
      <c r="H87" s="64">
        <f t="shared" si="1"/>
        <v>25.075945945945943</v>
      </c>
      <c r="I87" s="66">
        <f>C89*Scoring!$B$36+TE!D89/Scoring!$C$36+TE!E89*Scoring!$D$36+TE!F89*Scoring!$E$36+H89*Scoring!$F$36</f>
        <v>82.690000000000012</v>
      </c>
      <c r="J87" s="66">
        <f>C87*Scoring!$B$36+TE!D87/Scoring!$C$36+TE!E87*Scoring!$D$36+TE!F87*Scoring!$E$36+H87*Scoring!$F$36</f>
        <v>90.28</v>
      </c>
      <c r="K87" s="66">
        <f>C88*Scoring!$B$36+TE!D88/Scoring!$C$36+TE!E88*Scoring!$D$36+TE!F88*Scoring!$E$36+H88*Scoring!$F$36</f>
        <v>94.9</v>
      </c>
    </row>
    <row r="88" spans="1:11" ht="14.25" customHeight="1" x14ac:dyDescent="0.3">
      <c r="B88" t="s">
        <v>472</v>
      </c>
      <c r="C88">
        <v>57</v>
      </c>
      <c r="D88">
        <v>484</v>
      </c>
      <c r="E88">
        <v>3</v>
      </c>
      <c r="F88">
        <v>0</v>
      </c>
      <c r="G88">
        <v>121.6</v>
      </c>
      <c r="H88" s="64">
        <f t="shared" si="1"/>
        <v>25.508108108108107</v>
      </c>
      <c r="I88" s="68"/>
      <c r="J88" s="68"/>
      <c r="K88" s="68"/>
    </row>
    <row r="89" spans="1:11" ht="14.25" customHeight="1" x14ac:dyDescent="0.3">
      <c r="B89" t="s">
        <v>473</v>
      </c>
      <c r="C89">
        <v>47.3</v>
      </c>
      <c r="D89">
        <v>464.4</v>
      </c>
      <c r="E89">
        <v>2.2000000000000002</v>
      </c>
      <c r="F89">
        <v>0.3</v>
      </c>
      <c r="G89">
        <v>83.7</v>
      </c>
      <c r="H89" s="64">
        <f t="shared" si="1"/>
        <v>24.475135135135133</v>
      </c>
      <c r="I89" s="68"/>
      <c r="J89" s="68"/>
      <c r="K89" s="68"/>
    </row>
    <row r="90" spans="1:11" ht="14.25" customHeight="1" x14ac:dyDescent="0.3">
      <c r="A90" t="s">
        <v>932</v>
      </c>
      <c r="B90" t="s">
        <v>483</v>
      </c>
      <c r="C90">
        <v>42.7</v>
      </c>
      <c r="D90">
        <v>447.9</v>
      </c>
      <c r="E90">
        <v>3.7</v>
      </c>
      <c r="F90">
        <v>0.1</v>
      </c>
      <c r="G90">
        <v>88.3</v>
      </c>
      <c r="H90" s="64">
        <f t="shared" si="1"/>
        <v>23.605540540540538</v>
      </c>
      <c r="I90" s="66">
        <f>C92*Scoring!$B$36+TE!D92/Scoring!$C$36+TE!E92*Scoring!$D$36+TE!F92*Scoring!$E$36+H92*Scoring!$F$36</f>
        <v>70.97</v>
      </c>
      <c r="J90" s="66">
        <f>C90*Scoring!$B$36+TE!D90/Scoring!$C$36+TE!E90*Scoring!$D$36+TE!F90*Scoring!$E$36+H90*Scoring!$F$36</f>
        <v>88.14</v>
      </c>
      <c r="K90" s="66">
        <f>C91*Scoring!$B$36+TE!D91/Scoring!$C$36+TE!E91*Scoring!$D$36+TE!F91*Scoring!$E$36+H91*Scoring!$F$36</f>
        <v>103.8</v>
      </c>
    </row>
    <row r="91" spans="1:11" ht="14.25" customHeight="1" x14ac:dyDescent="0.3">
      <c r="B91" t="s">
        <v>472</v>
      </c>
      <c r="C91">
        <v>49</v>
      </c>
      <c r="D91">
        <v>541</v>
      </c>
      <c r="E91">
        <v>4.2</v>
      </c>
      <c r="F91">
        <v>0</v>
      </c>
      <c r="G91">
        <v>111.9</v>
      </c>
      <c r="H91" s="64">
        <f t="shared" si="1"/>
        <v>28.512162162162163</v>
      </c>
      <c r="I91" s="68"/>
      <c r="J91" s="68"/>
      <c r="K91" s="68"/>
    </row>
    <row r="92" spans="1:11" ht="14.25" customHeight="1" x14ac:dyDescent="0.3">
      <c r="B92" t="s">
        <v>473</v>
      </c>
      <c r="C92">
        <v>36.200000000000003</v>
      </c>
      <c r="D92">
        <v>352.7</v>
      </c>
      <c r="E92">
        <v>3</v>
      </c>
      <c r="F92">
        <v>0.2</v>
      </c>
      <c r="G92">
        <v>81.599999999999994</v>
      </c>
      <c r="H92" s="64">
        <f t="shared" si="1"/>
        <v>18.588243243243241</v>
      </c>
      <c r="I92" s="68"/>
      <c r="J92" s="68"/>
      <c r="K92" s="68"/>
    </row>
    <row r="93" spans="1:11" ht="14.25" customHeight="1" x14ac:dyDescent="0.3">
      <c r="A93" t="s">
        <v>930</v>
      </c>
      <c r="B93" t="s">
        <v>525</v>
      </c>
      <c r="C93">
        <v>48.9</v>
      </c>
      <c r="D93">
        <v>443.6</v>
      </c>
      <c r="E93">
        <v>3.1</v>
      </c>
      <c r="F93">
        <v>0.2</v>
      </c>
      <c r="G93">
        <v>87.1</v>
      </c>
      <c r="H93" s="64">
        <f t="shared" si="1"/>
        <v>23.378918918918924</v>
      </c>
      <c r="I93" s="66">
        <f>C95*Scoring!$B$36+TE!D95/Scoring!$C$36+TE!E95*Scoring!$D$36+TE!F95*Scoring!$E$36+H95*Scoring!$F$36</f>
        <v>76.900000000000006</v>
      </c>
      <c r="J93" s="66">
        <f>C93*Scoring!$B$36+TE!D93/Scoring!$C$36+TE!E93*Scoring!$D$36+TE!F93*Scoring!$E$36+H93*Scoring!$F$36</f>
        <v>87.009999999999991</v>
      </c>
      <c r="K93" s="66">
        <f>C94*Scoring!$B$36+TE!D94/Scoring!$C$36+TE!E94*Scoring!$D$36+TE!F94*Scoring!$E$36+H94*Scoring!$F$36</f>
        <v>98.54</v>
      </c>
    </row>
    <row r="94" spans="1:11" ht="14.25" customHeight="1" x14ac:dyDescent="0.3">
      <c r="B94" t="s">
        <v>472</v>
      </c>
      <c r="C94">
        <v>57.7</v>
      </c>
      <c r="D94">
        <v>498.9</v>
      </c>
      <c r="E94">
        <v>3.3</v>
      </c>
      <c r="F94">
        <v>0</v>
      </c>
      <c r="G94">
        <v>110.5</v>
      </c>
      <c r="H94" s="64">
        <f t="shared" si="1"/>
        <v>26.293378378378375</v>
      </c>
      <c r="I94" s="68"/>
      <c r="J94" s="68"/>
      <c r="K94" s="68"/>
    </row>
    <row r="95" spans="1:11" ht="14.25" customHeight="1" x14ac:dyDescent="0.3">
      <c r="B95" t="s">
        <v>473</v>
      </c>
      <c r="C95">
        <v>44</v>
      </c>
      <c r="D95">
        <v>377</v>
      </c>
      <c r="E95">
        <v>3</v>
      </c>
      <c r="F95">
        <v>0.4</v>
      </c>
      <c r="G95">
        <v>72.5</v>
      </c>
      <c r="H95" s="64">
        <f t="shared" si="1"/>
        <v>19.868918918918919</v>
      </c>
      <c r="I95" s="68"/>
      <c r="J95" s="68"/>
      <c r="K95" s="68"/>
    </row>
    <row r="96" spans="1:11" ht="14.25" customHeight="1" x14ac:dyDescent="0.3">
      <c r="A96" t="s">
        <v>931</v>
      </c>
      <c r="B96" t="s">
        <v>497</v>
      </c>
      <c r="C96">
        <v>42.3</v>
      </c>
      <c r="D96">
        <v>396.2</v>
      </c>
      <c r="E96">
        <v>4.3</v>
      </c>
      <c r="F96">
        <v>0.1</v>
      </c>
      <c r="G96">
        <v>86.2</v>
      </c>
      <c r="H96" s="64">
        <f t="shared" si="1"/>
        <v>20.880810810810811</v>
      </c>
      <c r="I96" s="66">
        <f>C98*Scoring!$B$36+TE!D98/Scoring!$C$36+TE!E98*Scoring!$D$36+TE!F98*Scoring!$E$36+H98*Scoring!$F$36</f>
        <v>74.25</v>
      </c>
      <c r="J96" s="66">
        <f>C96*Scoring!$B$36+TE!D96/Scoring!$C$36+TE!E96*Scoring!$D$36+TE!F96*Scoring!$E$36+H96*Scoring!$F$36</f>
        <v>86.36999999999999</v>
      </c>
      <c r="K96" s="66">
        <f>C97*Scoring!$B$36+TE!D97/Scoring!$C$36+TE!E97*Scoring!$D$36+TE!F97*Scoring!$E$36+H97*Scoring!$F$36</f>
        <v>100.17</v>
      </c>
    </row>
    <row r="97" spans="1:11" ht="14.25" customHeight="1" x14ac:dyDescent="0.3">
      <c r="B97" t="s">
        <v>472</v>
      </c>
      <c r="C97">
        <v>45</v>
      </c>
      <c r="D97">
        <v>416.7</v>
      </c>
      <c r="E97">
        <v>6</v>
      </c>
      <c r="F97">
        <v>0</v>
      </c>
      <c r="G97">
        <v>98.5</v>
      </c>
      <c r="H97" s="64">
        <f t="shared" si="1"/>
        <v>21.961216216216215</v>
      </c>
      <c r="I97" s="68"/>
      <c r="J97" s="68"/>
      <c r="K97" s="68"/>
    </row>
    <row r="98" spans="1:11" ht="14.25" customHeight="1" x14ac:dyDescent="0.3">
      <c r="B98" t="s">
        <v>473</v>
      </c>
      <c r="C98">
        <v>39.9</v>
      </c>
      <c r="D98">
        <v>369</v>
      </c>
      <c r="E98">
        <v>3</v>
      </c>
      <c r="F98">
        <v>0.3</v>
      </c>
      <c r="G98">
        <v>85.6</v>
      </c>
      <c r="H98" s="64">
        <f t="shared" si="1"/>
        <v>19.447297297297297</v>
      </c>
      <c r="I98" s="68"/>
      <c r="J98" s="68"/>
      <c r="K98" s="68"/>
    </row>
    <row r="99" spans="1:11" ht="14.25" customHeight="1" x14ac:dyDescent="0.3">
      <c r="A99" t="s">
        <v>934</v>
      </c>
      <c r="B99" t="s">
        <v>523</v>
      </c>
      <c r="C99">
        <v>44.2</v>
      </c>
      <c r="D99">
        <v>386.9</v>
      </c>
      <c r="E99">
        <v>2.5</v>
      </c>
      <c r="F99">
        <v>0.1</v>
      </c>
      <c r="G99">
        <v>75.400000000000006</v>
      </c>
      <c r="H99" s="64">
        <f t="shared" si="1"/>
        <v>20.390675675675674</v>
      </c>
      <c r="I99" s="66">
        <f>C101*Scoring!$B$36+TE!D101/Scoring!$C$36+TE!E101*Scoring!$D$36+TE!F101*Scoring!$E$36+H101*Scoring!$F$36</f>
        <v>53.230000000000004</v>
      </c>
      <c r="J99" s="66">
        <f>C99*Scoring!$B$36+TE!D99/Scoring!$C$36+TE!E99*Scoring!$D$36+TE!F99*Scoring!$E$36+H99*Scoring!$F$36</f>
        <v>75.589999999999989</v>
      </c>
      <c r="K99" s="66">
        <f>C100*Scoring!$B$36+TE!D100/Scoring!$C$36+TE!E100*Scoring!$D$36+TE!F100*Scoring!$E$36+H100*Scoring!$F$36</f>
        <v>98.1</v>
      </c>
    </row>
    <row r="100" spans="1:11" ht="14.25" customHeight="1" x14ac:dyDescent="0.3">
      <c r="B100" t="s">
        <v>472</v>
      </c>
      <c r="C100">
        <v>56</v>
      </c>
      <c r="D100">
        <v>461</v>
      </c>
      <c r="E100">
        <v>4</v>
      </c>
      <c r="F100">
        <v>0</v>
      </c>
      <c r="G100">
        <v>97.1</v>
      </c>
      <c r="H100" s="64">
        <f t="shared" si="1"/>
        <v>24.295945945945945</v>
      </c>
      <c r="I100" s="68"/>
      <c r="J100" s="68"/>
      <c r="K100" s="68"/>
    </row>
    <row r="101" spans="1:11" ht="14.25" customHeight="1" x14ac:dyDescent="0.3">
      <c r="B101" t="s">
        <v>473</v>
      </c>
      <c r="C101">
        <v>33.5</v>
      </c>
      <c r="D101">
        <v>284.8</v>
      </c>
      <c r="E101">
        <v>1.4</v>
      </c>
      <c r="F101">
        <v>0.2</v>
      </c>
      <c r="G101">
        <v>59</v>
      </c>
      <c r="H101" s="64">
        <f t="shared" si="1"/>
        <v>15.009729729729731</v>
      </c>
      <c r="I101" s="68"/>
      <c r="J101" s="68"/>
      <c r="K101" s="68"/>
    </row>
    <row r="102" spans="1:11" ht="14.25" customHeight="1" x14ac:dyDescent="0.3">
      <c r="A102" t="s">
        <v>935</v>
      </c>
      <c r="B102" t="s">
        <v>501</v>
      </c>
      <c r="C102">
        <v>33.4</v>
      </c>
      <c r="D102">
        <v>342.2</v>
      </c>
      <c r="E102">
        <v>4</v>
      </c>
      <c r="F102">
        <v>0.6</v>
      </c>
      <c r="G102">
        <v>73.8</v>
      </c>
      <c r="H102" s="64">
        <f t="shared" si="1"/>
        <v>18.034864864864865</v>
      </c>
      <c r="I102" s="66">
        <f>C104*Scoring!$B$36+TE!D104/Scoring!$C$36+TE!E104*Scoring!$D$36+TE!F104*Scoring!$E$36+H104*Scoring!$F$36</f>
        <v>59.120000000000005</v>
      </c>
      <c r="J102" s="66">
        <f>C102*Scoring!$B$36+TE!D102/Scoring!$C$36+TE!E102*Scoring!$D$36+TE!F102*Scoring!$E$36+H102*Scoring!$F$36</f>
        <v>73.72</v>
      </c>
      <c r="K102" s="66">
        <f>C103*Scoring!$B$36+TE!D103/Scoring!$C$36+TE!E103*Scoring!$D$36+TE!F103*Scoring!$E$36+H103*Scoring!$F$36</f>
        <v>99.4</v>
      </c>
    </row>
    <row r="103" spans="1:11" ht="14.25" customHeight="1" x14ac:dyDescent="0.3">
      <c r="B103" t="s">
        <v>472</v>
      </c>
      <c r="C103">
        <v>41</v>
      </c>
      <c r="D103">
        <v>435</v>
      </c>
      <c r="E103">
        <v>6</v>
      </c>
      <c r="F103">
        <v>0.3</v>
      </c>
      <c r="G103">
        <v>85.7</v>
      </c>
      <c r="H103" s="64">
        <f t="shared" si="1"/>
        <v>22.925675675675674</v>
      </c>
      <c r="I103" s="68"/>
      <c r="J103" s="68"/>
      <c r="K103" s="68"/>
    </row>
    <row r="104" spans="1:11" ht="14.25" customHeight="1" x14ac:dyDescent="0.3">
      <c r="B104" t="s">
        <v>473</v>
      </c>
      <c r="C104">
        <v>28.1</v>
      </c>
      <c r="D104">
        <v>290.7</v>
      </c>
      <c r="E104">
        <v>3</v>
      </c>
      <c r="F104">
        <v>1</v>
      </c>
      <c r="G104">
        <v>64</v>
      </c>
      <c r="H104" s="64">
        <f t="shared" si="1"/>
        <v>15.320675675675673</v>
      </c>
      <c r="I104" s="68"/>
      <c r="J104" s="68"/>
      <c r="K104" s="68"/>
    </row>
    <row r="105" spans="1:11" ht="14.25" customHeight="1" x14ac:dyDescent="0.3">
      <c r="A105" t="s">
        <v>933</v>
      </c>
      <c r="B105" t="s">
        <v>497</v>
      </c>
      <c r="C105">
        <v>33.1</v>
      </c>
      <c r="D105">
        <v>413.2</v>
      </c>
      <c r="E105">
        <v>2.5</v>
      </c>
      <c r="F105">
        <v>0.6</v>
      </c>
      <c r="G105">
        <v>71.7</v>
      </c>
      <c r="H105" s="64">
        <f t="shared" si="1"/>
        <v>21.776756756756757</v>
      </c>
      <c r="I105" s="66">
        <f>C107*Scoring!$B$36+TE!D107/Scoring!$C$36+TE!E107*Scoring!$D$36+TE!F107*Scoring!$E$36+H107*Scoring!$F$36</f>
        <v>57.32</v>
      </c>
      <c r="J105" s="66">
        <f>C105*Scoring!$B$36+TE!D105/Scoring!$C$36+TE!E105*Scoring!$D$36+TE!F105*Scoring!$E$36+H105*Scoring!$F$36</f>
        <v>71.67</v>
      </c>
      <c r="K105" s="66">
        <f>C106*Scoring!$B$36+TE!D106/Scoring!$C$36+TE!E106*Scoring!$D$36+TE!F106*Scoring!$E$36+H106*Scoring!$F$36</f>
        <v>90</v>
      </c>
    </row>
    <row r="106" spans="1:11" ht="14.25" customHeight="1" x14ac:dyDescent="0.3">
      <c r="B106" t="s">
        <v>472</v>
      </c>
      <c r="C106">
        <v>38</v>
      </c>
      <c r="D106">
        <v>534</v>
      </c>
      <c r="E106">
        <v>3</v>
      </c>
      <c r="F106">
        <v>0.2</v>
      </c>
      <c r="G106">
        <v>82.4</v>
      </c>
      <c r="H106" s="64">
        <f t="shared" si="1"/>
        <v>28.143243243243241</v>
      </c>
      <c r="I106" s="68"/>
      <c r="J106" s="68"/>
      <c r="K106" s="68"/>
    </row>
    <row r="107" spans="1:11" ht="14.25" customHeight="1" x14ac:dyDescent="0.3">
      <c r="B107" t="s">
        <v>473</v>
      </c>
      <c r="C107">
        <v>30.3</v>
      </c>
      <c r="D107">
        <v>321.7</v>
      </c>
      <c r="E107">
        <v>2</v>
      </c>
      <c r="F107">
        <v>1</v>
      </c>
      <c r="G107">
        <v>63.5</v>
      </c>
      <c r="H107" s="64">
        <f t="shared" si="1"/>
        <v>16.954459459459461</v>
      </c>
      <c r="I107" s="68"/>
      <c r="J107" s="68"/>
      <c r="K107" s="68"/>
    </row>
    <row r="108" spans="1:11" ht="14.25" customHeight="1" x14ac:dyDescent="0.3">
      <c r="A108" t="s">
        <v>936</v>
      </c>
      <c r="B108" t="s">
        <v>531</v>
      </c>
      <c r="C108">
        <v>40</v>
      </c>
      <c r="D108">
        <v>376.7</v>
      </c>
      <c r="E108">
        <v>2.1</v>
      </c>
      <c r="F108">
        <v>0.1</v>
      </c>
      <c r="G108">
        <v>70</v>
      </c>
      <c r="H108" s="64">
        <f t="shared" si="1"/>
        <v>19.85310810810811</v>
      </c>
      <c r="I108" s="66">
        <f>C110*Scoring!$B$36+TE!D110/Scoring!$C$36+TE!E110*Scoring!$D$36+TE!F110*Scoring!$E$36+H110*Scoring!$F$36</f>
        <v>60.300000000000004</v>
      </c>
      <c r="J108" s="66">
        <f>C108*Scoring!$B$36+TE!D108/Scoring!$C$36+TE!E108*Scoring!$D$36+TE!F108*Scoring!$E$36+H108*Scoring!$F$36</f>
        <v>70.070000000000007</v>
      </c>
      <c r="K108" s="66">
        <f>C109*Scoring!$B$36+TE!D109/Scoring!$C$36+TE!E109*Scoring!$D$36+TE!F109*Scoring!$E$36+H109*Scoring!$F$36</f>
        <v>81.5</v>
      </c>
    </row>
    <row r="109" spans="1:11" ht="14.25" customHeight="1" x14ac:dyDescent="0.3">
      <c r="B109" t="s">
        <v>472</v>
      </c>
      <c r="C109">
        <v>43</v>
      </c>
      <c r="D109">
        <v>420</v>
      </c>
      <c r="E109">
        <v>3</v>
      </c>
      <c r="F109">
        <v>0</v>
      </c>
      <c r="G109">
        <v>101.5</v>
      </c>
      <c r="H109" s="64">
        <f t="shared" si="1"/>
        <v>22.135135135135133</v>
      </c>
      <c r="I109" s="68"/>
      <c r="J109" s="68"/>
      <c r="K109" s="68"/>
    </row>
    <row r="110" spans="1:11" ht="14.25" customHeight="1" x14ac:dyDescent="0.3">
      <c r="B110" t="s">
        <v>473</v>
      </c>
      <c r="C110">
        <v>37</v>
      </c>
      <c r="D110">
        <v>346</v>
      </c>
      <c r="E110">
        <v>1.3</v>
      </c>
      <c r="F110">
        <v>0.3</v>
      </c>
      <c r="G110">
        <v>59</v>
      </c>
      <c r="H110" s="64">
        <f t="shared" si="1"/>
        <v>18.235135135135131</v>
      </c>
      <c r="I110" s="68"/>
      <c r="J110" s="68"/>
      <c r="K110" s="68"/>
    </row>
    <row r="111" spans="1:11" ht="14.25" customHeight="1" x14ac:dyDescent="0.3">
      <c r="A111" t="s">
        <v>937</v>
      </c>
      <c r="B111" t="s">
        <v>471</v>
      </c>
      <c r="C111">
        <v>28.7</v>
      </c>
      <c r="D111">
        <v>331.4</v>
      </c>
      <c r="E111">
        <v>2.9</v>
      </c>
      <c r="F111">
        <v>0.1</v>
      </c>
      <c r="G111">
        <v>64.900000000000006</v>
      </c>
      <c r="H111" s="64">
        <f t="shared" si="1"/>
        <v>17.465675675675673</v>
      </c>
      <c r="I111" s="66">
        <f>C113*Scoring!$B$36+TE!D113/Scoring!$C$36+TE!E113*Scoring!$D$36+TE!F113*Scoring!$E$36+H113*Scoring!$F$36</f>
        <v>55.61999999999999</v>
      </c>
      <c r="J111" s="66">
        <f>C111*Scoring!$B$36+TE!D111/Scoring!$C$36+TE!E111*Scoring!$D$36+TE!F111*Scoring!$E$36+H111*Scoring!$F$36</f>
        <v>64.69</v>
      </c>
      <c r="K111" s="66">
        <f>C112*Scoring!$B$36+TE!D112/Scoring!$C$36+TE!E112*Scoring!$D$36+TE!F112*Scoring!$E$36+H112*Scoring!$F$36</f>
        <v>75.5</v>
      </c>
    </row>
    <row r="112" spans="1:11" ht="14.25" customHeight="1" x14ac:dyDescent="0.3">
      <c r="B112" t="s">
        <v>472</v>
      </c>
      <c r="C112">
        <v>35</v>
      </c>
      <c r="D112">
        <v>400</v>
      </c>
      <c r="E112">
        <v>3</v>
      </c>
      <c r="F112">
        <v>0</v>
      </c>
      <c r="G112">
        <v>78.2</v>
      </c>
      <c r="H112" s="64">
        <f t="shared" si="1"/>
        <v>21.081081081081081</v>
      </c>
      <c r="I112" s="68"/>
      <c r="J112" s="68"/>
      <c r="K112" s="68"/>
    </row>
    <row r="113" spans="1:11" ht="14.25" customHeight="1" x14ac:dyDescent="0.3">
      <c r="B113" t="s">
        <v>473</v>
      </c>
      <c r="C113">
        <v>25</v>
      </c>
      <c r="D113">
        <v>265.2</v>
      </c>
      <c r="E113">
        <v>2.8</v>
      </c>
      <c r="F113">
        <v>0.1</v>
      </c>
      <c r="G113">
        <v>57.6</v>
      </c>
      <c r="H113" s="64">
        <f t="shared" si="1"/>
        <v>13.976756756756755</v>
      </c>
      <c r="I113" s="68"/>
      <c r="J113" s="68"/>
      <c r="K113" s="68"/>
    </row>
    <row r="114" spans="1:11" ht="14.25" customHeight="1" x14ac:dyDescent="0.3">
      <c r="A114" t="s">
        <v>938</v>
      </c>
      <c r="B114" t="s">
        <v>485</v>
      </c>
      <c r="C114">
        <v>28.1</v>
      </c>
      <c r="D114">
        <v>313.3</v>
      </c>
      <c r="E114">
        <v>2.9</v>
      </c>
      <c r="F114">
        <v>0.1</v>
      </c>
      <c r="G114">
        <v>62.4</v>
      </c>
      <c r="H114" s="64">
        <f t="shared" si="1"/>
        <v>16.511756756756757</v>
      </c>
      <c r="I114" s="66">
        <f>C116*Scoring!$B$36+TE!D116/Scoring!$C$36+TE!E116*Scoring!$D$36+TE!F116*Scoring!$E$36+H116*Scoring!$F$36</f>
        <v>48.28</v>
      </c>
      <c r="J114" s="66">
        <f>C114*Scoring!$B$36+TE!D114/Scoring!$C$36+TE!E114*Scoring!$D$36+TE!F114*Scoring!$E$36+H114*Scoring!$F$36</f>
        <v>62.58</v>
      </c>
      <c r="K114" s="66">
        <f>C115*Scoring!$B$36+TE!D115/Scoring!$C$36+TE!E115*Scoring!$D$36+TE!F115*Scoring!$E$36+H115*Scoring!$F$36</f>
        <v>86.4</v>
      </c>
    </row>
    <row r="115" spans="1:11" ht="14.25" customHeight="1" x14ac:dyDescent="0.3">
      <c r="B115" t="s">
        <v>472</v>
      </c>
      <c r="C115">
        <v>35</v>
      </c>
      <c r="D115">
        <v>389</v>
      </c>
      <c r="E115">
        <v>5</v>
      </c>
      <c r="F115">
        <v>0</v>
      </c>
      <c r="G115">
        <v>74</v>
      </c>
      <c r="H115" s="64">
        <f t="shared" si="1"/>
        <v>20.501351351351349</v>
      </c>
      <c r="I115" s="68"/>
      <c r="J115" s="68"/>
      <c r="K115" s="68"/>
    </row>
    <row r="116" spans="1:11" ht="14.25" customHeight="1" x14ac:dyDescent="0.3">
      <c r="B116" t="s">
        <v>473</v>
      </c>
      <c r="C116">
        <v>24</v>
      </c>
      <c r="D116">
        <v>268.8</v>
      </c>
      <c r="E116">
        <v>1.6</v>
      </c>
      <c r="F116">
        <v>0.1</v>
      </c>
      <c r="G116">
        <v>50.3</v>
      </c>
      <c r="H116" s="64">
        <f t="shared" si="1"/>
        <v>14.166486486486487</v>
      </c>
      <c r="I116" s="68"/>
      <c r="J116" s="68"/>
      <c r="K116" s="68"/>
    </row>
    <row r="117" spans="1:11" ht="14.25" customHeight="1" x14ac:dyDescent="0.3">
      <c r="A117" t="s">
        <v>939</v>
      </c>
      <c r="B117" t="s">
        <v>529</v>
      </c>
      <c r="C117">
        <v>30.7</v>
      </c>
      <c r="D117">
        <v>329</v>
      </c>
      <c r="E117">
        <v>2</v>
      </c>
      <c r="F117">
        <v>0.6</v>
      </c>
      <c r="G117">
        <v>58.7</v>
      </c>
      <c r="H117" s="64">
        <f t="shared" si="1"/>
        <v>17.339189189189188</v>
      </c>
      <c r="I117" s="66">
        <f>C119*Scoring!$B$36+TE!D119/Scoring!$C$36+TE!E119*Scoring!$D$36+TE!F119*Scoring!$E$36+H119*Scoring!$F$36</f>
        <v>52.3</v>
      </c>
      <c r="J117" s="66">
        <f>C117*Scoring!$B$36+TE!D117/Scoring!$C$36+TE!E117*Scoring!$D$36+TE!F117*Scoring!$E$36+H117*Scoring!$F$36</f>
        <v>59.05</v>
      </c>
      <c r="K117" s="66">
        <f>C118*Scoring!$B$36+TE!D118/Scoring!$C$36+TE!E118*Scoring!$D$36+TE!F118*Scoring!$E$36+H118*Scoring!$F$36</f>
        <v>67.2</v>
      </c>
    </row>
    <row r="118" spans="1:11" ht="14.25" customHeight="1" x14ac:dyDescent="0.3">
      <c r="B118" t="s">
        <v>472</v>
      </c>
      <c r="C118">
        <v>35</v>
      </c>
      <c r="D118">
        <v>383</v>
      </c>
      <c r="E118">
        <v>2</v>
      </c>
      <c r="F118">
        <v>0.3</v>
      </c>
      <c r="G118">
        <v>70.2</v>
      </c>
      <c r="H118" s="64">
        <f t="shared" si="1"/>
        <v>20.185135135135134</v>
      </c>
      <c r="I118" s="68"/>
      <c r="J118" s="68"/>
      <c r="K118" s="68"/>
    </row>
    <row r="119" spans="1:11" ht="14.25" customHeight="1" x14ac:dyDescent="0.3">
      <c r="B119" t="s">
        <v>473</v>
      </c>
      <c r="C119">
        <v>26</v>
      </c>
      <c r="D119">
        <v>299</v>
      </c>
      <c r="E119">
        <v>1.9</v>
      </c>
      <c r="F119">
        <v>1</v>
      </c>
      <c r="G119">
        <v>55.3</v>
      </c>
      <c r="H119" s="64">
        <f t="shared" si="1"/>
        <v>15.758108108108107</v>
      </c>
      <c r="I119" s="68"/>
      <c r="J119" s="68"/>
      <c r="K119" s="68"/>
    </row>
    <row r="120" spans="1:11" ht="14.25" customHeight="1" x14ac:dyDescent="0.3">
      <c r="A120" t="s">
        <v>942</v>
      </c>
      <c r="B120" t="s">
        <v>483</v>
      </c>
      <c r="C120">
        <v>33.1</v>
      </c>
      <c r="D120">
        <v>288.5</v>
      </c>
      <c r="E120">
        <v>2.1</v>
      </c>
      <c r="F120">
        <v>0.1</v>
      </c>
      <c r="G120">
        <v>57.7</v>
      </c>
      <c r="H120" s="64">
        <f t="shared" si="1"/>
        <v>15.204729729729728</v>
      </c>
      <c r="I120" s="66">
        <f>C122*Scoring!$B$36+TE!D122/Scoring!$C$36+TE!E122*Scoring!$D$36+TE!F122*Scoring!$E$36+H122*Scoring!$F$36</f>
        <v>54.25</v>
      </c>
      <c r="J120" s="66">
        <f>C120*Scoring!$B$36+TE!D120/Scoring!$C$36+TE!E120*Scoring!$D$36+TE!F120*Scoring!$E$36+H120*Scoring!$F$36</f>
        <v>57.800000000000004</v>
      </c>
      <c r="K120" s="66">
        <f>C121*Scoring!$B$36+TE!D121/Scoring!$C$36+TE!E121*Scoring!$D$36+TE!F121*Scoring!$E$36+H121*Scoring!$F$36</f>
        <v>61.400000000000006</v>
      </c>
    </row>
    <row r="121" spans="1:11" ht="14.25" customHeight="1" x14ac:dyDescent="0.3">
      <c r="B121" t="s">
        <v>472</v>
      </c>
      <c r="C121">
        <v>36</v>
      </c>
      <c r="D121">
        <v>302</v>
      </c>
      <c r="E121">
        <v>2.2000000000000002</v>
      </c>
      <c r="F121">
        <v>0</v>
      </c>
      <c r="G121">
        <v>56.9</v>
      </c>
      <c r="H121" s="64">
        <f t="shared" si="1"/>
        <v>15.916216216216217</v>
      </c>
      <c r="I121" s="68"/>
      <c r="J121" s="68"/>
      <c r="K121" s="68"/>
    </row>
    <row r="122" spans="1:11" ht="14.25" customHeight="1" x14ac:dyDescent="0.3">
      <c r="B122" t="s">
        <v>473</v>
      </c>
      <c r="C122">
        <v>30.3</v>
      </c>
      <c r="D122">
        <v>275</v>
      </c>
      <c r="E122">
        <v>2</v>
      </c>
      <c r="F122">
        <v>0.2</v>
      </c>
      <c r="G122">
        <v>49.6</v>
      </c>
      <c r="H122" s="64">
        <f t="shared" si="1"/>
        <v>14.493243243243244</v>
      </c>
      <c r="I122" s="68"/>
      <c r="J122" s="68"/>
      <c r="K122" s="68"/>
    </row>
    <row r="123" spans="1:11" ht="14.25" customHeight="1" x14ac:dyDescent="0.3">
      <c r="A123" t="s">
        <v>940</v>
      </c>
      <c r="B123" t="s">
        <v>501</v>
      </c>
      <c r="C123">
        <v>25.1</v>
      </c>
      <c r="D123">
        <v>296.7</v>
      </c>
      <c r="E123">
        <v>2.4</v>
      </c>
      <c r="F123">
        <v>0</v>
      </c>
      <c r="G123">
        <v>56.6</v>
      </c>
      <c r="H123" s="64">
        <f t="shared" si="1"/>
        <v>15.63689189189189</v>
      </c>
      <c r="I123" s="66">
        <f>C125*Scoring!$B$36+TE!D125/Scoring!$C$36+TE!E125*Scoring!$D$36+TE!F125*Scoring!$E$36+H125*Scoring!$F$36</f>
        <v>30.650000000000002</v>
      </c>
      <c r="J123" s="66">
        <f>C123*Scoring!$B$36+TE!D123/Scoring!$C$36+TE!E123*Scoring!$D$36+TE!F123*Scoring!$E$36+H123*Scoring!$F$36</f>
        <v>56.62</v>
      </c>
      <c r="K123" s="66">
        <f>C124*Scoring!$B$36+TE!D124/Scoring!$C$36+TE!E124*Scoring!$D$36+TE!F124*Scoring!$E$36+H124*Scoring!$F$36</f>
        <v>94</v>
      </c>
    </row>
    <row r="124" spans="1:11" ht="14.25" customHeight="1" x14ac:dyDescent="0.3">
      <c r="B124" t="s">
        <v>472</v>
      </c>
      <c r="C124">
        <v>40</v>
      </c>
      <c r="D124">
        <v>500</v>
      </c>
      <c r="E124">
        <v>4</v>
      </c>
      <c r="F124">
        <v>0</v>
      </c>
      <c r="G124">
        <v>77.599999999999994</v>
      </c>
      <c r="H124" s="64">
        <f t="shared" si="1"/>
        <v>26.351351351351351</v>
      </c>
      <c r="I124" s="68"/>
      <c r="J124" s="68"/>
      <c r="K124" s="68"/>
    </row>
    <row r="125" spans="1:11" ht="14.25" customHeight="1" x14ac:dyDescent="0.3">
      <c r="B125" t="s">
        <v>473</v>
      </c>
      <c r="C125">
        <v>15.3</v>
      </c>
      <c r="D125">
        <v>154</v>
      </c>
      <c r="E125">
        <v>1.3</v>
      </c>
      <c r="F125">
        <v>0.1</v>
      </c>
      <c r="G125">
        <v>35.299999999999997</v>
      </c>
      <c r="H125" s="64">
        <f t="shared" si="1"/>
        <v>8.1162162162162161</v>
      </c>
      <c r="I125" s="68"/>
      <c r="J125" s="68"/>
      <c r="K125" s="68"/>
    </row>
    <row r="126" spans="1:11" ht="14.25" customHeight="1" x14ac:dyDescent="0.3">
      <c r="A126" t="s">
        <v>941</v>
      </c>
      <c r="B126" t="s">
        <v>495</v>
      </c>
      <c r="C126">
        <v>26.3</v>
      </c>
      <c r="D126">
        <v>274.3</v>
      </c>
      <c r="E126">
        <v>2.2000000000000002</v>
      </c>
      <c r="F126">
        <v>0.1</v>
      </c>
      <c r="G126">
        <v>53.8</v>
      </c>
      <c r="H126" s="64">
        <f t="shared" si="1"/>
        <v>14.456351351351353</v>
      </c>
      <c r="I126" s="66">
        <f>C128*Scoring!$B$36+TE!D128/Scoring!$C$36+TE!E128*Scoring!$D$36+TE!F128*Scoring!$E$36+H128*Scoring!$F$36</f>
        <v>42.94</v>
      </c>
      <c r="J126" s="66">
        <f>C126*Scoring!$B$36+TE!D126/Scoring!$C$36+TE!E126*Scoring!$D$36+TE!F126*Scoring!$E$36+H126*Scoring!$F$36</f>
        <v>53.58</v>
      </c>
      <c r="K126" s="66">
        <f>C127*Scoring!$B$36+TE!D127/Scoring!$C$36+TE!E127*Scoring!$D$36+TE!F127*Scoring!$E$36+H127*Scoring!$F$36</f>
        <v>72.900000000000006</v>
      </c>
    </row>
    <row r="127" spans="1:11" ht="14.25" customHeight="1" x14ac:dyDescent="0.3">
      <c r="B127" t="s">
        <v>472</v>
      </c>
      <c r="C127">
        <v>35</v>
      </c>
      <c r="D127">
        <v>374</v>
      </c>
      <c r="E127">
        <v>3</v>
      </c>
      <c r="F127">
        <v>0</v>
      </c>
      <c r="G127">
        <v>86</v>
      </c>
      <c r="H127" s="64">
        <f t="shared" si="1"/>
        <v>19.710810810810809</v>
      </c>
      <c r="I127" s="68"/>
      <c r="J127" s="68"/>
      <c r="K127" s="68"/>
    </row>
    <row r="128" spans="1:11" ht="14.25" customHeight="1" x14ac:dyDescent="0.3">
      <c r="B128" t="s">
        <v>473</v>
      </c>
      <c r="C128">
        <v>21.9</v>
      </c>
      <c r="D128">
        <v>219.9</v>
      </c>
      <c r="E128">
        <v>1.7</v>
      </c>
      <c r="F128">
        <v>0.1</v>
      </c>
      <c r="G128">
        <v>40.1</v>
      </c>
      <c r="H128" s="64">
        <f t="shared" si="1"/>
        <v>11.589324324324325</v>
      </c>
      <c r="I128" s="68"/>
      <c r="J128" s="68"/>
      <c r="K128" s="68"/>
    </row>
    <row r="129" spans="1:11" ht="14.25" customHeight="1" x14ac:dyDescent="0.3">
      <c r="A129" t="s">
        <v>943</v>
      </c>
      <c r="B129" t="s">
        <v>505</v>
      </c>
      <c r="C129">
        <v>29.9</v>
      </c>
      <c r="D129">
        <v>279.7</v>
      </c>
      <c r="E129">
        <v>1.6</v>
      </c>
      <c r="F129">
        <v>1.6</v>
      </c>
      <c r="G129">
        <v>49.5</v>
      </c>
      <c r="H129" s="64">
        <f t="shared" si="1"/>
        <v>14.740945945945946</v>
      </c>
      <c r="I129" s="66">
        <f>C131*Scoring!$B$36+TE!D131/Scoring!$C$36+TE!E131*Scoring!$D$36+TE!F131*Scoring!$E$36+H131*Scoring!$F$36</f>
        <v>24.72</v>
      </c>
      <c r="J129" s="66">
        <f>C129*Scoring!$B$36+TE!D129/Scoring!$C$36+TE!E129*Scoring!$D$36+TE!F129*Scoring!$E$36+H129*Scoring!$F$36</f>
        <v>49.32</v>
      </c>
      <c r="K129" s="66">
        <f>C130*Scoring!$B$36+TE!D130/Scoring!$C$36+TE!E130*Scoring!$D$36+TE!F130*Scoring!$E$36+H130*Scoring!$F$36</f>
        <v>76.2</v>
      </c>
    </row>
    <row r="130" spans="1:11" ht="14.25" customHeight="1" x14ac:dyDescent="0.3">
      <c r="B130" t="s">
        <v>472</v>
      </c>
      <c r="C130">
        <v>44</v>
      </c>
      <c r="D130">
        <v>424</v>
      </c>
      <c r="E130">
        <v>2</v>
      </c>
      <c r="F130">
        <v>0.1</v>
      </c>
      <c r="G130">
        <v>65.900000000000006</v>
      </c>
      <c r="H130" s="64">
        <f t="shared" si="1"/>
        <v>22.345945945945946</v>
      </c>
      <c r="I130" s="68"/>
      <c r="J130" s="68"/>
      <c r="K130" s="68"/>
    </row>
    <row r="131" spans="1:11" ht="14.25" customHeight="1" x14ac:dyDescent="0.3">
      <c r="B131" t="s">
        <v>473</v>
      </c>
      <c r="C131">
        <v>18.600000000000001</v>
      </c>
      <c r="D131">
        <v>160.19999999999999</v>
      </c>
      <c r="E131">
        <v>0.9</v>
      </c>
      <c r="F131">
        <v>3</v>
      </c>
      <c r="G131">
        <v>36</v>
      </c>
      <c r="H131" s="64">
        <f t="shared" ref="H131:H194" si="2">IFERROR(D131/C131/11.1*0.585*C131,0)</f>
        <v>8.4429729729729726</v>
      </c>
      <c r="I131" s="68"/>
      <c r="J131" s="68"/>
      <c r="K131" s="68"/>
    </row>
    <row r="132" spans="1:11" ht="14.25" customHeight="1" x14ac:dyDescent="0.3">
      <c r="A132" t="s">
        <v>944</v>
      </c>
      <c r="B132" t="s">
        <v>513</v>
      </c>
      <c r="C132">
        <v>26.5</v>
      </c>
      <c r="D132">
        <v>251.4</v>
      </c>
      <c r="E132">
        <v>1.9</v>
      </c>
      <c r="F132">
        <v>0.6</v>
      </c>
      <c r="G132">
        <v>48.5</v>
      </c>
      <c r="H132" s="64">
        <f t="shared" si="2"/>
        <v>13.249459459459459</v>
      </c>
      <c r="I132" s="66">
        <f>C134*Scoring!$B$36+TE!D134/Scoring!$C$36+TE!E134*Scoring!$D$36+TE!F134*Scoring!$E$36+H134*Scoring!$F$36</f>
        <v>29.330000000000002</v>
      </c>
      <c r="J132" s="66">
        <f>C132*Scoring!$B$36+TE!D132/Scoring!$C$36+TE!E132*Scoring!$D$36+TE!F132*Scoring!$E$36+H132*Scoring!$F$36</f>
        <v>48.589999999999996</v>
      </c>
      <c r="K132" s="66">
        <f>C133*Scoring!$B$36+TE!D133/Scoring!$C$36+TE!E133*Scoring!$D$36+TE!F133*Scoring!$E$36+H133*Scoring!$F$36</f>
        <v>68.099999999999994</v>
      </c>
    </row>
    <row r="133" spans="1:11" ht="14.25" customHeight="1" x14ac:dyDescent="0.3">
      <c r="B133" t="s">
        <v>472</v>
      </c>
      <c r="C133">
        <v>35</v>
      </c>
      <c r="D133">
        <v>328</v>
      </c>
      <c r="E133">
        <v>3</v>
      </c>
      <c r="F133">
        <v>0.1</v>
      </c>
      <c r="G133">
        <v>53.3</v>
      </c>
      <c r="H133" s="64">
        <f t="shared" si="2"/>
        <v>17.286486486486485</v>
      </c>
      <c r="I133" s="68"/>
      <c r="J133" s="68"/>
      <c r="K133" s="68"/>
    </row>
    <row r="134" spans="1:11" ht="14.25" customHeight="1" x14ac:dyDescent="0.3">
      <c r="B134" t="s">
        <v>473</v>
      </c>
      <c r="C134">
        <v>18.100000000000001</v>
      </c>
      <c r="D134">
        <v>174.8</v>
      </c>
      <c r="E134">
        <v>0.8</v>
      </c>
      <c r="F134">
        <v>1</v>
      </c>
      <c r="G134">
        <v>35.1</v>
      </c>
      <c r="H134" s="64">
        <f t="shared" si="2"/>
        <v>9.2124324324324327</v>
      </c>
      <c r="I134" s="68"/>
      <c r="J134" s="68"/>
      <c r="K134" s="68"/>
    </row>
    <row r="135" spans="1:11" ht="14.25" customHeight="1" x14ac:dyDescent="0.3">
      <c r="A135" t="s">
        <v>946</v>
      </c>
      <c r="B135" t="s">
        <v>497</v>
      </c>
      <c r="C135">
        <v>21.6</v>
      </c>
      <c r="D135">
        <v>243.3</v>
      </c>
      <c r="E135">
        <v>2</v>
      </c>
      <c r="F135">
        <v>0.1</v>
      </c>
      <c r="G135">
        <v>47.3</v>
      </c>
      <c r="H135" s="64">
        <f t="shared" si="2"/>
        <v>12.822567567567567</v>
      </c>
      <c r="I135" s="66">
        <f>C137*Scoring!$B$36+TE!D137/Scoring!$C$36+TE!E137*Scoring!$D$36+TE!F137*Scoring!$E$36+H137*Scoring!$F$36</f>
        <v>28.03</v>
      </c>
      <c r="J135" s="66">
        <f>C135*Scoring!$B$36+TE!D135/Scoring!$C$36+TE!E135*Scoring!$D$36+TE!F135*Scoring!$E$36+H135*Scoring!$F$36</f>
        <v>46.93</v>
      </c>
      <c r="K135" s="66">
        <f>C136*Scoring!$B$36+TE!D136/Scoring!$C$36+TE!E136*Scoring!$D$36+TE!F136*Scoring!$E$36+H136*Scoring!$F$36</f>
        <v>69.7</v>
      </c>
    </row>
    <row r="136" spans="1:11" ht="14.25" customHeight="1" x14ac:dyDescent="0.3">
      <c r="B136" t="s">
        <v>472</v>
      </c>
      <c r="C136">
        <v>25</v>
      </c>
      <c r="D136">
        <v>332</v>
      </c>
      <c r="E136">
        <v>4</v>
      </c>
      <c r="F136">
        <v>0</v>
      </c>
      <c r="G136">
        <v>58.8</v>
      </c>
      <c r="H136" s="64">
        <f t="shared" si="2"/>
        <v>17.497297297297294</v>
      </c>
      <c r="I136" s="68"/>
      <c r="J136" s="68"/>
      <c r="K136" s="68"/>
    </row>
    <row r="137" spans="1:11" ht="14.25" customHeight="1" x14ac:dyDescent="0.3">
      <c r="B137" t="s">
        <v>473</v>
      </c>
      <c r="C137">
        <v>14.7</v>
      </c>
      <c r="D137">
        <v>148.80000000000001</v>
      </c>
      <c r="E137">
        <v>1</v>
      </c>
      <c r="F137">
        <v>0.1</v>
      </c>
      <c r="G137">
        <v>32.299999999999997</v>
      </c>
      <c r="H137" s="64">
        <f t="shared" si="2"/>
        <v>7.842162162162162</v>
      </c>
      <c r="I137" s="68"/>
      <c r="J137" s="68"/>
      <c r="K137" s="68"/>
    </row>
    <row r="138" spans="1:11" ht="14.25" customHeight="1" x14ac:dyDescent="0.3">
      <c r="A138" t="s">
        <v>1481</v>
      </c>
      <c r="B138" t="s">
        <v>515</v>
      </c>
      <c r="C138">
        <v>22.5</v>
      </c>
      <c r="D138">
        <v>204.8</v>
      </c>
      <c r="E138">
        <v>2.1</v>
      </c>
      <c r="F138">
        <v>0.1</v>
      </c>
      <c r="G138">
        <v>43.9</v>
      </c>
      <c r="H138" s="64">
        <f t="shared" si="2"/>
        <v>10.793513513513513</v>
      </c>
      <c r="I138" s="66">
        <f>C140*Scoring!$B$36+TE!D140/Scoring!$C$36+TE!E140*Scoring!$D$36+TE!F140*Scoring!$E$36+H140*Scoring!$F$36</f>
        <v>30.42</v>
      </c>
      <c r="J138" s="66">
        <f>C138*Scoring!$B$36+TE!D138/Scoring!$C$36+TE!E138*Scoring!$D$36+TE!F138*Scoring!$E$36+H138*Scoring!$F$36</f>
        <v>44.129999999999995</v>
      </c>
      <c r="K138" s="66">
        <f>C139*Scoring!$B$36+TE!D139/Scoring!$C$36+TE!E139*Scoring!$D$36+TE!F139*Scoring!$E$36+H139*Scoring!$F$36</f>
        <v>57.3</v>
      </c>
    </row>
    <row r="139" spans="1:11" ht="14.25" customHeight="1" x14ac:dyDescent="0.3">
      <c r="B139" t="s">
        <v>472</v>
      </c>
      <c r="C139">
        <v>28</v>
      </c>
      <c r="D139">
        <v>253</v>
      </c>
      <c r="E139">
        <v>3</v>
      </c>
      <c r="F139">
        <v>0</v>
      </c>
      <c r="G139">
        <v>54.3</v>
      </c>
      <c r="H139" s="64">
        <f t="shared" si="2"/>
        <v>13.333783783783785</v>
      </c>
      <c r="I139" s="68"/>
      <c r="J139" s="68"/>
      <c r="K139" s="68"/>
    </row>
    <row r="140" spans="1:11" ht="14.25" customHeight="1" x14ac:dyDescent="0.3">
      <c r="B140" t="s">
        <v>473</v>
      </c>
      <c r="C140">
        <v>17.100000000000001</v>
      </c>
      <c r="D140">
        <v>156.69999999999999</v>
      </c>
      <c r="E140">
        <v>1.1000000000000001</v>
      </c>
      <c r="F140">
        <v>0.2</v>
      </c>
      <c r="G140">
        <v>35.200000000000003</v>
      </c>
      <c r="H140" s="64">
        <f t="shared" si="2"/>
        <v>8.2585135135135133</v>
      </c>
      <c r="I140" s="68"/>
      <c r="J140" s="68"/>
      <c r="K140" s="68"/>
    </row>
    <row r="141" spans="1:11" ht="14.25" customHeight="1" x14ac:dyDescent="0.3">
      <c r="A141" t="s">
        <v>948</v>
      </c>
      <c r="B141" t="s">
        <v>503</v>
      </c>
      <c r="C141">
        <v>20.9</v>
      </c>
      <c r="D141">
        <v>187.6</v>
      </c>
      <c r="E141">
        <v>2.2999999999999998</v>
      </c>
      <c r="F141">
        <v>0</v>
      </c>
      <c r="G141">
        <v>43</v>
      </c>
      <c r="H141" s="64">
        <f t="shared" si="2"/>
        <v>9.8870270270270257</v>
      </c>
      <c r="I141" s="66">
        <f>C143*Scoring!$B$36+TE!D143/Scoring!$C$36+TE!E143*Scoring!$D$36+TE!F143*Scoring!$E$36+H143*Scoring!$F$36</f>
        <v>14.67</v>
      </c>
      <c r="J141" s="66">
        <f>C141*Scoring!$B$36+TE!D141/Scoring!$C$36+TE!E141*Scoring!$D$36+TE!F141*Scoring!$E$36+H141*Scoring!$F$36</f>
        <v>43.01</v>
      </c>
      <c r="K141" s="66">
        <f>C142*Scoring!$B$36+TE!D142/Scoring!$C$36+TE!E142*Scoring!$D$36+TE!F142*Scoring!$E$36+H142*Scoring!$F$36</f>
        <v>71.3</v>
      </c>
    </row>
    <row r="142" spans="1:11" ht="14.25" customHeight="1" x14ac:dyDescent="0.3">
      <c r="B142" t="s">
        <v>472</v>
      </c>
      <c r="C142">
        <v>34</v>
      </c>
      <c r="D142">
        <v>303</v>
      </c>
      <c r="E142">
        <v>4</v>
      </c>
      <c r="F142">
        <v>0</v>
      </c>
      <c r="G142">
        <v>55.4</v>
      </c>
      <c r="H142" s="64">
        <f t="shared" si="2"/>
        <v>15.968918918918918</v>
      </c>
      <c r="I142" s="68"/>
      <c r="J142" s="68"/>
      <c r="K142" s="68"/>
    </row>
    <row r="143" spans="1:11" ht="14.25" customHeight="1" x14ac:dyDescent="0.3">
      <c r="B143" t="s">
        <v>473</v>
      </c>
      <c r="C143">
        <v>7.7</v>
      </c>
      <c r="D143">
        <v>72.2</v>
      </c>
      <c r="E143">
        <v>0.6</v>
      </c>
      <c r="F143">
        <v>0</v>
      </c>
      <c r="G143">
        <v>21.3</v>
      </c>
      <c r="H143" s="64">
        <f t="shared" si="2"/>
        <v>3.8051351351351355</v>
      </c>
      <c r="I143" s="68"/>
      <c r="J143" s="68"/>
      <c r="K143" s="68"/>
    </row>
    <row r="144" spans="1:11" ht="14.25" customHeight="1" x14ac:dyDescent="0.3">
      <c r="A144" t="s">
        <v>949</v>
      </c>
      <c r="B144" t="s">
        <v>509</v>
      </c>
      <c r="C144">
        <v>18.600000000000001</v>
      </c>
      <c r="D144">
        <v>194.3</v>
      </c>
      <c r="E144">
        <v>2.4</v>
      </c>
      <c r="F144">
        <v>0.1</v>
      </c>
      <c r="G144">
        <v>42.9</v>
      </c>
      <c r="H144" s="64">
        <f t="shared" si="2"/>
        <v>10.240135135135136</v>
      </c>
      <c r="I144" s="66">
        <f>C146*Scoring!$B$36+TE!D146/Scoring!$C$36+TE!E146*Scoring!$D$36+TE!F146*Scoring!$E$36+H146*Scoring!$F$36</f>
        <v>29.890000000000004</v>
      </c>
      <c r="J144" s="66">
        <f>C144*Scoring!$B$36+TE!D144/Scoring!$C$36+TE!E144*Scoring!$D$36+TE!F144*Scoring!$E$36+H144*Scoring!$F$36</f>
        <v>42.929999999999993</v>
      </c>
      <c r="K144" s="66">
        <f>C145*Scoring!$B$36+TE!D145/Scoring!$C$36+TE!E145*Scoring!$D$36+TE!F145*Scoring!$E$36+H145*Scoring!$F$36</f>
        <v>59.4</v>
      </c>
    </row>
    <row r="145" spans="1:11" ht="14.25" customHeight="1" x14ac:dyDescent="0.3">
      <c r="B145" t="s">
        <v>472</v>
      </c>
      <c r="C145">
        <v>22</v>
      </c>
      <c r="D145">
        <v>244</v>
      </c>
      <c r="E145">
        <v>4</v>
      </c>
      <c r="F145">
        <v>0</v>
      </c>
      <c r="G145">
        <v>49.3</v>
      </c>
      <c r="H145" s="64">
        <f t="shared" si="2"/>
        <v>12.85945945945946</v>
      </c>
      <c r="I145" s="68"/>
      <c r="J145" s="68"/>
      <c r="K145" s="68"/>
    </row>
    <row r="146" spans="1:11" ht="14.25" customHeight="1" x14ac:dyDescent="0.3">
      <c r="B146" t="s">
        <v>473</v>
      </c>
      <c r="C146">
        <v>16.8</v>
      </c>
      <c r="D146">
        <v>150.9</v>
      </c>
      <c r="E146">
        <v>1.1000000000000001</v>
      </c>
      <c r="F146">
        <v>0.1</v>
      </c>
      <c r="G146">
        <v>31.1</v>
      </c>
      <c r="H146" s="64">
        <f t="shared" si="2"/>
        <v>7.9528378378378379</v>
      </c>
      <c r="I146" s="68"/>
      <c r="J146" s="68"/>
      <c r="K146" s="68"/>
    </row>
    <row r="147" spans="1:11" ht="14.25" customHeight="1" x14ac:dyDescent="0.3">
      <c r="A147" t="s">
        <v>950</v>
      </c>
      <c r="B147" t="s">
        <v>525</v>
      </c>
      <c r="C147">
        <v>19.3</v>
      </c>
      <c r="D147">
        <v>222.2</v>
      </c>
      <c r="E147">
        <v>1.8</v>
      </c>
      <c r="F147">
        <v>0</v>
      </c>
      <c r="G147">
        <v>42.3</v>
      </c>
      <c r="H147" s="64">
        <f t="shared" si="2"/>
        <v>11.710540540540539</v>
      </c>
      <c r="I147" s="66">
        <f>C149*Scoring!$B$36+TE!D149/Scoring!$C$36+TE!E149*Scoring!$D$36+TE!F149*Scoring!$E$36+H149*Scoring!$F$36</f>
        <v>20.400000000000002</v>
      </c>
      <c r="J147" s="66">
        <f>C147*Scoring!$B$36+TE!D147/Scoring!$C$36+TE!E147*Scoring!$D$36+TE!F147*Scoring!$E$36+H147*Scoring!$F$36</f>
        <v>42.67</v>
      </c>
      <c r="K147" s="66">
        <f>C148*Scoring!$B$36+TE!D148/Scoring!$C$36+TE!E148*Scoring!$D$36+TE!F148*Scoring!$E$36+H148*Scoring!$F$36</f>
        <v>64.2</v>
      </c>
    </row>
    <row r="148" spans="1:11" ht="14.25" customHeight="1" x14ac:dyDescent="0.3">
      <c r="B148" t="s">
        <v>472</v>
      </c>
      <c r="C148">
        <v>26</v>
      </c>
      <c r="D148">
        <v>332</v>
      </c>
      <c r="E148">
        <v>3</v>
      </c>
      <c r="F148">
        <v>0</v>
      </c>
      <c r="G148">
        <v>51.7</v>
      </c>
      <c r="H148" s="64">
        <f t="shared" si="2"/>
        <v>17.497297297297298</v>
      </c>
      <c r="I148" s="68"/>
      <c r="J148" s="68"/>
      <c r="K148" s="68"/>
    </row>
    <row r="149" spans="1:11" ht="14.25" customHeight="1" x14ac:dyDescent="0.3">
      <c r="B149" t="s">
        <v>473</v>
      </c>
      <c r="C149">
        <v>12.7</v>
      </c>
      <c r="D149">
        <v>112.5</v>
      </c>
      <c r="E149">
        <v>0.5</v>
      </c>
      <c r="F149">
        <v>0.1</v>
      </c>
      <c r="G149">
        <v>23.7</v>
      </c>
      <c r="H149" s="64">
        <f t="shared" si="2"/>
        <v>5.9290540540540535</v>
      </c>
      <c r="I149" s="68"/>
      <c r="J149" s="68"/>
      <c r="K149" s="68"/>
    </row>
    <row r="150" spans="1:11" ht="14.25" customHeight="1" x14ac:dyDescent="0.3">
      <c r="A150" t="s">
        <v>954</v>
      </c>
      <c r="B150" t="s">
        <v>499</v>
      </c>
      <c r="C150">
        <v>21.3</v>
      </c>
      <c r="D150">
        <v>216.7</v>
      </c>
      <c r="E150">
        <v>1.6</v>
      </c>
      <c r="F150">
        <v>0.1</v>
      </c>
      <c r="G150">
        <v>42.1</v>
      </c>
      <c r="H150" s="64">
        <f t="shared" si="2"/>
        <v>11.420675675675675</v>
      </c>
      <c r="I150" s="66">
        <f>C152*Scoring!$B$36+TE!D152/Scoring!$C$36+TE!E152*Scoring!$D$36+TE!F152*Scoring!$E$36+H152*Scoring!$F$36</f>
        <v>30.540000000000003</v>
      </c>
      <c r="J150" s="66">
        <f>C150*Scoring!$B$36+TE!D150/Scoring!$C$36+TE!E150*Scoring!$D$36+TE!F150*Scoring!$E$36+H150*Scoring!$F$36</f>
        <v>41.72</v>
      </c>
      <c r="K150" s="66">
        <f>C151*Scoring!$B$36+TE!D151/Scoring!$C$36+TE!E151*Scoring!$D$36+TE!F151*Scoring!$E$36+H151*Scoring!$F$36</f>
        <v>53.7</v>
      </c>
    </row>
    <row r="151" spans="1:11" ht="14.25" customHeight="1" x14ac:dyDescent="0.3">
      <c r="B151" t="s">
        <v>472</v>
      </c>
      <c r="C151">
        <v>27</v>
      </c>
      <c r="D151">
        <v>282</v>
      </c>
      <c r="E151">
        <v>2</v>
      </c>
      <c r="F151">
        <v>0</v>
      </c>
      <c r="G151">
        <v>41.6</v>
      </c>
      <c r="H151" s="64">
        <f t="shared" si="2"/>
        <v>14.862162162162161</v>
      </c>
      <c r="I151" s="68"/>
      <c r="J151" s="68"/>
      <c r="K151" s="68"/>
    </row>
    <row r="152" spans="1:11" ht="14.25" customHeight="1" x14ac:dyDescent="0.3">
      <c r="B152" t="s">
        <v>473</v>
      </c>
      <c r="C152">
        <v>15.6</v>
      </c>
      <c r="D152">
        <v>151.4</v>
      </c>
      <c r="E152">
        <v>1.3</v>
      </c>
      <c r="F152">
        <v>0.1</v>
      </c>
      <c r="G152">
        <v>33.5</v>
      </c>
      <c r="H152" s="64">
        <f t="shared" si="2"/>
        <v>7.9791891891891895</v>
      </c>
      <c r="I152" s="68"/>
      <c r="J152" s="68"/>
      <c r="K152" s="68"/>
    </row>
    <row r="153" spans="1:11" ht="14.25" customHeight="1" x14ac:dyDescent="0.3">
      <c r="A153" t="s">
        <v>947</v>
      </c>
      <c r="B153" t="s">
        <v>533</v>
      </c>
      <c r="C153">
        <v>21.9</v>
      </c>
      <c r="D153">
        <v>225.4</v>
      </c>
      <c r="E153">
        <v>1.3</v>
      </c>
      <c r="F153">
        <v>0.1</v>
      </c>
      <c r="G153">
        <v>41</v>
      </c>
      <c r="H153" s="64">
        <f t="shared" si="2"/>
        <v>11.879189189189191</v>
      </c>
      <c r="I153" s="66">
        <f>C155*Scoring!$B$36+TE!D155/Scoring!$C$36+TE!E155*Scoring!$D$36+TE!F155*Scoring!$E$36+H155*Scoring!$F$36</f>
        <v>33.019999999999996</v>
      </c>
      <c r="J153" s="66">
        <f>C153*Scoring!$B$36+TE!D153/Scoring!$C$36+TE!E153*Scoring!$D$36+TE!F153*Scoring!$E$36+H153*Scoring!$F$36</f>
        <v>41.089999999999989</v>
      </c>
      <c r="K153" s="66">
        <f>C154*Scoring!$B$36+TE!D154/Scoring!$C$36+TE!E154*Scoring!$D$36+TE!F154*Scoring!$E$36+H154*Scoring!$F$36</f>
        <v>48.5</v>
      </c>
    </row>
    <row r="154" spans="1:11" ht="14.25" customHeight="1" x14ac:dyDescent="0.3">
      <c r="B154" t="s">
        <v>472</v>
      </c>
      <c r="C154">
        <v>23</v>
      </c>
      <c r="D154">
        <v>250</v>
      </c>
      <c r="E154">
        <v>2</v>
      </c>
      <c r="F154">
        <v>0</v>
      </c>
      <c r="G154">
        <v>58.4</v>
      </c>
      <c r="H154" s="64">
        <f t="shared" si="2"/>
        <v>13.175675675675677</v>
      </c>
      <c r="I154" s="68"/>
      <c r="J154" s="68"/>
      <c r="K154" s="68"/>
    </row>
    <row r="155" spans="1:11" ht="14.25" customHeight="1" x14ac:dyDescent="0.3">
      <c r="B155" t="s">
        <v>473</v>
      </c>
      <c r="C155">
        <v>20.6</v>
      </c>
      <c r="D155">
        <v>181.2</v>
      </c>
      <c r="E155">
        <v>0.8</v>
      </c>
      <c r="F155">
        <v>0.1</v>
      </c>
      <c r="G155">
        <v>32.9</v>
      </c>
      <c r="H155" s="64">
        <f t="shared" si="2"/>
        <v>9.5497297297297301</v>
      </c>
      <c r="I155" s="68"/>
      <c r="J155" s="68"/>
      <c r="K155" s="68"/>
    </row>
    <row r="156" spans="1:11" ht="14.25" customHeight="1" x14ac:dyDescent="0.3">
      <c r="A156" t="s">
        <v>956</v>
      </c>
      <c r="B156" t="s">
        <v>477</v>
      </c>
      <c r="C156">
        <v>20.7</v>
      </c>
      <c r="D156">
        <v>215.1</v>
      </c>
      <c r="E156">
        <v>1.7</v>
      </c>
      <c r="F156">
        <v>0.6</v>
      </c>
      <c r="G156">
        <v>40.9</v>
      </c>
      <c r="H156" s="64">
        <f t="shared" si="2"/>
        <v>11.336351351351352</v>
      </c>
      <c r="I156" s="66">
        <f>C158*Scoring!$B$36+TE!D158/Scoring!$C$36+TE!E158*Scoring!$D$36+TE!F158*Scoring!$E$36+H158*Scoring!$F$36</f>
        <v>35.01</v>
      </c>
      <c r="J156" s="66">
        <f>C156*Scoring!$B$36+TE!D156/Scoring!$C$36+TE!E156*Scoring!$D$36+TE!F156*Scoring!$E$36+H156*Scoring!$F$36</f>
        <v>40.86</v>
      </c>
      <c r="K156" s="66">
        <f>C157*Scoring!$B$36+TE!D157/Scoring!$C$36+TE!E157*Scoring!$D$36+TE!F157*Scoring!$E$36+H157*Scoring!$F$36</f>
        <v>46.9</v>
      </c>
    </row>
    <row r="157" spans="1:11" ht="14.25" customHeight="1" x14ac:dyDescent="0.3">
      <c r="B157" t="s">
        <v>472</v>
      </c>
      <c r="C157">
        <v>22</v>
      </c>
      <c r="D157">
        <v>241</v>
      </c>
      <c r="E157">
        <v>2</v>
      </c>
      <c r="F157">
        <v>0.1</v>
      </c>
      <c r="G157">
        <v>37.4</v>
      </c>
      <c r="H157" s="64">
        <f t="shared" si="2"/>
        <v>12.701351351351352</v>
      </c>
      <c r="I157" s="68"/>
      <c r="J157" s="68"/>
      <c r="K157" s="68"/>
    </row>
    <row r="158" spans="1:11" ht="14.25" customHeight="1" x14ac:dyDescent="0.3">
      <c r="B158" t="s">
        <v>473</v>
      </c>
      <c r="C158">
        <v>19.399999999999999</v>
      </c>
      <c r="D158">
        <v>189.1</v>
      </c>
      <c r="E158">
        <v>1.4</v>
      </c>
      <c r="F158">
        <v>1</v>
      </c>
      <c r="G158">
        <v>36.4</v>
      </c>
      <c r="H158" s="64">
        <f t="shared" si="2"/>
        <v>9.9660810810810805</v>
      </c>
      <c r="I158" s="68"/>
      <c r="J158" s="68"/>
      <c r="K158" s="68"/>
    </row>
    <row r="159" spans="1:11" ht="14.25" customHeight="1" x14ac:dyDescent="0.3">
      <c r="A159" t="s">
        <v>953</v>
      </c>
      <c r="B159" t="s">
        <v>521</v>
      </c>
      <c r="C159">
        <v>21.1</v>
      </c>
      <c r="D159">
        <v>197.8</v>
      </c>
      <c r="E159">
        <v>1.8</v>
      </c>
      <c r="F159">
        <v>0.1</v>
      </c>
      <c r="G159">
        <v>40.799999999999997</v>
      </c>
      <c r="H159" s="64">
        <f t="shared" si="2"/>
        <v>10.424594594594597</v>
      </c>
      <c r="I159" s="66">
        <f>C161*Scoring!$B$36+TE!D161/Scoring!$C$36+TE!E161*Scoring!$D$36+TE!F161*Scoring!$E$36+H161*Scoring!$F$36</f>
        <v>34.43</v>
      </c>
      <c r="J159" s="66">
        <f>C159*Scoring!$B$36+TE!D159/Scoring!$C$36+TE!E159*Scoring!$D$36+TE!F159*Scoring!$E$36+H159*Scoring!$F$36</f>
        <v>40.93</v>
      </c>
      <c r="K159" s="66">
        <f>C160*Scoring!$B$36+TE!D160/Scoring!$C$36+TE!E160*Scoring!$D$36+TE!F160*Scoring!$E$36+H160*Scoring!$F$36</f>
        <v>45</v>
      </c>
    </row>
    <row r="160" spans="1:11" ht="14.25" customHeight="1" x14ac:dyDescent="0.3">
      <c r="B160" t="s">
        <v>472</v>
      </c>
      <c r="C160">
        <v>23</v>
      </c>
      <c r="D160">
        <v>215</v>
      </c>
      <c r="E160">
        <v>2</v>
      </c>
      <c r="F160">
        <v>0</v>
      </c>
      <c r="G160">
        <v>55.1</v>
      </c>
      <c r="H160" s="64">
        <f t="shared" si="2"/>
        <v>11.331081081081081</v>
      </c>
      <c r="I160" s="68"/>
      <c r="J160" s="68"/>
      <c r="K160" s="68"/>
    </row>
    <row r="161" spans="1:11" ht="14.25" customHeight="1" x14ac:dyDescent="0.3">
      <c r="B161" t="s">
        <v>473</v>
      </c>
      <c r="C161">
        <v>18.399999999999999</v>
      </c>
      <c r="D161">
        <v>176.3</v>
      </c>
      <c r="E161">
        <v>1.3</v>
      </c>
      <c r="F161">
        <v>0.1</v>
      </c>
      <c r="G161">
        <v>34.6</v>
      </c>
      <c r="H161" s="64">
        <f t="shared" si="2"/>
        <v>9.2914864864864857</v>
      </c>
      <c r="I161" s="68"/>
      <c r="J161" s="68"/>
      <c r="K161" s="68"/>
    </row>
    <row r="162" spans="1:11" ht="14.25" customHeight="1" x14ac:dyDescent="0.3">
      <c r="A162" t="s">
        <v>951</v>
      </c>
      <c r="B162" t="s">
        <v>493</v>
      </c>
      <c r="C162">
        <v>21</v>
      </c>
      <c r="D162">
        <v>211.4</v>
      </c>
      <c r="E162">
        <v>1.5</v>
      </c>
      <c r="F162">
        <v>0.1</v>
      </c>
      <c r="G162">
        <v>40.4</v>
      </c>
      <c r="H162" s="64">
        <f t="shared" si="2"/>
        <v>11.14135135135135</v>
      </c>
      <c r="I162" s="66">
        <f>C164*Scoring!$B$36+TE!D164/Scoring!$C$36+TE!E164*Scoring!$D$36+TE!F164*Scoring!$E$36+H164*Scoring!$F$36</f>
        <v>27.1</v>
      </c>
      <c r="J162" s="66">
        <f>C162*Scoring!$B$36+TE!D162/Scoring!$C$36+TE!E162*Scoring!$D$36+TE!F162*Scoring!$E$36+H162*Scoring!$F$36</f>
        <v>40.44</v>
      </c>
      <c r="K162" s="66">
        <f>C163*Scoring!$B$36+TE!D163/Scoring!$C$36+TE!E163*Scoring!$D$36+TE!F163*Scoring!$E$36+H163*Scoring!$F$36</f>
        <v>51.260000000000005</v>
      </c>
    </row>
    <row r="163" spans="1:11" ht="14.25" customHeight="1" x14ac:dyDescent="0.3">
      <c r="B163" t="s">
        <v>472</v>
      </c>
      <c r="C163">
        <v>26.1</v>
      </c>
      <c r="D163">
        <v>262.10000000000002</v>
      </c>
      <c r="E163">
        <v>2</v>
      </c>
      <c r="F163">
        <v>0</v>
      </c>
      <c r="G163">
        <v>56.9</v>
      </c>
      <c r="H163" s="64">
        <f t="shared" si="2"/>
        <v>13.813378378378378</v>
      </c>
      <c r="I163" s="68"/>
      <c r="J163" s="68"/>
      <c r="K163" s="68"/>
    </row>
    <row r="164" spans="1:11" ht="14.25" customHeight="1" x14ac:dyDescent="0.3">
      <c r="B164" t="s">
        <v>473</v>
      </c>
      <c r="C164">
        <v>15</v>
      </c>
      <c r="D164">
        <v>138</v>
      </c>
      <c r="E164">
        <v>1</v>
      </c>
      <c r="F164">
        <v>0.1</v>
      </c>
      <c r="G164">
        <v>22.5</v>
      </c>
      <c r="H164" s="64">
        <f t="shared" si="2"/>
        <v>7.2729729729729717</v>
      </c>
      <c r="I164" s="68"/>
      <c r="J164" s="68"/>
      <c r="K164" s="68"/>
    </row>
    <row r="165" spans="1:11" ht="14.25" customHeight="1" x14ac:dyDescent="0.3">
      <c r="A165" t="s">
        <v>952</v>
      </c>
      <c r="B165" t="s">
        <v>481</v>
      </c>
      <c r="C165">
        <v>20.9</v>
      </c>
      <c r="D165">
        <v>214.9</v>
      </c>
      <c r="E165">
        <v>1.4</v>
      </c>
      <c r="F165">
        <v>0.6</v>
      </c>
      <c r="G165">
        <v>39.1</v>
      </c>
      <c r="H165" s="64">
        <f t="shared" si="2"/>
        <v>11.325810810810811</v>
      </c>
      <c r="I165" s="66">
        <f>C167*Scoring!$B$36+TE!D167/Scoring!$C$36+TE!E167*Scoring!$D$36+TE!F167*Scoring!$E$36+H167*Scoring!$F$36</f>
        <v>18.890000000000004</v>
      </c>
      <c r="J165" s="66">
        <f>C165*Scoring!$B$36+TE!D165/Scoring!$C$36+TE!E165*Scoring!$D$36+TE!F165*Scoring!$E$36+H165*Scoring!$F$36</f>
        <v>39.14</v>
      </c>
      <c r="K165" s="66">
        <f>C166*Scoring!$B$36+TE!D166/Scoring!$C$36+TE!E166*Scoring!$D$36+TE!F166*Scoring!$E$36+H166*Scoring!$F$36</f>
        <v>59.599999999999994</v>
      </c>
    </row>
    <row r="166" spans="1:11" ht="14.25" customHeight="1" x14ac:dyDescent="0.3">
      <c r="B166" t="s">
        <v>472</v>
      </c>
      <c r="C166">
        <v>31</v>
      </c>
      <c r="D166">
        <v>323</v>
      </c>
      <c r="E166">
        <v>2</v>
      </c>
      <c r="F166">
        <v>0.1</v>
      </c>
      <c r="G166">
        <v>44.4</v>
      </c>
      <c r="H166" s="64">
        <f t="shared" si="2"/>
        <v>17.022972972972973</v>
      </c>
      <c r="I166" s="68"/>
      <c r="J166" s="68"/>
      <c r="K166" s="68"/>
    </row>
    <row r="167" spans="1:11" ht="14.25" customHeight="1" x14ac:dyDescent="0.3">
      <c r="B167" t="s">
        <v>473</v>
      </c>
      <c r="C167">
        <v>10.8</v>
      </c>
      <c r="D167">
        <v>106.9</v>
      </c>
      <c r="E167">
        <v>0.8</v>
      </c>
      <c r="F167">
        <v>1</v>
      </c>
      <c r="G167">
        <v>28.7</v>
      </c>
      <c r="H167" s="64">
        <f t="shared" si="2"/>
        <v>5.6339189189189192</v>
      </c>
      <c r="I167" s="68"/>
      <c r="J167" s="68"/>
      <c r="K167" s="68"/>
    </row>
    <row r="168" spans="1:11" ht="14.25" customHeight="1" x14ac:dyDescent="0.3">
      <c r="A168" t="s">
        <v>945</v>
      </c>
      <c r="B168" t="s">
        <v>517</v>
      </c>
      <c r="C168">
        <v>19</v>
      </c>
      <c r="D168">
        <v>198.4</v>
      </c>
      <c r="E168">
        <v>1.6</v>
      </c>
      <c r="F168">
        <v>0.1</v>
      </c>
      <c r="G168">
        <v>38.6</v>
      </c>
      <c r="H168" s="64">
        <f t="shared" si="2"/>
        <v>10.456216216216216</v>
      </c>
      <c r="I168" s="66">
        <f>C170*Scoring!$B$36+TE!D170/Scoring!$C$36+TE!E170*Scoring!$D$36+TE!F170*Scoring!$E$36+H170*Scoring!$F$36</f>
        <v>22.1</v>
      </c>
      <c r="J168" s="66">
        <f>C168*Scoring!$B$36+TE!D168/Scoring!$C$36+TE!E168*Scoring!$D$36+TE!F168*Scoring!$E$36+H168*Scoring!$F$36</f>
        <v>38.739999999999995</v>
      </c>
      <c r="K168" s="66">
        <f>C169*Scoring!$B$36+TE!D169/Scoring!$C$36+TE!E169*Scoring!$D$36+TE!F169*Scoring!$E$36+H169*Scoring!$F$36</f>
        <v>50.47</v>
      </c>
    </row>
    <row r="169" spans="1:11" ht="14.25" customHeight="1" x14ac:dyDescent="0.3">
      <c r="B169" t="s">
        <v>472</v>
      </c>
      <c r="C169">
        <v>24.1</v>
      </c>
      <c r="D169">
        <v>264.2</v>
      </c>
      <c r="E169">
        <v>2</v>
      </c>
      <c r="F169">
        <v>0</v>
      </c>
      <c r="G169">
        <v>54.6</v>
      </c>
      <c r="H169" s="64">
        <f t="shared" si="2"/>
        <v>13.924054054054054</v>
      </c>
      <c r="I169" s="68"/>
      <c r="J169" s="68"/>
      <c r="K169" s="68"/>
    </row>
    <row r="170" spans="1:11" ht="14.25" customHeight="1" x14ac:dyDescent="0.3">
      <c r="B170" t="s">
        <v>473</v>
      </c>
      <c r="C170">
        <v>10</v>
      </c>
      <c r="D170">
        <v>115</v>
      </c>
      <c r="E170">
        <v>1</v>
      </c>
      <c r="F170">
        <v>0.2</v>
      </c>
      <c r="G170">
        <v>19.5</v>
      </c>
      <c r="H170" s="64">
        <f t="shared" si="2"/>
        <v>6.0608108108108105</v>
      </c>
      <c r="I170" s="68"/>
      <c r="J170" s="68"/>
      <c r="K170" s="68"/>
    </row>
    <row r="171" spans="1:11" ht="14.25" customHeight="1" x14ac:dyDescent="0.3">
      <c r="A171" t="s">
        <v>958</v>
      </c>
      <c r="B171" t="s">
        <v>501</v>
      </c>
      <c r="C171">
        <v>16.899999999999999</v>
      </c>
      <c r="D171">
        <v>157.19999999999999</v>
      </c>
      <c r="E171">
        <v>1.9</v>
      </c>
      <c r="F171">
        <v>0</v>
      </c>
      <c r="G171">
        <v>35.299999999999997</v>
      </c>
      <c r="H171" s="64">
        <f t="shared" si="2"/>
        <v>8.2848648648648648</v>
      </c>
      <c r="I171" s="66">
        <f>C173*Scoring!$B$36+TE!D173/Scoring!$C$36+TE!E173*Scoring!$D$36+TE!F173*Scoring!$E$36+H173*Scoring!$F$36</f>
        <v>15.24</v>
      </c>
      <c r="J171" s="66">
        <f>C171*Scoring!$B$36+TE!D171/Scoring!$C$36+TE!E171*Scoring!$D$36+TE!F171*Scoring!$E$36+H171*Scoring!$F$36</f>
        <v>35.569999999999993</v>
      </c>
      <c r="K171" s="66">
        <f>C172*Scoring!$B$36+TE!D172/Scoring!$C$36+TE!E172*Scoring!$D$36+TE!F172*Scoring!$E$36+H172*Scoring!$F$36</f>
        <v>55.1</v>
      </c>
    </row>
    <row r="172" spans="1:11" ht="14.25" customHeight="1" x14ac:dyDescent="0.3">
      <c r="B172" t="s">
        <v>472</v>
      </c>
      <c r="C172">
        <v>26</v>
      </c>
      <c r="D172">
        <v>241</v>
      </c>
      <c r="E172">
        <v>3</v>
      </c>
      <c r="F172">
        <v>0</v>
      </c>
      <c r="G172">
        <v>42.5</v>
      </c>
      <c r="H172" s="64">
        <f t="shared" si="2"/>
        <v>12.701351351351352</v>
      </c>
      <c r="I172" s="68"/>
      <c r="J172" s="68"/>
      <c r="K172" s="68"/>
    </row>
    <row r="173" spans="1:11" ht="14.25" customHeight="1" x14ac:dyDescent="0.3">
      <c r="B173" t="s">
        <v>473</v>
      </c>
      <c r="C173">
        <v>7.8</v>
      </c>
      <c r="D173">
        <v>73.400000000000006</v>
      </c>
      <c r="E173">
        <v>0.7</v>
      </c>
      <c r="F173">
        <v>0.1</v>
      </c>
      <c r="G173">
        <v>20.100000000000001</v>
      </c>
      <c r="H173" s="64">
        <f t="shared" si="2"/>
        <v>3.8683783783783787</v>
      </c>
      <c r="I173" s="68"/>
      <c r="J173" s="68"/>
      <c r="K173" s="68"/>
    </row>
    <row r="174" spans="1:11" ht="14.25" customHeight="1" x14ac:dyDescent="0.3">
      <c r="A174" t="s">
        <v>960</v>
      </c>
      <c r="B174" t="s">
        <v>521</v>
      </c>
      <c r="C174">
        <v>22.2</v>
      </c>
      <c r="D174">
        <v>178.1</v>
      </c>
      <c r="E174">
        <v>1</v>
      </c>
      <c r="F174">
        <v>0.1</v>
      </c>
      <c r="G174">
        <v>35</v>
      </c>
      <c r="H174" s="64">
        <f t="shared" si="2"/>
        <v>9.3863513513513528</v>
      </c>
      <c r="I174" s="66">
        <f>C176*Scoring!$B$36+TE!D176/Scoring!$C$36+TE!E176*Scoring!$D$36+TE!F176*Scoring!$E$36+H176*Scoring!$F$36</f>
        <v>31.959999999999997</v>
      </c>
      <c r="J174" s="66">
        <f>C174*Scoring!$B$36+TE!D174/Scoring!$C$36+TE!E174*Scoring!$D$36+TE!F174*Scoring!$E$36+H174*Scoring!$F$36</f>
        <v>34.709999999999994</v>
      </c>
      <c r="K174" s="66">
        <f>C175*Scoring!$B$36+TE!D175/Scoring!$C$36+TE!E175*Scoring!$D$36+TE!F175*Scoring!$E$36+H175*Scoring!$F$36</f>
        <v>38.299999999999997</v>
      </c>
    </row>
    <row r="175" spans="1:11" ht="14.25" customHeight="1" x14ac:dyDescent="0.3">
      <c r="B175" t="s">
        <v>472</v>
      </c>
      <c r="C175">
        <v>25</v>
      </c>
      <c r="D175">
        <v>192</v>
      </c>
      <c r="E175">
        <v>1.1000000000000001</v>
      </c>
      <c r="F175">
        <v>0</v>
      </c>
      <c r="G175">
        <v>33.9</v>
      </c>
      <c r="H175" s="64">
        <f t="shared" si="2"/>
        <v>10.118918918918919</v>
      </c>
      <c r="I175" s="68"/>
      <c r="J175" s="68"/>
      <c r="K175" s="68"/>
    </row>
    <row r="176" spans="1:11" ht="14.25" customHeight="1" x14ac:dyDescent="0.3">
      <c r="B176" t="s">
        <v>473</v>
      </c>
      <c r="C176">
        <v>19.5</v>
      </c>
      <c r="D176">
        <v>164.1</v>
      </c>
      <c r="E176">
        <v>1</v>
      </c>
      <c r="F176">
        <v>0.1</v>
      </c>
      <c r="G176">
        <v>29.1</v>
      </c>
      <c r="H176" s="64">
        <f t="shared" si="2"/>
        <v>8.6485135135135138</v>
      </c>
      <c r="I176" s="68"/>
      <c r="J176" s="68"/>
      <c r="K176" s="68"/>
    </row>
    <row r="177" spans="1:11" ht="14.25" customHeight="1" x14ac:dyDescent="0.3">
      <c r="A177" t="s">
        <v>961</v>
      </c>
      <c r="B177" t="s">
        <v>527</v>
      </c>
      <c r="C177">
        <v>21.9</v>
      </c>
      <c r="D177">
        <v>201.5</v>
      </c>
      <c r="E177">
        <v>0.8</v>
      </c>
      <c r="F177">
        <v>0.6</v>
      </c>
      <c r="G177">
        <v>35</v>
      </c>
      <c r="H177" s="64">
        <f t="shared" si="2"/>
        <v>10.619594594594593</v>
      </c>
      <c r="I177" s="66">
        <f>C179*Scoring!$B$36+TE!D179/Scoring!$C$36+TE!E179*Scoring!$D$36+TE!F179*Scoring!$E$36+H179*Scoring!$F$36</f>
        <v>30.849999999999994</v>
      </c>
      <c r="J177" s="66">
        <f>C177*Scoring!$B$36+TE!D177/Scoring!$C$36+TE!E177*Scoring!$D$36+TE!F177*Scoring!$E$36+H177*Scoring!$F$36</f>
        <v>34.699999999999996</v>
      </c>
      <c r="K177" s="66">
        <f>C178*Scoring!$B$36+TE!D178/Scoring!$C$36+TE!E178*Scoring!$D$36+TE!F178*Scoring!$E$36+H178*Scoring!$F$36</f>
        <v>39.200000000000003</v>
      </c>
    </row>
    <row r="178" spans="1:11" ht="14.25" customHeight="1" x14ac:dyDescent="0.3">
      <c r="B178" t="s">
        <v>472</v>
      </c>
      <c r="C178">
        <v>23</v>
      </c>
      <c r="D178">
        <v>221</v>
      </c>
      <c r="E178">
        <v>1</v>
      </c>
      <c r="F178">
        <v>0.2</v>
      </c>
      <c r="G178">
        <v>33</v>
      </c>
      <c r="H178" s="64">
        <f t="shared" si="2"/>
        <v>11.647297297297296</v>
      </c>
      <c r="I178" s="68"/>
      <c r="J178" s="68"/>
      <c r="K178" s="68"/>
    </row>
    <row r="179" spans="1:11" ht="14.25" customHeight="1" x14ac:dyDescent="0.3">
      <c r="B179" t="s">
        <v>473</v>
      </c>
      <c r="C179">
        <v>20.9</v>
      </c>
      <c r="D179">
        <v>182</v>
      </c>
      <c r="E179">
        <v>0.7</v>
      </c>
      <c r="F179">
        <v>1</v>
      </c>
      <c r="G179">
        <v>30</v>
      </c>
      <c r="H179" s="64">
        <f t="shared" si="2"/>
        <v>9.5918918918918923</v>
      </c>
      <c r="I179" s="68"/>
      <c r="J179" s="68"/>
      <c r="K179" s="68"/>
    </row>
    <row r="180" spans="1:11" ht="14.25" customHeight="1" x14ac:dyDescent="0.3">
      <c r="A180" t="s">
        <v>957</v>
      </c>
      <c r="B180" t="s">
        <v>519</v>
      </c>
      <c r="C180">
        <v>19.5</v>
      </c>
      <c r="D180">
        <v>194.4</v>
      </c>
      <c r="E180">
        <v>1.1000000000000001</v>
      </c>
      <c r="F180">
        <v>0.5</v>
      </c>
      <c r="G180">
        <v>34.799999999999997</v>
      </c>
      <c r="H180" s="64">
        <f t="shared" si="2"/>
        <v>10.245405405405405</v>
      </c>
      <c r="I180" s="66">
        <f>C182*Scoring!$B$36+TE!D182/Scoring!$C$36+TE!E182*Scoring!$D$36+TE!F182*Scoring!$E$36+H182*Scoring!$F$36</f>
        <v>4.78</v>
      </c>
      <c r="J180" s="66">
        <f>C180*Scoring!$B$36+TE!D180/Scoring!$C$36+TE!E180*Scoring!$D$36+TE!F180*Scoring!$E$36+H180*Scoring!$F$36</f>
        <v>34.79</v>
      </c>
      <c r="K180" s="66">
        <f>C181*Scoring!$B$36+TE!D181/Scoring!$C$36+TE!E181*Scoring!$D$36+TE!F181*Scoring!$E$36+H181*Scoring!$F$36</f>
        <v>64.8</v>
      </c>
    </row>
    <row r="181" spans="1:11" ht="14.25" customHeight="1" x14ac:dyDescent="0.3">
      <c r="B181" t="s">
        <v>472</v>
      </c>
      <c r="C181">
        <v>35</v>
      </c>
      <c r="D181">
        <v>353</v>
      </c>
      <c r="E181">
        <v>2</v>
      </c>
      <c r="F181">
        <v>0</v>
      </c>
      <c r="G181">
        <v>46.7</v>
      </c>
      <c r="H181" s="64">
        <f t="shared" si="2"/>
        <v>18.604054054054053</v>
      </c>
      <c r="I181" s="68"/>
      <c r="J181" s="68"/>
      <c r="K181" s="68"/>
    </row>
    <row r="182" spans="1:11" ht="14.25" customHeight="1" x14ac:dyDescent="0.3">
      <c r="B182" t="s">
        <v>473</v>
      </c>
      <c r="C182">
        <v>4</v>
      </c>
      <c r="D182">
        <v>35.799999999999997</v>
      </c>
      <c r="E182">
        <v>0.2</v>
      </c>
      <c r="F182">
        <v>1</v>
      </c>
      <c r="G182">
        <v>14.7</v>
      </c>
      <c r="H182" s="64">
        <f t="shared" si="2"/>
        <v>1.8867567567567567</v>
      </c>
      <c r="I182" s="68"/>
      <c r="J182" s="68"/>
      <c r="K182" s="68"/>
    </row>
    <row r="183" spans="1:11" ht="14.25" customHeight="1" x14ac:dyDescent="0.3">
      <c r="A183" t="s">
        <v>962</v>
      </c>
      <c r="B183" t="s">
        <v>479</v>
      </c>
      <c r="C183">
        <v>17</v>
      </c>
      <c r="D183">
        <v>169.2</v>
      </c>
      <c r="E183">
        <v>1.6</v>
      </c>
      <c r="F183">
        <v>0.6</v>
      </c>
      <c r="G183">
        <v>33.799999999999997</v>
      </c>
      <c r="H183" s="64">
        <f t="shared" si="2"/>
        <v>8.9172972972972957</v>
      </c>
      <c r="I183" s="66">
        <f>C185*Scoring!$B$36+TE!D185/Scoring!$C$36+TE!E185*Scoring!$D$36+TE!F185*Scoring!$E$36+H185*Scoring!$F$36</f>
        <v>25.8</v>
      </c>
      <c r="J183" s="66">
        <f>C183*Scoring!$B$36+TE!D183/Scoring!$C$36+TE!E183*Scoring!$D$36+TE!F183*Scoring!$E$36+H183*Scoring!$F$36</f>
        <v>33.819999999999993</v>
      </c>
      <c r="K183" s="66">
        <f>C184*Scoring!$B$36+TE!D184/Scoring!$C$36+TE!E184*Scoring!$D$36+TE!F184*Scoring!$E$36+H184*Scoring!$F$36</f>
        <v>42.099999999999994</v>
      </c>
    </row>
    <row r="184" spans="1:11" ht="14.25" customHeight="1" x14ac:dyDescent="0.3">
      <c r="B184" t="s">
        <v>472</v>
      </c>
      <c r="C184">
        <v>20</v>
      </c>
      <c r="D184">
        <v>203</v>
      </c>
      <c r="E184">
        <v>2</v>
      </c>
      <c r="F184">
        <v>0.1</v>
      </c>
      <c r="G184">
        <v>30.5</v>
      </c>
      <c r="H184" s="64">
        <f t="shared" si="2"/>
        <v>10.69864864864865</v>
      </c>
      <c r="I184" s="68"/>
      <c r="J184" s="68"/>
      <c r="K184" s="68"/>
    </row>
    <row r="185" spans="1:11" ht="14.25" customHeight="1" x14ac:dyDescent="0.3">
      <c r="B185" t="s">
        <v>473</v>
      </c>
      <c r="C185">
        <v>14.1</v>
      </c>
      <c r="D185">
        <v>135.5</v>
      </c>
      <c r="E185">
        <v>1.2</v>
      </c>
      <c r="F185">
        <v>1</v>
      </c>
      <c r="G185">
        <v>29</v>
      </c>
      <c r="H185" s="64">
        <f t="shared" si="2"/>
        <v>7.1412162162162156</v>
      </c>
      <c r="I185" s="68"/>
      <c r="J185" s="68"/>
      <c r="K185" s="68"/>
    </row>
    <row r="186" spans="1:11" ht="14.25" customHeight="1" x14ac:dyDescent="0.3">
      <c r="A186" t="s">
        <v>964</v>
      </c>
      <c r="B186" t="s">
        <v>523</v>
      </c>
      <c r="C186">
        <v>19.7</v>
      </c>
      <c r="D186">
        <v>146.30000000000001</v>
      </c>
      <c r="E186">
        <v>1.3</v>
      </c>
      <c r="F186">
        <v>0</v>
      </c>
      <c r="G186">
        <v>32</v>
      </c>
      <c r="H186" s="64">
        <f t="shared" si="2"/>
        <v>7.710405405405405</v>
      </c>
      <c r="I186" s="66">
        <f>C188*Scoring!$B$36+TE!D188/Scoring!$C$36+TE!E188*Scoring!$D$36+TE!F188*Scoring!$E$36+H188*Scoring!$F$36</f>
        <v>18.720000000000002</v>
      </c>
      <c r="J186" s="66">
        <f>C186*Scoring!$B$36+TE!D186/Scoring!$C$36+TE!E186*Scoring!$D$36+TE!F186*Scoring!$E$36+H186*Scoring!$F$36</f>
        <v>32.28</v>
      </c>
      <c r="K186" s="66">
        <f>C187*Scoring!$B$36+TE!D187/Scoring!$C$36+TE!E187*Scoring!$D$36+TE!F187*Scoring!$E$36+H187*Scoring!$F$36</f>
        <v>45.1</v>
      </c>
    </row>
    <row r="187" spans="1:11" ht="14.25" customHeight="1" x14ac:dyDescent="0.3">
      <c r="B187" t="s">
        <v>472</v>
      </c>
      <c r="C187">
        <v>27</v>
      </c>
      <c r="D187">
        <v>196</v>
      </c>
      <c r="E187">
        <v>2</v>
      </c>
      <c r="F187">
        <v>0</v>
      </c>
      <c r="G187">
        <v>33.9</v>
      </c>
      <c r="H187" s="64">
        <f t="shared" si="2"/>
        <v>10.329729729729729</v>
      </c>
      <c r="I187" s="68"/>
      <c r="J187" s="68"/>
      <c r="K187" s="68"/>
    </row>
    <row r="188" spans="1:11" ht="14.25" customHeight="1" x14ac:dyDescent="0.3">
      <c r="B188" t="s">
        <v>473</v>
      </c>
      <c r="C188">
        <v>12.5</v>
      </c>
      <c r="D188">
        <v>96.7</v>
      </c>
      <c r="E188">
        <v>0.5</v>
      </c>
      <c r="F188">
        <v>0.1</v>
      </c>
      <c r="G188">
        <v>22.8</v>
      </c>
      <c r="H188" s="64">
        <f t="shared" si="2"/>
        <v>5.0963513513513519</v>
      </c>
      <c r="I188" s="68"/>
      <c r="J188" s="68"/>
      <c r="K188" s="68"/>
    </row>
    <row r="189" spans="1:11" ht="14.25" customHeight="1" x14ac:dyDescent="0.3">
      <c r="A189" t="s">
        <v>967</v>
      </c>
      <c r="B189" t="s">
        <v>483</v>
      </c>
      <c r="C189">
        <v>17.3</v>
      </c>
      <c r="D189">
        <v>141.69999999999999</v>
      </c>
      <c r="E189">
        <v>1.2</v>
      </c>
      <c r="F189">
        <v>0.1</v>
      </c>
      <c r="G189">
        <v>30</v>
      </c>
      <c r="H189" s="64">
        <f t="shared" si="2"/>
        <v>7.467972972972972</v>
      </c>
      <c r="I189" s="66">
        <f>C191*Scoring!$B$36+TE!D191/Scoring!$C$36+TE!E191*Scoring!$D$36+TE!F191*Scoring!$E$36+H191*Scoring!$F$36</f>
        <v>22.1</v>
      </c>
      <c r="J189" s="66">
        <f>C189*Scoring!$B$36+TE!D189/Scoring!$C$36+TE!E189*Scoring!$D$36+TE!F189*Scoring!$E$36+H189*Scoring!$F$36</f>
        <v>29.82</v>
      </c>
      <c r="K189" s="66">
        <f>C190*Scoring!$B$36+TE!D190/Scoring!$C$36+TE!E190*Scoring!$D$36+TE!F190*Scoring!$E$36+H190*Scoring!$F$36</f>
        <v>38.18</v>
      </c>
    </row>
    <row r="190" spans="1:11" ht="14.25" customHeight="1" x14ac:dyDescent="0.3">
      <c r="B190" t="s">
        <v>472</v>
      </c>
      <c r="C190">
        <v>21.7</v>
      </c>
      <c r="D190">
        <v>183.3</v>
      </c>
      <c r="E190">
        <v>1.5</v>
      </c>
      <c r="F190">
        <v>0</v>
      </c>
      <c r="G190">
        <v>35.5</v>
      </c>
      <c r="H190" s="64">
        <f t="shared" si="2"/>
        <v>9.660405405405406</v>
      </c>
      <c r="I190" s="68"/>
      <c r="J190" s="68"/>
      <c r="K190" s="68"/>
    </row>
    <row r="191" spans="1:11" ht="14.25" customHeight="1" x14ac:dyDescent="0.3">
      <c r="B191" t="s">
        <v>473</v>
      </c>
      <c r="C191">
        <v>13</v>
      </c>
      <c r="D191">
        <v>100</v>
      </c>
      <c r="E191">
        <v>1</v>
      </c>
      <c r="F191">
        <v>0.2</v>
      </c>
      <c r="G191">
        <v>18.7</v>
      </c>
      <c r="H191" s="64">
        <f t="shared" si="2"/>
        <v>5.2702702702702702</v>
      </c>
      <c r="I191" s="68"/>
      <c r="J191" s="68"/>
      <c r="K191" s="68"/>
    </row>
    <row r="192" spans="1:11" ht="14.25" customHeight="1" x14ac:dyDescent="0.3">
      <c r="A192" t="s">
        <v>965</v>
      </c>
      <c r="B192" t="s">
        <v>489</v>
      </c>
      <c r="C192">
        <v>14.9</v>
      </c>
      <c r="D192">
        <v>156.80000000000001</v>
      </c>
      <c r="E192">
        <v>1.3</v>
      </c>
      <c r="F192">
        <v>0.5</v>
      </c>
      <c r="G192">
        <v>29.8</v>
      </c>
      <c r="H192" s="64">
        <f t="shared" si="2"/>
        <v>8.2637837837837846</v>
      </c>
      <c r="I192" s="66">
        <f>C194*Scoring!$B$36+TE!D194/Scoring!$C$36+TE!E194*Scoring!$D$36+TE!F194*Scoring!$E$36+H194*Scoring!$F$36</f>
        <v>12.86</v>
      </c>
      <c r="J192" s="66">
        <f>C192*Scoring!$B$36+TE!D192/Scoring!$C$36+TE!E192*Scoring!$D$36+TE!F192*Scoring!$E$36+H192*Scoring!$F$36</f>
        <v>29.930000000000003</v>
      </c>
      <c r="K192" s="66">
        <f>C193*Scoring!$B$36+TE!D193/Scoring!$C$36+TE!E193*Scoring!$D$36+TE!F193*Scoring!$E$36+H193*Scoring!$F$36</f>
        <v>46.8</v>
      </c>
    </row>
    <row r="193" spans="1:11" ht="14.25" customHeight="1" x14ac:dyDescent="0.3">
      <c r="B193" t="s">
        <v>472</v>
      </c>
      <c r="C193">
        <v>22</v>
      </c>
      <c r="D193">
        <v>240</v>
      </c>
      <c r="E193">
        <v>2</v>
      </c>
      <c r="F193">
        <v>0.1</v>
      </c>
      <c r="G193">
        <v>33.5</v>
      </c>
      <c r="H193" s="64">
        <f t="shared" si="2"/>
        <v>12.648648648648646</v>
      </c>
      <c r="I193" s="68"/>
      <c r="J193" s="68"/>
      <c r="K193" s="68"/>
    </row>
    <row r="194" spans="1:11" ht="14.25" customHeight="1" x14ac:dyDescent="0.3">
      <c r="B194" t="s">
        <v>473</v>
      </c>
      <c r="C194">
        <v>7.8</v>
      </c>
      <c r="D194">
        <v>73.599999999999994</v>
      </c>
      <c r="E194">
        <v>0.6</v>
      </c>
      <c r="F194">
        <v>1</v>
      </c>
      <c r="G194">
        <v>18.100000000000001</v>
      </c>
      <c r="H194" s="64">
        <f t="shared" si="2"/>
        <v>3.8789189189189188</v>
      </c>
      <c r="I194" s="68"/>
      <c r="J194" s="68"/>
      <c r="K194" s="68"/>
    </row>
    <row r="195" spans="1:11" ht="14.25" customHeight="1" x14ac:dyDescent="0.3">
      <c r="A195" t="s">
        <v>963</v>
      </c>
      <c r="B195" t="s">
        <v>487</v>
      </c>
      <c r="C195">
        <v>15.1</v>
      </c>
      <c r="D195">
        <v>149.9</v>
      </c>
      <c r="E195">
        <v>1.2</v>
      </c>
      <c r="F195">
        <v>0</v>
      </c>
      <c r="G195">
        <v>29.8</v>
      </c>
      <c r="H195" s="64">
        <f t="shared" ref="H195:H258" si="3">IFERROR(D195/C195/11.1*0.585*C195,0)</f>
        <v>7.9001351351351357</v>
      </c>
      <c r="I195" s="66">
        <f>C197*Scoring!$B$36+TE!D197/Scoring!$C$36+TE!E197*Scoring!$D$36+TE!F197*Scoring!$E$36+H197*Scoring!$F$36</f>
        <v>15.809999999999999</v>
      </c>
      <c r="J195" s="66">
        <f>C195*Scoring!$B$36+TE!D195/Scoring!$C$36+TE!E195*Scoring!$D$36+TE!F195*Scoring!$E$36+H195*Scoring!$F$36</f>
        <v>29.74</v>
      </c>
      <c r="K195" s="66">
        <f>C196*Scoring!$B$36+TE!D196/Scoring!$C$36+TE!E196*Scoring!$D$36+TE!F196*Scoring!$E$36+H196*Scoring!$F$36</f>
        <v>51</v>
      </c>
    </row>
    <row r="196" spans="1:11" ht="14.25" customHeight="1" x14ac:dyDescent="0.3">
      <c r="B196" t="s">
        <v>472</v>
      </c>
      <c r="C196">
        <v>25</v>
      </c>
      <c r="D196">
        <v>265</v>
      </c>
      <c r="E196">
        <v>2</v>
      </c>
      <c r="F196">
        <v>0</v>
      </c>
      <c r="G196">
        <v>58.5</v>
      </c>
      <c r="H196" s="64">
        <f t="shared" si="3"/>
        <v>13.966216216216216</v>
      </c>
      <c r="I196" s="68"/>
      <c r="J196" s="68"/>
      <c r="K196" s="68"/>
    </row>
    <row r="197" spans="1:11" ht="14.25" customHeight="1" x14ac:dyDescent="0.3">
      <c r="B197" t="s">
        <v>473</v>
      </c>
      <c r="C197">
        <v>8.3000000000000007</v>
      </c>
      <c r="D197">
        <v>82.6</v>
      </c>
      <c r="E197">
        <v>0.6</v>
      </c>
      <c r="F197">
        <v>0.1</v>
      </c>
      <c r="G197">
        <v>17.5</v>
      </c>
      <c r="H197" s="64">
        <f t="shared" si="3"/>
        <v>4.3532432432432424</v>
      </c>
      <c r="I197" s="68"/>
      <c r="J197" s="68"/>
      <c r="K197" s="68"/>
    </row>
    <row r="198" spans="1:11" ht="14.25" customHeight="1" x14ac:dyDescent="0.3">
      <c r="A198" t="s">
        <v>693</v>
      </c>
      <c r="B198" t="s">
        <v>531</v>
      </c>
      <c r="C198">
        <v>14</v>
      </c>
      <c r="D198">
        <v>102</v>
      </c>
      <c r="E198">
        <v>2</v>
      </c>
      <c r="F198">
        <v>0</v>
      </c>
      <c r="G198">
        <v>29.2</v>
      </c>
      <c r="H198" s="64">
        <f t="shared" si="3"/>
        <v>5.3756756756756756</v>
      </c>
      <c r="I198" s="66">
        <f>C200*Scoring!$B$36+TE!D200/Scoring!$C$36+TE!E200*Scoring!$D$36+TE!F200*Scoring!$E$36+H200*Scoring!$F$36</f>
        <v>29.2</v>
      </c>
      <c r="J198" s="66">
        <f>C198*Scoring!$B$36+TE!D198/Scoring!$C$36+TE!E198*Scoring!$D$36+TE!F198*Scoring!$E$36+H198*Scoring!$F$36</f>
        <v>29.2</v>
      </c>
      <c r="K198" s="66">
        <f>C199*Scoring!$B$36+TE!D199/Scoring!$C$36+TE!E199*Scoring!$D$36+TE!F199*Scoring!$E$36+H199*Scoring!$F$36</f>
        <v>29.2</v>
      </c>
    </row>
    <row r="199" spans="1:11" ht="14.25" customHeight="1" x14ac:dyDescent="0.3">
      <c r="B199" t="s">
        <v>472</v>
      </c>
      <c r="C199">
        <v>14</v>
      </c>
      <c r="D199">
        <v>102</v>
      </c>
      <c r="E199">
        <v>2</v>
      </c>
      <c r="F199">
        <v>0</v>
      </c>
      <c r="G199">
        <v>30</v>
      </c>
      <c r="H199" s="64">
        <f t="shared" si="3"/>
        <v>5.3756756756756756</v>
      </c>
      <c r="I199" s="68"/>
      <c r="J199" s="68"/>
      <c r="K199" s="68"/>
    </row>
    <row r="200" spans="1:11" ht="14.25" customHeight="1" x14ac:dyDescent="0.3">
      <c r="B200" t="s">
        <v>473</v>
      </c>
      <c r="C200">
        <v>14</v>
      </c>
      <c r="D200">
        <v>102</v>
      </c>
      <c r="E200">
        <v>2</v>
      </c>
      <c r="F200">
        <v>0</v>
      </c>
      <c r="G200">
        <v>30</v>
      </c>
      <c r="H200" s="64">
        <f t="shared" si="3"/>
        <v>5.3756756756756756</v>
      </c>
      <c r="I200" s="68"/>
      <c r="J200" s="68"/>
      <c r="K200" s="68"/>
    </row>
    <row r="201" spans="1:11" ht="14.25" customHeight="1" x14ac:dyDescent="0.3">
      <c r="A201" t="s">
        <v>969</v>
      </c>
      <c r="B201" t="s">
        <v>499</v>
      </c>
      <c r="C201">
        <v>11.9</v>
      </c>
      <c r="D201">
        <v>88.4</v>
      </c>
      <c r="E201">
        <v>1.8</v>
      </c>
      <c r="F201">
        <v>0</v>
      </c>
      <c r="G201">
        <v>25.8</v>
      </c>
      <c r="H201" s="64">
        <f t="shared" si="3"/>
        <v>4.6589189189189195</v>
      </c>
      <c r="I201" s="66">
        <f>C203*Scoring!$B$36+TE!D203/Scoring!$C$36+TE!E203*Scoring!$D$36+TE!F203*Scoring!$E$36+H203*Scoring!$F$36</f>
        <v>14.77</v>
      </c>
      <c r="J201" s="66">
        <f>C201*Scoring!$B$36+TE!D201/Scoring!$C$36+TE!E201*Scoring!$D$36+TE!F201*Scoring!$E$36+H201*Scoring!$F$36</f>
        <v>25.59</v>
      </c>
      <c r="K201" s="66">
        <f>C202*Scoring!$B$36+TE!D202/Scoring!$C$36+TE!E202*Scoring!$D$36+TE!F202*Scoring!$E$36+H202*Scoring!$F$36</f>
        <v>36.799999999999997</v>
      </c>
    </row>
    <row r="202" spans="1:11" ht="14.25" customHeight="1" x14ac:dyDescent="0.3">
      <c r="B202" t="s">
        <v>472</v>
      </c>
      <c r="C202">
        <v>16</v>
      </c>
      <c r="D202">
        <v>108</v>
      </c>
      <c r="E202">
        <v>3</v>
      </c>
      <c r="F202">
        <v>0</v>
      </c>
      <c r="G202">
        <v>28</v>
      </c>
      <c r="H202" s="64">
        <f t="shared" si="3"/>
        <v>5.6918918918918919</v>
      </c>
      <c r="I202" s="68"/>
      <c r="J202" s="68"/>
      <c r="K202" s="68"/>
    </row>
    <row r="203" spans="1:11" ht="14.25" customHeight="1" x14ac:dyDescent="0.3">
      <c r="B203" t="s">
        <v>473</v>
      </c>
      <c r="C203">
        <v>7.8</v>
      </c>
      <c r="D203">
        <v>68.7</v>
      </c>
      <c r="E203">
        <v>0.7</v>
      </c>
      <c r="F203">
        <v>0.1</v>
      </c>
      <c r="G203">
        <v>16.8</v>
      </c>
      <c r="H203" s="64">
        <f t="shared" si="3"/>
        <v>3.6206756756756757</v>
      </c>
      <c r="I203" s="68"/>
      <c r="J203" s="68"/>
      <c r="K203" s="68"/>
    </row>
    <row r="204" spans="1:11" ht="14.25" customHeight="1" x14ac:dyDescent="0.3">
      <c r="A204" t="s">
        <v>968</v>
      </c>
      <c r="B204" t="s">
        <v>519</v>
      </c>
      <c r="C204">
        <v>15.3</v>
      </c>
      <c r="D204">
        <v>127.8</v>
      </c>
      <c r="E204">
        <v>0.9</v>
      </c>
      <c r="F204">
        <v>0.1</v>
      </c>
      <c r="G204">
        <v>25.5</v>
      </c>
      <c r="H204" s="64">
        <f t="shared" si="3"/>
        <v>6.7354054054054044</v>
      </c>
      <c r="I204" s="66">
        <f>C206*Scoring!$B$36+TE!D206/Scoring!$C$36+TE!E206*Scoring!$D$36+TE!F206*Scoring!$E$36+H206*Scoring!$F$36</f>
        <v>24.400000000000002</v>
      </c>
      <c r="J204" s="66">
        <f>C204*Scoring!$B$36+TE!D204/Scoring!$C$36+TE!E204*Scoring!$D$36+TE!F204*Scoring!$E$36+H204*Scoring!$F$36</f>
        <v>25.63</v>
      </c>
      <c r="K204" s="66">
        <f>C205*Scoring!$B$36+TE!D205/Scoring!$C$36+TE!E205*Scoring!$D$36+TE!F205*Scoring!$E$36+H205*Scoring!$F$36</f>
        <v>27.009999999999998</v>
      </c>
    </row>
    <row r="205" spans="1:11" ht="14.25" customHeight="1" x14ac:dyDescent="0.3">
      <c r="B205" t="s">
        <v>472</v>
      </c>
      <c r="C205">
        <v>15.5</v>
      </c>
      <c r="D205">
        <v>132.6</v>
      </c>
      <c r="E205">
        <v>1</v>
      </c>
      <c r="F205">
        <v>0</v>
      </c>
      <c r="G205">
        <v>26.8</v>
      </c>
      <c r="H205" s="64">
        <f t="shared" si="3"/>
        <v>6.9883783783783784</v>
      </c>
      <c r="I205" s="68"/>
      <c r="J205" s="68"/>
      <c r="K205" s="68"/>
    </row>
    <row r="206" spans="1:11" ht="14.25" customHeight="1" x14ac:dyDescent="0.3">
      <c r="B206" t="s">
        <v>473</v>
      </c>
      <c r="C206">
        <v>15</v>
      </c>
      <c r="D206">
        <v>123</v>
      </c>
      <c r="E206">
        <v>0.8</v>
      </c>
      <c r="F206">
        <v>0.1</v>
      </c>
      <c r="G206">
        <v>19.600000000000001</v>
      </c>
      <c r="H206" s="64">
        <f t="shared" si="3"/>
        <v>6.4824324324324323</v>
      </c>
      <c r="I206" s="68"/>
      <c r="J206" s="68"/>
      <c r="K206" s="68"/>
    </row>
    <row r="207" spans="1:11" ht="14.25" customHeight="1" x14ac:dyDescent="0.3">
      <c r="A207" t="s">
        <v>970</v>
      </c>
      <c r="B207" t="s">
        <v>471</v>
      </c>
      <c r="C207">
        <v>10.6</v>
      </c>
      <c r="D207">
        <v>115.1</v>
      </c>
      <c r="E207">
        <v>1.4</v>
      </c>
      <c r="F207">
        <v>0</v>
      </c>
      <c r="G207">
        <v>25.4</v>
      </c>
      <c r="H207" s="64">
        <f t="shared" si="3"/>
        <v>6.0660810810810801</v>
      </c>
      <c r="I207" s="66">
        <f>C209*Scoring!$B$36+TE!D209/Scoring!$C$36+TE!E209*Scoring!$D$36+TE!F209*Scoring!$E$36+H209*Scoring!$F$36</f>
        <v>21.220000000000002</v>
      </c>
      <c r="J207" s="66">
        <f>C207*Scoring!$B$36+TE!D207/Scoring!$C$36+TE!E207*Scoring!$D$36+TE!F207*Scoring!$E$36+H207*Scoring!$F$36</f>
        <v>25.209999999999997</v>
      </c>
      <c r="K207" s="66">
        <f>C208*Scoring!$B$36+TE!D208/Scoring!$C$36+TE!E208*Scoring!$D$36+TE!F208*Scoring!$E$36+H208*Scoring!$F$36</f>
        <v>29.55</v>
      </c>
    </row>
    <row r="208" spans="1:11" ht="14.25" customHeight="1" x14ac:dyDescent="0.3">
      <c r="B208" t="s">
        <v>472</v>
      </c>
      <c r="C208">
        <v>11.1</v>
      </c>
      <c r="D208">
        <v>120</v>
      </c>
      <c r="E208">
        <v>2</v>
      </c>
      <c r="F208">
        <v>0</v>
      </c>
      <c r="G208">
        <v>22.3</v>
      </c>
      <c r="H208" s="64">
        <f t="shared" si="3"/>
        <v>6.3243243243243246</v>
      </c>
      <c r="I208" s="68"/>
      <c r="J208" s="68"/>
      <c r="K208" s="68"/>
    </row>
    <row r="209" spans="1:11" ht="14.25" customHeight="1" x14ac:dyDescent="0.3">
      <c r="B209" t="s">
        <v>473</v>
      </c>
      <c r="C209">
        <v>10</v>
      </c>
      <c r="D209">
        <v>110.2</v>
      </c>
      <c r="E209">
        <v>0.9</v>
      </c>
      <c r="F209">
        <v>0.1</v>
      </c>
      <c r="G209">
        <v>21.6</v>
      </c>
      <c r="H209" s="64">
        <f t="shared" si="3"/>
        <v>5.8078378378378375</v>
      </c>
      <c r="I209" s="68"/>
      <c r="J209" s="68"/>
      <c r="K209" s="68"/>
    </row>
    <row r="210" spans="1:11" ht="14.25" customHeight="1" x14ac:dyDescent="0.3">
      <c r="A210" t="s">
        <v>971</v>
      </c>
      <c r="B210" t="s">
        <v>479</v>
      </c>
      <c r="C210">
        <v>11</v>
      </c>
      <c r="D210">
        <v>114.2</v>
      </c>
      <c r="E210">
        <v>1.4</v>
      </c>
      <c r="F210">
        <v>0</v>
      </c>
      <c r="G210">
        <v>25.3</v>
      </c>
      <c r="H210" s="64">
        <f t="shared" si="3"/>
        <v>6.0186486486486492</v>
      </c>
      <c r="I210" s="66">
        <f>C212*Scoring!$B$36+TE!D212/Scoring!$C$36+TE!E212*Scoring!$D$36+TE!F212*Scoring!$E$36+H212*Scoring!$F$36</f>
        <v>20.75</v>
      </c>
      <c r="J210" s="66">
        <f>C210*Scoring!$B$36+TE!D210/Scoring!$C$36+TE!E210*Scoring!$D$36+TE!F210*Scoring!$E$36+H210*Scoring!$F$36</f>
        <v>25.32</v>
      </c>
      <c r="K210" s="66">
        <f>C211*Scoring!$B$36+TE!D211/Scoring!$C$36+TE!E211*Scoring!$D$36+TE!F211*Scoring!$E$36+H211*Scoring!$F$36</f>
        <v>29.75</v>
      </c>
    </row>
    <row r="211" spans="1:11" ht="14.25" customHeight="1" x14ac:dyDescent="0.3">
      <c r="B211" t="s">
        <v>472</v>
      </c>
      <c r="C211">
        <v>11.1</v>
      </c>
      <c r="D211">
        <v>122</v>
      </c>
      <c r="E211">
        <v>2</v>
      </c>
      <c r="F211">
        <v>0</v>
      </c>
      <c r="G211">
        <v>22.5</v>
      </c>
      <c r="H211" s="64">
        <f t="shared" si="3"/>
        <v>6.4297297297297282</v>
      </c>
      <c r="I211" s="68"/>
      <c r="J211" s="68"/>
      <c r="K211" s="68"/>
    </row>
    <row r="212" spans="1:11" ht="14.25" customHeight="1" x14ac:dyDescent="0.3">
      <c r="B212" t="s">
        <v>473</v>
      </c>
      <c r="C212">
        <v>11</v>
      </c>
      <c r="D212">
        <v>106.5</v>
      </c>
      <c r="E212">
        <v>0.8</v>
      </c>
      <c r="F212">
        <v>0.1</v>
      </c>
      <c r="G212">
        <v>21</v>
      </c>
      <c r="H212" s="64">
        <f t="shared" si="3"/>
        <v>5.6128378378378381</v>
      </c>
      <c r="I212" s="68"/>
      <c r="J212" s="68"/>
      <c r="K212" s="68"/>
    </row>
    <row r="213" spans="1:11" ht="14.25" customHeight="1" x14ac:dyDescent="0.3">
      <c r="A213" t="s">
        <v>972</v>
      </c>
      <c r="B213" t="s">
        <v>483</v>
      </c>
      <c r="C213">
        <v>13</v>
      </c>
      <c r="D213">
        <v>123</v>
      </c>
      <c r="E213">
        <v>1</v>
      </c>
      <c r="F213">
        <v>0</v>
      </c>
      <c r="G213">
        <v>24.8</v>
      </c>
      <c r="H213" s="64">
        <f t="shared" si="3"/>
        <v>6.4824324324324323</v>
      </c>
      <c r="I213" s="66">
        <f>C215*Scoring!$B$36+TE!D215/Scoring!$C$36+TE!E215*Scoring!$D$36+TE!F215*Scoring!$E$36+H215*Scoring!$F$36</f>
        <v>24.8</v>
      </c>
      <c r="J213" s="66">
        <f>C213*Scoring!$B$36+TE!D213/Scoring!$C$36+TE!E213*Scoring!$D$36+TE!F213*Scoring!$E$36+H213*Scoring!$F$36</f>
        <v>24.8</v>
      </c>
      <c r="K213" s="66">
        <f>C214*Scoring!$B$36+TE!D214/Scoring!$C$36+TE!E214*Scoring!$D$36+TE!F214*Scoring!$E$36+H214*Scoring!$F$36</f>
        <v>24.8</v>
      </c>
    </row>
    <row r="214" spans="1:11" ht="14.25" customHeight="1" x14ac:dyDescent="0.3">
      <c r="B214" t="s">
        <v>472</v>
      </c>
      <c r="C214">
        <v>13</v>
      </c>
      <c r="D214">
        <v>123</v>
      </c>
      <c r="E214">
        <v>1</v>
      </c>
      <c r="F214">
        <v>0</v>
      </c>
      <c r="G214">
        <v>17.5</v>
      </c>
      <c r="H214" s="64">
        <f t="shared" si="3"/>
        <v>6.4824324324324323</v>
      </c>
      <c r="I214" s="68"/>
      <c r="J214" s="68"/>
      <c r="K214" s="68"/>
    </row>
    <row r="215" spans="1:11" ht="14.25" customHeight="1" x14ac:dyDescent="0.3">
      <c r="B215" t="s">
        <v>473</v>
      </c>
      <c r="C215">
        <v>13</v>
      </c>
      <c r="D215">
        <v>123</v>
      </c>
      <c r="E215">
        <v>1</v>
      </c>
      <c r="F215">
        <v>0</v>
      </c>
      <c r="G215">
        <v>17.5</v>
      </c>
      <c r="H215" s="64">
        <f t="shared" si="3"/>
        <v>6.4824324324324323</v>
      </c>
      <c r="I215" s="68"/>
      <c r="J215" s="68"/>
      <c r="K215" s="68"/>
    </row>
    <row r="216" spans="1:11" ht="14.25" customHeight="1" x14ac:dyDescent="0.3">
      <c r="A216" t="s">
        <v>973</v>
      </c>
      <c r="B216" t="s">
        <v>491</v>
      </c>
      <c r="C216">
        <v>13.2</v>
      </c>
      <c r="D216">
        <v>121.5</v>
      </c>
      <c r="E216">
        <v>0.9</v>
      </c>
      <c r="F216">
        <v>0</v>
      </c>
      <c r="G216">
        <v>24.4</v>
      </c>
      <c r="H216" s="64">
        <f t="shared" si="3"/>
        <v>6.4033783783783784</v>
      </c>
      <c r="I216" s="66">
        <f>C218*Scoring!$B$36+TE!D218/Scoring!$C$36+TE!E218*Scoring!$D$36+TE!F218*Scoring!$E$36+H218*Scoring!$F$36</f>
        <v>21.900000000000002</v>
      </c>
      <c r="J216" s="66">
        <f>C216*Scoring!$B$36+TE!D216/Scoring!$C$36+TE!E216*Scoring!$D$36+TE!F216*Scoring!$E$36+H216*Scoring!$F$36</f>
        <v>24.15</v>
      </c>
      <c r="K216" s="66">
        <f>C217*Scoring!$B$36+TE!D217/Scoring!$C$36+TE!E217*Scoring!$D$36+TE!F217*Scoring!$E$36+H217*Scoring!$F$36</f>
        <v>26.8</v>
      </c>
    </row>
    <row r="217" spans="1:11" ht="14.25" customHeight="1" x14ac:dyDescent="0.3">
      <c r="B217" t="s">
        <v>472</v>
      </c>
      <c r="C217">
        <v>15</v>
      </c>
      <c r="D217">
        <v>133</v>
      </c>
      <c r="E217">
        <v>1</v>
      </c>
      <c r="F217">
        <v>0</v>
      </c>
      <c r="G217">
        <v>22.9</v>
      </c>
      <c r="H217" s="64">
        <f t="shared" si="3"/>
        <v>7.0094594594594595</v>
      </c>
      <c r="I217" s="68"/>
      <c r="J217" s="68"/>
      <c r="K217" s="68"/>
    </row>
    <row r="218" spans="1:11" ht="14.25" customHeight="1" x14ac:dyDescent="0.3">
      <c r="B218" t="s">
        <v>473</v>
      </c>
      <c r="C218">
        <v>11.4</v>
      </c>
      <c r="D218">
        <v>110</v>
      </c>
      <c r="E218">
        <v>0.9</v>
      </c>
      <c r="F218">
        <v>0.1</v>
      </c>
      <c r="G218">
        <v>17.600000000000001</v>
      </c>
      <c r="H218" s="64">
        <f t="shared" si="3"/>
        <v>5.7972972972972965</v>
      </c>
      <c r="I218" s="68"/>
      <c r="J218" s="68"/>
      <c r="K218" s="68"/>
    </row>
    <row r="219" spans="1:11" ht="14.25" customHeight="1" x14ac:dyDescent="0.3">
      <c r="A219" t="s">
        <v>955</v>
      </c>
      <c r="B219" t="s">
        <v>515</v>
      </c>
      <c r="C219">
        <v>13.7</v>
      </c>
      <c r="D219">
        <v>132.30000000000001</v>
      </c>
      <c r="E219">
        <v>0.7</v>
      </c>
      <c r="F219">
        <v>0</v>
      </c>
      <c r="G219">
        <v>24.1</v>
      </c>
      <c r="H219" s="64">
        <f t="shared" si="3"/>
        <v>6.9725675675675678</v>
      </c>
      <c r="I219" s="66">
        <f>C221*Scoring!$B$36+TE!D221/Scoring!$C$36+TE!E221*Scoring!$D$36+TE!F221*Scoring!$E$36+H221*Scoring!$F$36</f>
        <v>0</v>
      </c>
      <c r="J219" s="66">
        <f>C219*Scoring!$B$36+TE!D219/Scoring!$C$36+TE!E219*Scoring!$D$36+TE!F219*Scoring!$E$36+H219*Scoring!$F$36</f>
        <v>24.279999999999998</v>
      </c>
      <c r="K219" s="66">
        <f>C220*Scoring!$B$36+TE!D220/Scoring!$C$36+TE!E220*Scoring!$D$36+TE!F220*Scoring!$E$36+H220*Scoring!$F$36</f>
        <v>39.4</v>
      </c>
    </row>
    <row r="220" spans="1:11" ht="14.25" customHeight="1" x14ac:dyDescent="0.3">
      <c r="B220" t="s">
        <v>472</v>
      </c>
      <c r="C220">
        <v>23</v>
      </c>
      <c r="D220">
        <v>219</v>
      </c>
      <c r="E220">
        <v>1</v>
      </c>
      <c r="F220">
        <v>0</v>
      </c>
      <c r="G220">
        <v>46.2</v>
      </c>
      <c r="H220" s="64">
        <f t="shared" si="3"/>
        <v>11.541891891891893</v>
      </c>
      <c r="I220" s="68"/>
      <c r="J220" s="68"/>
      <c r="K220" s="68"/>
    </row>
    <row r="221" spans="1:11" ht="14.25" customHeight="1" x14ac:dyDescent="0.3">
      <c r="B221" t="s">
        <v>473</v>
      </c>
      <c r="C221">
        <v>0</v>
      </c>
      <c r="D221">
        <v>0</v>
      </c>
      <c r="E221">
        <v>0</v>
      </c>
      <c r="F221">
        <v>0</v>
      </c>
      <c r="G221">
        <v>6.8</v>
      </c>
      <c r="H221" s="64">
        <f t="shared" si="3"/>
        <v>0</v>
      </c>
      <c r="I221" s="68"/>
      <c r="J221" s="68"/>
      <c r="K221" s="68"/>
    </row>
    <row r="222" spans="1:11" ht="14.25" customHeight="1" x14ac:dyDescent="0.3">
      <c r="A222" t="s">
        <v>977</v>
      </c>
      <c r="B222" t="s">
        <v>519</v>
      </c>
      <c r="C222">
        <v>9.3000000000000007</v>
      </c>
      <c r="D222">
        <v>105.2</v>
      </c>
      <c r="E222">
        <v>1.3</v>
      </c>
      <c r="F222">
        <v>0</v>
      </c>
      <c r="G222">
        <v>22.9</v>
      </c>
      <c r="H222" s="64">
        <f t="shared" si="3"/>
        <v>5.5443243243243234</v>
      </c>
      <c r="I222" s="66">
        <f>C224*Scoring!$B$36+TE!D224/Scoring!$C$36+TE!E224*Scoring!$D$36+TE!F224*Scoring!$E$36+H224*Scoring!$F$36</f>
        <v>15.08</v>
      </c>
      <c r="J222" s="66">
        <f>C222*Scoring!$B$36+TE!D222/Scoring!$C$36+TE!E222*Scoring!$D$36+TE!F222*Scoring!$E$36+H222*Scoring!$F$36</f>
        <v>22.97</v>
      </c>
      <c r="K222" s="66">
        <f>C223*Scoring!$B$36+TE!D223/Scoring!$C$36+TE!E223*Scoring!$D$36+TE!F223*Scoring!$E$36+H223*Scoring!$F$36</f>
        <v>30.7</v>
      </c>
    </row>
    <row r="223" spans="1:11" ht="14.25" customHeight="1" x14ac:dyDescent="0.3">
      <c r="B223" t="s">
        <v>472</v>
      </c>
      <c r="C223">
        <v>11</v>
      </c>
      <c r="D223">
        <v>132</v>
      </c>
      <c r="E223">
        <v>2</v>
      </c>
      <c r="F223">
        <v>0</v>
      </c>
      <c r="G223">
        <v>21.7</v>
      </c>
      <c r="H223" s="64">
        <f t="shared" si="3"/>
        <v>6.9567567567567563</v>
      </c>
      <c r="I223" s="68"/>
      <c r="J223" s="68"/>
      <c r="K223" s="68"/>
    </row>
    <row r="224" spans="1:11" ht="14.25" customHeight="1" x14ac:dyDescent="0.3">
      <c r="B224" t="s">
        <v>473</v>
      </c>
      <c r="C224">
        <v>7.7</v>
      </c>
      <c r="D224">
        <v>78.3</v>
      </c>
      <c r="E224">
        <v>0.6</v>
      </c>
      <c r="F224">
        <v>0.1</v>
      </c>
      <c r="G224">
        <v>16</v>
      </c>
      <c r="H224" s="64">
        <f t="shared" si="3"/>
        <v>4.1266216216216209</v>
      </c>
      <c r="I224" s="68"/>
      <c r="J224" s="68"/>
      <c r="K224" s="68"/>
    </row>
    <row r="225" spans="1:11" ht="14.25" customHeight="1" x14ac:dyDescent="0.3">
      <c r="A225" t="s">
        <v>1482</v>
      </c>
      <c r="B225" t="s">
        <v>507</v>
      </c>
      <c r="C225">
        <v>11</v>
      </c>
      <c r="D225">
        <v>113</v>
      </c>
      <c r="E225">
        <v>1</v>
      </c>
      <c r="F225">
        <v>0</v>
      </c>
      <c r="G225">
        <v>22.8</v>
      </c>
      <c r="H225" s="64">
        <f t="shared" si="3"/>
        <v>5.9554054054054051</v>
      </c>
      <c r="I225" s="66">
        <f>C227*Scoring!$B$36+TE!D227/Scoring!$C$36+TE!E227*Scoring!$D$36+TE!F227*Scoring!$E$36+H227*Scoring!$F$36</f>
        <v>22.8</v>
      </c>
      <c r="J225" s="66">
        <f>C225*Scoring!$B$36+TE!D225/Scoring!$C$36+TE!E225*Scoring!$D$36+TE!F225*Scoring!$E$36+H225*Scoring!$F$36</f>
        <v>22.8</v>
      </c>
      <c r="K225" s="66">
        <f>C226*Scoring!$B$36+TE!D226/Scoring!$C$36+TE!E226*Scoring!$D$36+TE!F226*Scoring!$E$36+H226*Scoring!$F$36</f>
        <v>22.8</v>
      </c>
    </row>
    <row r="226" spans="1:11" ht="14.25" customHeight="1" x14ac:dyDescent="0.3">
      <c r="B226" t="s">
        <v>472</v>
      </c>
      <c r="C226">
        <v>11</v>
      </c>
      <c r="D226">
        <v>113</v>
      </c>
      <c r="E226">
        <v>1</v>
      </c>
      <c r="F226">
        <v>0</v>
      </c>
      <c r="G226">
        <v>15.5</v>
      </c>
      <c r="H226" s="64">
        <f t="shared" si="3"/>
        <v>5.9554054054054051</v>
      </c>
      <c r="I226" s="68"/>
      <c r="J226" s="68"/>
      <c r="K226" s="68"/>
    </row>
    <row r="227" spans="1:11" ht="14.25" customHeight="1" x14ac:dyDescent="0.3">
      <c r="B227" t="s">
        <v>473</v>
      </c>
      <c r="C227">
        <v>11</v>
      </c>
      <c r="D227">
        <v>113</v>
      </c>
      <c r="E227">
        <v>1</v>
      </c>
      <c r="F227">
        <v>0</v>
      </c>
      <c r="G227">
        <v>15.5</v>
      </c>
      <c r="H227" s="64">
        <f t="shared" si="3"/>
        <v>5.9554054054054051</v>
      </c>
      <c r="I227" s="68"/>
      <c r="J227" s="68"/>
      <c r="K227" s="68"/>
    </row>
    <row r="228" spans="1:11" ht="14.25" customHeight="1" x14ac:dyDescent="0.3">
      <c r="A228" t="s">
        <v>980</v>
      </c>
      <c r="B228" t="s">
        <v>499</v>
      </c>
      <c r="C228">
        <v>12</v>
      </c>
      <c r="D228">
        <v>104</v>
      </c>
      <c r="E228">
        <v>1</v>
      </c>
      <c r="F228">
        <v>0</v>
      </c>
      <c r="G228">
        <v>22.4</v>
      </c>
      <c r="H228" s="64">
        <f t="shared" si="3"/>
        <v>5.4810810810810802</v>
      </c>
      <c r="I228" s="66">
        <f>C230*Scoring!$B$36+TE!D230/Scoring!$C$36+TE!E230*Scoring!$D$36+TE!F230*Scoring!$E$36+H230*Scoring!$F$36</f>
        <v>22.4</v>
      </c>
      <c r="J228" s="66">
        <f>C228*Scoring!$B$36+TE!D228/Scoring!$C$36+TE!E228*Scoring!$D$36+TE!F228*Scoring!$E$36+H228*Scoring!$F$36</f>
        <v>22.4</v>
      </c>
      <c r="K228" s="66">
        <f>C229*Scoring!$B$36+TE!D229/Scoring!$C$36+TE!E229*Scoring!$D$36+TE!F229*Scoring!$E$36+H229*Scoring!$F$36</f>
        <v>22.4</v>
      </c>
    </row>
    <row r="229" spans="1:11" ht="14.25" customHeight="1" x14ac:dyDescent="0.3">
      <c r="B229" t="s">
        <v>472</v>
      </c>
      <c r="C229">
        <v>12</v>
      </c>
      <c r="D229">
        <v>104</v>
      </c>
      <c r="E229">
        <v>1</v>
      </c>
      <c r="F229">
        <v>0</v>
      </c>
      <c r="G229">
        <v>16</v>
      </c>
      <c r="H229" s="64">
        <f t="shared" si="3"/>
        <v>5.4810810810810802</v>
      </c>
      <c r="I229" s="68"/>
      <c r="J229" s="68"/>
      <c r="K229" s="68"/>
    </row>
    <row r="230" spans="1:11" ht="14.25" customHeight="1" x14ac:dyDescent="0.3">
      <c r="B230" t="s">
        <v>473</v>
      </c>
      <c r="C230">
        <v>12</v>
      </c>
      <c r="D230">
        <v>104</v>
      </c>
      <c r="E230">
        <v>1</v>
      </c>
      <c r="F230">
        <v>0</v>
      </c>
      <c r="G230">
        <v>16</v>
      </c>
      <c r="H230" s="64">
        <f t="shared" si="3"/>
        <v>5.4810810810810802</v>
      </c>
      <c r="I230" s="68"/>
      <c r="J230" s="68"/>
      <c r="K230" s="68"/>
    </row>
    <row r="231" spans="1:11" ht="14.25" customHeight="1" x14ac:dyDescent="0.3">
      <c r="A231" t="s">
        <v>981</v>
      </c>
      <c r="B231" t="s">
        <v>511</v>
      </c>
      <c r="C231">
        <v>10.6</v>
      </c>
      <c r="D231">
        <v>113.7</v>
      </c>
      <c r="E231">
        <v>0.9</v>
      </c>
      <c r="F231">
        <v>0.1</v>
      </c>
      <c r="G231">
        <v>22.1</v>
      </c>
      <c r="H231" s="64">
        <f t="shared" si="3"/>
        <v>5.9922972972972977</v>
      </c>
      <c r="I231" s="66">
        <f>C233*Scoring!$B$36+TE!D233/Scoring!$C$36+TE!E233*Scoring!$D$36+TE!F233*Scoring!$E$36+H233*Scoring!$F$36</f>
        <v>21.87</v>
      </c>
      <c r="J231" s="66">
        <f>C231*Scoring!$B$36+TE!D231/Scoring!$C$36+TE!E231*Scoring!$D$36+TE!F231*Scoring!$E$36+H231*Scoring!$F$36</f>
        <v>21.87</v>
      </c>
      <c r="K231" s="66">
        <f>C232*Scoring!$B$36+TE!D232/Scoring!$C$36+TE!E232*Scoring!$D$36+TE!F232*Scoring!$E$36+H232*Scoring!$F$36</f>
        <v>21.87</v>
      </c>
    </row>
    <row r="232" spans="1:11" ht="14.25" customHeight="1" x14ac:dyDescent="0.3">
      <c r="B232" t="s">
        <v>472</v>
      </c>
      <c r="C232">
        <v>10.6</v>
      </c>
      <c r="D232">
        <v>113.7</v>
      </c>
      <c r="E232">
        <v>0.9</v>
      </c>
      <c r="F232">
        <v>0.1</v>
      </c>
      <c r="G232">
        <v>22.2</v>
      </c>
      <c r="H232" s="64">
        <f t="shared" si="3"/>
        <v>5.9922972972972977</v>
      </c>
      <c r="I232" s="68"/>
      <c r="J232" s="68"/>
      <c r="K232" s="68"/>
    </row>
    <row r="233" spans="1:11" ht="14.25" customHeight="1" x14ac:dyDescent="0.3">
      <c r="B233" t="s">
        <v>473</v>
      </c>
      <c r="C233">
        <v>10.6</v>
      </c>
      <c r="D233">
        <v>113.7</v>
      </c>
      <c r="E233">
        <v>0.9</v>
      </c>
      <c r="F233">
        <v>0.1</v>
      </c>
      <c r="G233">
        <v>22.2</v>
      </c>
      <c r="H233" s="64">
        <f t="shared" si="3"/>
        <v>5.9922972972972977</v>
      </c>
      <c r="I233" s="68"/>
      <c r="J233" s="68"/>
      <c r="K233" s="68"/>
    </row>
    <row r="234" spans="1:11" ht="14.25" customHeight="1" x14ac:dyDescent="0.3">
      <c r="A234" t="s">
        <v>975</v>
      </c>
      <c r="B234" t="s">
        <v>533</v>
      </c>
      <c r="C234">
        <v>13.5</v>
      </c>
      <c r="D234">
        <v>114.4</v>
      </c>
      <c r="E234">
        <v>0.6</v>
      </c>
      <c r="F234">
        <v>0</v>
      </c>
      <c r="G234">
        <v>21.7</v>
      </c>
      <c r="H234" s="64">
        <f t="shared" si="3"/>
        <v>6.0291891891891902</v>
      </c>
      <c r="I234" s="66">
        <f>C236*Scoring!$B$36+TE!D236/Scoring!$C$36+TE!E236*Scoring!$D$36+TE!F236*Scoring!$E$36+H236*Scoring!$F$36</f>
        <v>6.4200000000000008</v>
      </c>
      <c r="J234" s="66">
        <f>C234*Scoring!$B$36+TE!D234/Scoring!$C$36+TE!E234*Scoring!$D$36+TE!F234*Scoring!$E$36+H234*Scoring!$F$36</f>
        <v>21.79</v>
      </c>
      <c r="K234" s="66">
        <f>C235*Scoring!$B$36+TE!D235/Scoring!$C$36+TE!E235*Scoring!$D$36+TE!F235*Scoring!$E$36+H235*Scoring!$F$36</f>
        <v>37.1</v>
      </c>
    </row>
    <row r="235" spans="1:11" ht="14.25" customHeight="1" x14ac:dyDescent="0.3">
      <c r="B235" t="s">
        <v>472</v>
      </c>
      <c r="C235">
        <v>23</v>
      </c>
      <c r="D235">
        <v>196</v>
      </c>
      <c r="E235">
        <v>1</v>
      </c>
      <c r="F235">
        <v>0</v>
      </c>
      <c r="G235">
        <v>24.7</v>
      </c>
      <c r="H235" s="64">
        <f t="shared" si="3"/>
        <v>10.329729729729729</v>
      </c>
      <c r="I235" s="68"/>
      <c r="J235" s="68"/>
      <c r="K235" s="68"/>
    </row>
    <row r="236" spans="1:11" ht="14.25" customHeight="1" x14ac:dyDescent="0.3">
      <c r="B236" t="s">
        <v>473</v>
      </c>
      <c r="C236">
        <v>3.9</v>
      </c>
      <c r="D236">
        <v>32.700000000000003</v>
      </c>
      <c r="E236">
        <v>0.2</v>
      </c>
      <c r="F236">
        <v>0</v>
      </c>
      <c r="G236">
        <v>11</v>
      </c>
      <c r="H236" s="64">
        <f t="shared" si="3"/>
        <v>1.7233783783783785</v>
      </c>
      <c r="I236" s="68"/>
      <c r="J236" s="68"/>
      <c r="K236" s="68"/>
    </row>
    <row r="237" spans="1:11" ht="14.25" customHeight="1" x14ac:dyDescent="0.3">
      <c r="A237" t="s">
        <v>1404</v>
      </c>
      <c r="B237" t="s">
        <v>485</v>
      </c>
      <c r="C237">
        <v>10</v>
      </c>
      <c r="D237">
        <v>101</v>
      </c>
      <c r="E237">
        <v>1</v>
      </c>
      <c r="F237">
        <v>0</v>
      </c>
      <c r="G237">
        <v>21.1</v>
      </c>
      <c r="H237" s="64">
        <f t="shared" si="3"/>
        <v>5.3229729729729724</v>
      </c>
      <c r="I237" s="66">
        <f>C239*Scoring!$B$36+TE!D239/Scoring!$C$36+TE!E239*Scoring!$D$36+TE!F239*Scoring!$E$36+H239*Scoring!$F$36</f>
        <v>21.1</v>
      </c>
      <c r="J237" s="66">
        <f>C237*Scoring!$B$36+TE!D237/Scoring!$C$36+TE!E237*Scoring!$D$36+TE!F237*Scoring!$E$36+H237*Scoring!$F$36</f>
        <v>21.1</v>
      </c>
      <c r="K237" s="66">
        <f>C238*Scoring!$B$36+TE!D238/Scoring!$C$36+TE!E238*Scoring!$D$36+TE!F238*Scoring!$E$36+H238*Scoring!$F$36</f>
        <v>21.1</v>
      </c>
    </row>
    <row r="238" spans="1:11" ht="14.25" customHeight="1" x14ac:dyDescent="0.3">
      <c r="B238" t="s">
        <v>472</v>
      </c>
      <c r="C238">
        <v>10</v>
      </c>
      <c r="D238">
        <v>101</v>
      </c>
      <c r="E238">
        <v>1</v>
      </c>
      <c r="F238">
        <v>0</v>
      </c>
      <c r="G238">
        <v>15</v>
      </c>
      <c r="H238" s="64">
        <f t="shared" si="3"/>
        <v>5.3229729729729724</v>
      </c>
      <c r="I238" s="68"/>
      <c r="J238" s="68"/>
      <c r="K238" s="68"/>
    </row>
    <row r="239" spans="1:11" ht="14.25" customHeight="1" x14ac:dyDescent="0.3">
      <c r="B239" t="s">
        <v>473</v>
      </c>
      <c r="C239">
        <v>10</v>
      </c>
      <c r="D239">
        <v>101</v>
      </c>
      <c r="E239">
        <v>1</v>
      </c>
      <c r="F239">
        <v>0</v>
      </c>
      <c r="G239">
        <v>15</v>
      </c>
      <c r="H239" s="64">
        <f t="shared" si="3"/>
        <v>5.3229729729729724</v>
      </c>
      <c r="I239" s="68"/>
      <c r="J239" s="68"/>
      <c r="K239" s="68"/>
    </row>
    <row r="240" spans="1:11" ht="14.25" customHeight="1" x14ac:dyDescent="0.3">
      <c r="A240" t="s">
        <v>1485</v>
      </c>
      <c r="B240" t="s">
        <v>493</v>
      </c>
      <c r="C240">
        <v>11</v>
      </c>
      <c r="D240">
        <v>96</v>
      </c>
      <c r="E240">
        <v>1</v>
      </c>
      <c r="F240">
        <v>0</v>
      </c>
      <c r="G240">
        <v>21.1</v>
      </c>
      <c r="H240" s="64">
        <f t="shared" si="3"/>
        <v>5.0594594594594584</v>
      </c>
      <c r="I240" s="66">
        <f>C242*Scoring!$B$36+TE!D242/Scoring!$C$36+TE!E242*Scoring!$D$36+TE!F242*Scoring!$E$36+H242*Scoring!$F$36</f>
        <v>21.1</v>
      </c>
      <c r="J240" s="66">
        <f>C240*Scoring!$B$36+TE!D240/Scoring!$C$36+TE!E240*Scoring!$D$36+TE!F240*Scoring!$E$36+H240*Scoring!$F$36</f>
        <v>21.1</v>
      </c>
      <c r="K240" s="66">
        <f>C241*Scoring!$B$36+TE!D241/Scoring!$C$36+TE!E241*Scoring!$D$36+TE!F241*Scoring!$E$36+H241*Scoring!$F$36</f>
        <v>21.1</v>
      </c>
    </row>
    <row r="241" spans="1:11" ht="14.25" customHeight="1" x14ac:dyDescent="0.3">
      <c r="B241" t="s">
        <v>472</v>
      </c>
      <c r="C241">
        <v>11</v>
      </c>
      <c r="D241">
        <v>96</v>
      </c>
      <c r="E241">
        <v>1</v>
      </c>
      <c r="F241">
        <v>0</v>
      </c>
      <c r="G241">
        <v>15.5</v>
      </c>
      <c r="H241" s="64">
        <f t="shared" si="3"/>
        <v>5.0594594594594584</v>
      </c>
      <c r="I241" s="68"/>
      <c r="J241" s="68"/>
      <c r="K241" s="68"/>
    </row>
    <row r="242" spans="1:11" ht="14.25" customHeight="1" x14ac:dyDescent="0.3">
      <c r="B242" t="s">
        <v>473</v>
      </c>
      <c r="C242">
        <v>11</v>
      </c>
      <c r="D242">
        <v>96</v>
      </c>
      <c r="E242">
        <v>1</v>
      </c>
      <c r="F242">
        <v>0</v>
      </c>
      <c r="G242">
        <v>15.5</v>
      </c>
      <c r="H242" s="64">
        <f t="shared" si="3"/>
        <v>5.0594594594594584</v>
      </c>
      <c r="I242" s="68"/>
      <c r="J242" s="68"/>
      <c r="K242" s="68"/>
    </row>
    <row r="243" spans="1:11" ht="14.25" customHeight="1" x14ac:dyDescent="0.3">
      <c r="A243" t="s">
        <v>974</v>
      </c>
      <c r="B243" t="s">
        <v>511</v>
      </c>
      <c r="C243">
        <v>8</v>
      </c>
      <c r="D243">
        <v>97</v>
      </c>
      <c r="E243">
        <v>1</v>
      </c>
      <c r="F243">
        <v>0</v>
      </c>
      <c r="G243">
        <v>19.7</v>
      </c>
      <c r="H243" s="64">
        <f t="shared" si="3"/>
        <v>5.1121621621621625</v>
      </c>
      <c r="I243" s="66">
        <f>C245*Scoring!$B$36+TE!D245/Scoring!$C$36+TE!E245*Scoring!$D$36+TE!F245*Scoring!$E$36+H245*Scoring!$F$36</f>
        <v>19.7</v>
      </c>
      <c r="J243" s="66">
        <f>C243*Scoring!$B$36+TE!D243/Scoring!$C$36+TE!E243*Scoring!$D$36+TE!F243*Scoring!$E$36+H243*Scoring!$F$36</f>
        <v>19.7</v>
      </c>
      <c r="K243" s="66">
        <f>C244*Scoring!$B$36+TE!D244/Scoring!$C$36+TE!E244*Scoring!$D$36+TE!F244*Scoring!$E$36+H244*Scoring!$F$36</f>
        <v>19.7</v>
      </c>
    </row>
    <row r="244" spans="1:11" ht="14.25" customHeight="1" x14ac:dyDescent="0.3">
      <c r="B244" t="s">
        <v>472</v>
      </c>
      <c r="C244">
        <v>8</v>
      </c>
      <c r="D244">
        <v>97</v>
      </c>
      <c r="E244">
        <v>1</v>
      </c>
      <c r="F244">
        <v>0</v>
      </c>
      <c r="G244">
        <v>12</v>
      </c>
      <c r="H244" s="64">
        <f t="shared" si="3"/>
        <v>5.1121621621621625</v>
      </c>
      <c r="I244" s="68"/>
      <c r="J244" s="68"/>
      <c r="K244" s="68"/>
    </row>
    <row r="245" spans="1:11" ht="14.25" customHeight="1" x14ac:dyDescent="0.3">
      <c r="B245" t="s">
        <v>473</v>
      </c>
      <c r="C245">
        <v>8</v>
      </c>
      <c r="D245">
        <v>97</v>
      </c>
      <c r="E245">
        <v>1</v>
      </c>
      <c r="F245">
        <v>0</v>
      </c>
      <c r="G245">
        <v>12</v>
      </c>
      <c r="H245" s="64">
        <f t="shared" si="3"/>
        <v>5.1121621621621625</v>
      </c>
      <c r="I245" s="68"/>
      <c r="J245" s="68"/>
      <c r="K245" s="68"/>
    </row>
    <row r="246" spans="1:11" ht="14.25" customHeight="1" x14ac:dyDescent="0.3">
      <c r="A246" t="s">
        <v>1542</v>
      </c>
      <c r="B246" t="s">
        <v>525</v>
      </c>
      <c r="C246">
        <v>10</v>
      </c>
      <c r="D246">
        <v>83</v>
      </c>
      <c r="E246">
        <v>1</v>
      </c>
      <c r="F246">
        <v>0</v>
      </c>
      <c r="G246">
        <v>19.3</v>
      </c>
      <c r="H246" s="64">
        <f t="shared" si="3"/>
        <v>4.3743243243243244</v>
      </c>
      <c r="I246" s="66">
        <f>C248*Scoring!$B$36+TE!D248/Scoring!$C$36+TE!E248*Scoring!$D$36+TE!F248*Scoring!$E$36+H248*Scoring!$F$36</f>
        <v>19.3</v>
      </c>
      <c r="J246" s="66">
        <f>C246*Scoring!$B$36+TE!D246/Scoring!$C$36+TE!E246*Scoring!$D$36+TE!F246*Scoring!$E$36+H246*Scoring!$F$36</f>
        <v>19.3</v>
      </c>
      <c r="K246" s="66">
        <f>C247*Scoring!$B$36+TE!D247/Scoring!$C$36+TE!E247*Scoring!$D$36+TE!F247*Scoring!$E$36+H247*Scoring!$F$36</f>
        <v>19.3</v>
      </c>
    </row>
    <row r="247" spans="1:11" ht="14.25" customHeight="1" x14ac:dyDescent="0.3">
      <c r="B247" t="s">
        <v>472</v>
      </c>
      <c r="C247">
        <v>10</v>
      </c>
      <c r="D247">
        <v>83</v>
      </c>
      <c r="E247">
        <v>1</v>
      </c>
      <c r="F247">
        <v>0</v>
      </c>
      <c r="G247">
        <v>14</v>
      </c>
      <c r="H247" s="64">
        <f t="shared" si="3"/>
        <v>4.3743243243243244</v>
      </c>
      <c r="I247" s="68"/>
      <c r="J247" s="68"/>
      <c r="K247" s="68"/>
    </row>
    <row r="248" spans="1:11" ht="14.25" customHeight="1" x14ac:dyDescent="0.3">
      <c r="B248" t="s">
        <v>473</v>
      </c>
      <c r="C248">
        <v>10</v>
      </c>
      <c r="D248">
        <v>83</v>
      </c>
      <c r="E248">
        <v>1</v>
      </c>
      <c r="F248">
        <v>0</v>
      </c>
      <c r="G248">
        <v>14</v>
      </c>
      <c r="H248" s="64">
        <f t="shared" si="3"/>
        <v>4.3743243243243244</v>
      </c>
      <c r="I248" s="68"/>
      <c r="J248" s="68"/>
      <c r="K248" s="68"/>
    </row>
    <row r="249" spans="1:11" ht="14.25" customHeight="1" x14ac:dyDescent="0.3">
      <c r="A249" t="s">
        <v>984</v>
      </c>
      <c r="B249" t="s">
        <v>505</v>
      </c>
      <c r="C249">
        <v>9.4</v>
      </c>
      <c r="D249">
        <v>94.5</v>
      </c>
      <c r="E249">
        <v>0.7</v>
      </c>
      <c r="F249">
        <v>0</v>
      </c>
      <c r="G249">
        <v>18.5</v>
      </c>
      <c r="H249" s="64">
        <f t="shared" si="3"/>
        <v>4.9804054054054054</v>
      </c>
      <c r="I249" s="66">
        <f>C251*Scoring!$B$36+TE!D251/Scoring!$C$36+TE!E251*Scoring!$D$36+TE!F251*Scoring!$E$36+H251*Scoring!$F$36</f>
        <v>14.100000000000001</v>
      </c>
      <c r="J249" s="66">
        <f>C249*Scoring!$B$36+TE!D249/Scoring!$C$36+TE!E249*Scoring!$D$36+TE!F249*Scoring!$E$36+H249*Scoring!$F$36</f>
        <v>18.349999999999998</v>
      </c>
      <c r="K249" s="66">
        <f>C250*Scoring!$B$36+TE!D250/Scoring!$C$36+TE!E250*Scoring!$D$36+TE!F250*Scoring!$E$36+H250*Scoring!$F$36</f>
        <v>23</v>
      </c>
    </row>
    <row r="250" spans="1:11" ht="14.25" customHeight="1" x14ac:dyDescent="0.3">
      <c r="B250" t="s">
        <v>472</v>
      </c>
      <c r="C250">
        <v>11</v>
      </c>
      <c r="D250">
        <v>115</v>
      </c>
      <c r="E250">
        <v>1</v>
      </c>
      <c r="F250">
        <v>0</v>
      </c>
      <c r="G250">
        <v>14.9</v>
      </c>
      <c r="H250" s="64">
        <f t="shared" si="3"/>
        <v>6.0608108108108105</v>
      </c>
      <c r="I250" s="68"/>
      <c r="J250" s="68"/>
      <c r="K250" s="68"/>
    </row>
    <row r="251" spans="1:11" ht="14.25" customHeight="1" x14ac:dyDescent="0.3">
      <c r="B251" t="s">
        <v>473</v>
      </c>
      <c r="C251">
        <v>7.8</v>
      </c>
      <c r="D251">
        <v>74</v>
      </c>
      <c r="E251">
        <v>0.5</v>
      </c>
      <c r="F251">
        <v>0.1</v>
      </c>
      <c r="G251">
        <v>14.7</v>
      </c>
      <c r="H251" s="64">
        <f t="shared" si="3"/>
        <v>3.9</v>
      </c>
      <c r="I251" s="68"/>
      <c r="J251" s="68"/>
      <c r="K251" s="68"/>
    </row>
    <row r="252" spans="1:11" ht="14.25" customHeight="1" x14ac:dyDescent="0.3">
      <c r="A252" t="s">
        <v>983</v>
      </c>
      <c r="B252" t="s">
        <v>475</v>
      </c>
      <c r="C252">
        <v>8.9</v>
      </c>
      <c r="D252">
        <v>86.4</v>
      </c>
      <c r="E252">
        <v>0.9</v>
      </c>
      <c r="F252">
        <v>0</v>
      </c>
      <c r="G252">
        <v>18.2</v>
      </c>
      <c r="H252" s="64">
        <f t="shared" si="3"/>
        <v>4.5535135135135132</v>
      </c>
      <c r="I252" s="66">
        <f>C254*Scoring!$B$36+TE!D254/Scoring!$C$36+TE!E254*Scoring!$D$36+TE!F254*Scoring!$E$36+H254*Scoring!$F$36</f>
        <v>15.900000000000002</v>
      </c>
      <c r="J252" s="66">
        <f>C252*Scoring!$B$36+TE!D252/Scoring!$C$36+TE!E252*Scoring!$D$36+TE!F252*Scoring!$E$36+H252*Scoring!$F$36</f>
        <v>18.490000000000002</v>
      </c>
      <c r="K252" s="66">
        <f>C253*Scoring!$B$36+TE!D253/Scoring!$C$36+TE!E253*Scoring!$D$36+TE!F253*Scoring!$E$36+H253*Scoring!$F$36</f>
        <v>20.29</v>
      </c>
    </row>
    <row r="253" spans="1:11" ht="14.25" customHeight="1" x14ac:dyDescent="0.3">
      <c r="B253" t="s">
        <v>472</v>
      </c>
      <c r="C253">
        <v>9.8000000000000007</v>
      </c>
      <c r="D253">
        <v>93.9</v>
      </c>
      <c r="E253">
        <v>1</v>
      </c>
      <c r="F253">
        <v>0</v>
      </c>
      <c r="G253">
        <v>18.2</v>
      </c>
      <c r="H253" s="64">
        <f t="shared" si="3"/>
        <v>4.9487837837837834</v>
      </c>
      <c r="I253" s="68"/>
      <c r="J253" s="68"/>
      <c r="K253" s="68"/>
    </row>
    <row r="254" spans="1:11" ht="14.25" customHeight="1" x14ac:dyDescent="0.3">
      <c r="B254" t="s">
        <v>473</v>
      </c>
      <c r="C254">
        <v>8</v>
      </c>
      <c r="D254">
        <v>79</v>
      </c>
      <c r="E254">
        <v>0.7</v>
      </c>
      <c r="F254">
        <v>0.1</v>
      </c>
      <c r="G254">
        <v>13.5</v>
      </c>
      <c r="H254" s="64">
        <f t="shared" si="3"/>
        <v>4.1635135135135135</v>
      </c>
      <c r="I254" s="68"/>
      <c r="J254" s="68"/>
      <c r="K254" s="68"/>
    </row>
    <row r="255" spans="1:11" ht="14.25" customHeight="1" x14ac:dyDescent="0.3">
      <c r="A255" t="s">
        <v>985</v>
      </c>
      <c r="B255" t="s">
        <v>521</v>
      </c>
      <c r="C255">
        <v>8</v>
      </c>
      <c r="D255">
        <v>71.5</v>
      </c>
      <c r="E255">
        <v>1</v>
      </c>
      <c r="F255">
        <v>0</v>
      </c>
      <c r="G255">
        <v>17.2</v>
      </c>
      <c r="H255" s="64">
        <f t="shared" si="3"/>
        <v>3.7682432432432433</v>
      </c>
      <c r="I255" s="66">
        <f>C257*Scoring!$B$36+TE!D257/Scoring!$C$36+TE!E257*Scoring!$D$36+TE!F257*Scoring!$E$36+H257*Scoring!$F$36</f>
        <v>0</v>
      </c>
      <c r="J255" s="66">
        <f>C255*Scoring!$B$36+TE!D255/Scoring!$C$36+TE!E255*Scoring!$D$36+TE!F255*Scoring!$E$36+H255*Scoring!$F$36</f>
        <v>17.149999999999999</v>
      </c>
      <c r="K255" s="66">
        <f>C256*Scoring!$B$36+TE!D256/Scoring!$C$36+TE!E256*Scoring!$D$36+TE!F256*Scoring!$E$36+H256*Scoring!$F$36</f>
        <v>34.299999999999997</v>
      </c>
    </row>
    <row r="256" spans="1:11" ht="14.25" customHeight="1" x14ac:dyDescent="0.3">
      <c r="B256" t="s">
        <v>472</v>
      </c>
      <c r="C256">
        <v>16</v>
      </c>
      <c r="D256">
        <v>143</v>
      </c>
      <c r="E256">
        <v>2</v>
      </c>
      <c r="F256">
        <v>0</v>
      </c>
      <c r="G256">
        <v>22</v>
      </c>
      <c r="H256" s="64">
        <f t="shared" si="3"/>
        <v>7.5364864864864867</v>
      </c>
      <c r="I256" s="68"/>
      <c r="J256" s="68"/>
      <c r="K256" s="68"/>
    </row>
    <row r="257" spans="1:11" ht="14.25" customHeight="1" x14ac:dyDescent="0.3">
      <c r="B257" t="s">
        <v>473</v>
      </c>
      <c r="C257">
        <v>0</v>
      </c>
      <c r="D257">
        <v>0</v>
      </c>
      <c r="E257">
        <v>0</v>
      </c>
      <c r="F257">
        <v>0</v>
      </c>
      <c r="G257">
        <v>4</v>
      </c>
      <c r="H257" s="64">
        <f t="shared" si="3"/>
        <v>0</v>
      </c>
      <c r="I257" s="68"/>
      <c r="J257" s="68"/>
      <c r="K257" s="68"/>
    </row>
    <row r="258" spans="1:11" ht="14.25" customHeight="1" x14ac:dyDescent="0.3">
      <c r="A258" t="s">
        <v>990</v>
      </c>
      <c r="B258" t="s">
        <v>507</v>
      </c>
      <c r="C258">
        <v>7.6</v>
      </c>
      <c r="D258">
        <v>80.8</v>
      </c>
      <c r="E258">
        <v>0.8</v>
      </c>
      <c r="F258">
        <v>0</v>
      </c>
      <c r="G258">
        <v>16.7</v>
      </c>
      <c r="H258" s="64">
        <f t="shared" si="3"/>
        <v>4.258378378378378</v>
      </c>
      <c r="I258" s="66">
        <f>C260*Scoring!$B$36+TE!D260/Scoring!$C$36+TE!E260*Scoring!$D$36+TE!F260*Scoring!$E$36+H260*Scoring!$F$36</f>
        <v>14.05</v>
      </c>
      <c r="J258" s="66">
        <f>C258*Scoring!$B$36+TE!D258/Scoring!$C$36+TE!E258*Scoring!$D$36+TE!F258*Scoring!$E$36+H258*Scoring!$F$36</f>
        <v>16.68</v>
      </c>
      <c r="K258" s="66">
        <f>C259*Scoring!$B$36+TE!D259/Scoring!$C$36+TE!E259*Scoring!$D$36+TE!F259*Scoring!$E$36+H259*Scoring!$F$36</f>
        <v>19.100000000000001</v>
      </c>
    </row>
    <row r="259" spans="1:11" ht="14.25" customHeight="1" x14ac:dyDescent="0.3">
      <c r="B259" t="s">
        <v>472</v>
      </c>
      <c r="C259">
        <v>8</v>
      </c>
      <c r="D259">
        <v>91</v>
      </c>
      <c r="E259">
        <v>1</v>
      </c>
      <c r="F259">
        <v>0</v>
      </c>
      <c r="G259">
        <v>14.6</v>
      </c>
      <c r="H259" s="64">
        <f t="shared" ref="H259:H322" si="4">IFERROR(D259/C259/11.1*0.585*C259,0)</f>
        <v>4.7959459459459461</v>
      </c>
      <c r="I259" s="68"/>
      <c r="J259" s="68"/>
      <c r="K259" s="68"/>
    </row>
    <row r="260" spans="1:11" ht="14.25" customHeight="1" x14ac:dyDescent="0.3">
      <c r="B260" t="s">
        <v>473</v>
      </c>
      <c r="C260">
        <v>7.2</v>
      </c>
      <c r="D260">
        <v>70.5</v>
      </c>
      <c r="E260">
        <v>0.6</v>
      </c>
      <c r="F260">
        <v>0.1</v>
      </c>
      <c r="G260">
        <v>13.8</v>
      </c>
      <c r="H260" s="64">
        <f t="shared" si="4"/>
        <v>3.7155405405405402</v>
      </c>
      <c r="I260" s="68"/>
      <c r="J260" s="68"/>
      <c r="K260" s="68"/>
    </row>
    <row r="261" spans="1:11" ht="14.25" customHeight="1" x14ac:dyDescent="0.3">
      <c r="A261" t="s">
        <v>986</v>
      </c>
      <c r="B261" t="s">
        <v>501</v>
      </c>
      <c r="C261">
        <v>7.5</v>
      </c>
      <c r="D261">
        <v>82.5</v>
      </c>
      <c r="E261">
        <v>0.7</v>
      </c>
      <c r="F261">
        <v>0</v>
      </c>
      <c r="G261">
        <v>16.100000000000001</v>
      </c>
      <c r="H261" s="64">
        <f t="shared" si="4"/>
        <v>4.3479729729729728</v>
      </c>
      <c r="I261" s="66">
        <f>C263*Scoring!$B$36+TE!D263/Scoring!$C$36+TE!E263*Scoring!$D$36+TE!F263*Scoring!$E$36+H263*Scoring!$F$36</f>
        <v>8.2100000000000009</v>
      </c>
      <c r="J261" s="66">
        <f>C261*Scoring!$B$36+TE!D261/Scoring!$C$36+TE!E261*Scoring!$D$36+TE!F261*Scoring!$E$36+H261*Scoring!$F$36</f>
        <v>16.2</v>
      </c>
      <c r="K261" s="66">
        <f>C262*Scoring!$B$36+TE!D262/Scoring!$C$36+TE!E262*Scoring!$D$36+TE!F262*Scoring!$E$36+H262*Scoring!$F$36</f>
        <v>24.2</v>
      </c>
    </row>
    <row r="262" spans="1:11" ht="14.25" customHeight="1" x14ac:dyDescent="0.3">
      <c r="B262" t="s">
        <v>472</v>
      </c>
      <c r="C262">
        <v>11</v>
      </c>
      <c r="D262">
        <v>127</v>
      </c>
      <c r="E262">
        <v>1</v>
      </c>
      <c r="F262">
        <v>0</v>
      </c>
      <c r="G262">
        <v>14.8</v>
      </c>
      <c r="H262" s="64">
        <f t="shared" si="4"/>
        <v>6.6932432432432432</v>
      </c>
      <c r="I262" s="68"/>
      <c r="J262" s="68"/>
      <c r="K262" s="68"/>
    </row>
    <row r="263" spans="1:11" ht="14.25" customHeight="1" x14ac:dyDescent="0.3">
      <c r="B263" t="s">
        <v>473</v>
      </c>
      <c r="C263">
        <v>4</v>
      </c>
      <c r="D263">
        <v>38.1</v>
      </c>
      <c r="E263">
        <v>0.4</v>
      </c>
      <c r="F263">
        <v>0</v>
      </c>
      <c r="G263">
        <v>9.6999999999999993</v>
      </c>
      <c r="H263" s="64">
        <f t="shared" si="4"/>
        <v>2.0079729729729729</v>
      </c>
      <c r="I263" s="68"/>
      <c r="J263" s="68"/>
      <c r="K263" s="68"/>
    </row>
    <row r="264" spans="1:11" ht="14.25" customHeight="1" x14ac:dyDescent="0.3">
      <c r="A264" t="s">
        <v>976</v>
      </c>
      <c r="B264" t="s">
        <v>481</v>
      </c>
      <c r="C264">
        <v>8.5</v>
      </c>
      <c r="D264">
        <v>87.5</v>
      </c>
      <c r="E264">
        <v>0.5</v>
      </c>
      <c r="F264">
        <v>0</v>
      </c>
      <c r="G264">
        <v>16</v>
      </c>
      <c r="H264" s="64">
        <f t="shared" si="4"/>
        <v>4.6114864864864868</v>
      </c>
      <c r="I264" s="66">
        <f>C266*Scoring!$B$36+TE!D266/Scoring!$C$36+TE!E266*Scoring!$D$36+TE!F266*Scoring!$E$36+H266*Scoring!$F$36</f>
        <v>0</v>
      </c>
      <c r="J264" s="66">
        <f>C264*Scoring!$B$36+TE!D264/Scoring!$C$36+TE!E264*Scoring!$D$36+TE!F264*Scoring!$E$36+H264*Scoring!$F$36</f>
        <v>16</v>
      </c>
      <c r="K264" s="66">
        <f>C265*Scoring!$B$36+TE!D265/Scoring!$C$36+TE!E265*Scoring!$D$36+TE!F265*Scoring!$E$36+H265*Scoring!$F$36</f>
        <v>32</v>
      </c>
    </row>
    <row r="265" spans="1:11" ht="14.25" customHeight="1" x14ac:dyDescent="0.3">
      <c r="B265" t="s">
        <v>472</v>
      </c>
      <c r="C265">
        <v>17</v>
      </c>
      <c r="D265">
        <v>175</v>
      </c>
      <c r="E265">
        <v>1</v>
      </c>
      <c r="F265">
        <v>0</v>
      </c>
      <c r="G265">
        <v>19.3</v>
      </c>
      <c r="H265" s="64">
        <f t="shared" si="4"/>
        <v>9.2229729729729737</v>
      </c>
      <c r="I265" s="68"/>
      <c r="J265" s="68"/>
      <c r="K265" s="68"/>
    </row>
    <row r="266" spans="1:11" ht="14.25" customHeight="1" x14ac:dyDescent="0.3">
      <c r="B266" t="s">
        <v>473</v>
      </c>
      <c r="C266">
        <v>0</v>
      </c>
      <c r="D266">
        <v>0</v>
      </c>
      <c r="E266">
        <v>0</v>
      </c>
      <c r="F266">
        <v>0</v>
      </c>
      <c r="G266">
        <v>4.3</v>
      </c>
      <c r="H266" s="64">
        <f t="shared" si="4"/>
        <v>0</v>
      </c>
      <c r="I266" s="68"/>
      <c r="J266" s="68"/>
      <c r="K266" s="68"/>
    </row>
    <row r="267" spans="1:11" ht="14.25" customHeight="1" x14ac:dyDescent="0.3">
      <c r="A267" t="s">
        <v>1402</v>
      </c>
      <c r="B267" t="s">
        <v>513</v>
      </c>
      <c r="C267">
        <v>8.1</v>
      </c>
      <c r="D267">
        <v>78.7</v>
      </c>
      <c r="E267">
        <v>0.7</v>
      </c>
      <c r="F267">
        <v>0</v>
      </c>
      <c r="G267">
        <v>15.8</v>
      </c>
      <c r="H267" s="64">
        <f t="shared" si="4"/>
        <v>4.1477027027027029</v>
      </c>
      <c r="I267" s="66">
        <f>C269*Scoring!$B$36+TE!D269/Scoring!$C$36+TE!E269*Scoring!$D$36+TE!F269*Scoring!$E$36+H269*Scoring!$F$36</f>
        <v>12.129999999999999</v>
      </c>
      <c r="J267" s="66">
        <f>C267*Scoring!$B$36+TE!D267/Scoring!$C$36+TE!E267*Scoring!$D$36+TE!F267*Scoring!$E$36+H267*Scoring!$F$36</f>
        <v>16.119999999999997</v>
      </c>
      <c r="K267" s="66">
        <f>C268*Scoring!$B$36+TE!D268/Scoring!$C$36+TE!E268*Scoring!$D$36+TE!F268*Scoring!$E$36+H268*Scoring!$F$36</f>
        <v>19.3</v>
      </c>
    </row>
    <row r="268" spans="1:11" ht="14.25" customHeight="1" x14ac:dyDescent="0.3">
      <c r="B268" t="s">
        <v>472</v>
      </c>
      <c r="C268">
        <v>9</v>
      </c>
      <c r="D268">
        <v>88</v>
      </c>
      <c r="E268">
        <v>1</v>
      </c>
      <c r="F268">
        <v>0</v>
      </c>
      <c r="G268">
        <v>14.1</v>
      </c>
      <c r="H268" s="64">
        <f t="shared" si="4"/>
        <v>4.6378378378378384</v>
      </c>
      <c r="I268" s="68"/>
      <c r="J268" s="68"/>
      <c r="K268" s="68"/>
    </row>
    <row r="269" spans="1:11" ht="14.25" customHeight="1" x14ac:dyDescent="0.3">
      <c r="B269" t="s">
        <v>473</v>
      </c>
      <c r="C269">
        <v>7.2</v>
      </c>
      <c r="D269">
        <v>69.3</v>
      </c>
      <c r="E269">
        <v>0.3</v>
      </c>
      <c r="F269">
        <v>0.1</v>
      </c>
      <c r="G269">
        <v>12.7</v>
      </c>
      <c r="H269" s="64">
        <f t="shared" si="4"/>
        <v>3.6522972972972974</v>
      </c>
      <c r="I269" s="68"/>
      <c r="J269" s="68"/>
      <c r="K269" s="68"/>
    </row>
    <row r="270" spans="1:11" ht="14.25" customHeight="1" x14ac:dyDescent="0.3">
      <c r="A270" t="s">
        <v>987</v>
      </c>
      <c r="B270" t="s">
        <v>491</v>
      </c>
      <c r="C270">
        <v>7.4</v>
      </c>
      <c r="D270">
        <v>71.400000000000006</v>
      </c>
      <c r="E270">
        <v>0.7</v>
      </c>
      <c r="F270">
        <v>0</v>
      </c>
      <c r="G270">
        <v>14.8</v>
      </c>
      <c r="H270" s="64">
        <f t="shared" si="4"/>
        <v>3.7629729729729733</v>
      </c>
      <c r="I270" s="66">
        <f>C272*Scoring!$B$36+TE!D272/Scoring!$C$36+TE!E272*Scoring!$D$36+TE!F272*Scoring!$E$36+H272*Scoring!$F$36</f>
        <v>7.42</v>
      </c>
      <c r="J270" s="66">
        <f>C270*Scoring!$B$36+TE!D270/Scoring!$C$36+TE!E270*Scoring!$D$36+TE!F270*Scoring!$E$36+H270*Scoring!$F$36</f>
        <v>15.04</v>
      </c>
      <c r="K270" s="66">
        <f>C271*Scoring!$B$36+TE!D271/Scoring!$C$36+TE!E271*Scoring!$D$36+TE!F271*Scoring!$E$36+H271*Scoring!$F$36</f>
        <v>22.1</v>
      </c>
    </row>
    <row r="271" spans="1:11" ht="14.25" customHeight="1" x14ac:dyDescent="0.3">
      <c r="B271" t="s">
        <v>472</v>
      </c>
      <c r="C271">
        <v>11</v>
      </c>
      <c r="D271">
        <v>106</v>
      </c>
      <c r="E271">
        <v>1</v>
      </c>
      <c r="F271">
        <v>0</v>
      </c>
      <c r="G271">
        <v>13.7</v>
      </c>
      <c r="H271" s="64">
        <f t="shared" si="4"/>
        <v>5.5864864864864865</v>
      </c>
      <c r="I271" s="68"/>
      <c r="J271" s="68"/>
      <c r="K271" s="68"/>
    </row>
    <row r="272" spans="1:11" ht="14.25" customHeight="1" x14ac:dyDescent="0.3">
      <c r="B272" t="s">
        <v>473</v>
      </c>
      <c r="C272">
        <v>3.9</v>
      </c>
      <c r="D272">
        <v>36.700000000000003</v>
      </c>
      <c r="E272">
        <v>0.3</v>
      </c>
      <c r="F272">
        <v>0</v>
      </c>
      <c r="G272">
        <v>9.3000000000000007</v>
      </c>
      <c r="H272" s="64">
        <f t="shared" si="4"/>
        <v>1.9341891891891894</v>
      </c>
      <c r="I272" s="68"/>
      <c r="J272" s="68"/>
      <c r="K272" s="68"/>
    </row>
    <row r="273" spans="1:11" ht="14.25" customHeight="1" x14ac:dyDescent="0.3">
      <c r="A273" t="s">
        <v>998</v>
      </c>
      <c r="B273" t="s">
        <v>489</v>
      </c>
      <c r="C273">
        <v>7</v>
      </c>
      <c r="D273">
        <v>73.8</v>
      </c>
      <c r="E273">
        <v>0.6</v>
      </c>
      <c r="F273">
        <v>0</v>
      </c>
      <c r="G273">
        <v>14.7</v>
      </c>
      <c r="H273" s="64">
        <f t="shared" si="4"/>
        <v>3.8894594594594594</v>
      </c>
      <c r="I273" s="66">
        <f>C275*Scoring!$B$36+TE!D275/Scoring!$C$36+TE!E275*Scoring!$D$36+TE!F275*Scoring!$E$36+H275*Scoring!$F$36</f>
        <v>7.42</v>
      </c>
      <c r="J273" s="66">
        <f>C273*Scoring!$B$36+TE!D273/Scoring!$C$36+TE!E273*Scoring!$D$36+TE!F273*Scoring!$E$36+H273*Scoring!$F$36</f>
        <v>14.479999999999999</v>
      </c>
      <c r="K273" s="66">
        <f>C274*Scoring!$B$36+TE!D274/Scoring!$C$36+TE!E274*Scoring!$D$36+TE!F274*Scoring!$E$36+H274*Scoring!$F$36</f>
        <v>22.1</v>
      </c>
    </row>
    <row r="274" spans="1:11" ht="14.25" customHeight="1" x14ac:dyDescent="0.3">
      <c r="B274" t="s">
        <v>472</v>
      </c>
      <c r="C274">
        <v>10</v>
      </c>
      <c r="D274">
        <v>111</v>
      </c>
      <c r="E274">
        <v>1</v>
      </c>
      <c r="F274">
        <v>0</v>
      </c>
      <c r="G274">
        <v>13.5</v>
      </c>
      <c r="H274" s="64">
        <f t="shared" si="4"/>
        <v>5.85</v>
      </c>
      <c r="I274" s="68"/>
      <c r="J274" s="68"/>
      <c r="K274" s="68"/>
    </row>
    <row r="275" spans="1:11" ht="14.25" customHeight="1" x14ac:dyDescent="0.3">
      <c r="B275" t="s">
        <v>473</v>
      </c>
      <c r="C275">
        <v>3.9</v>
      </c>
      <c r="D275">
        <v>36.700000000000003</v>
      </c>
      <c r="E275">
        <v>0.3</v>
      </c>
      <c r="F275">
        <v>0</v>
      </c>
      <c r="G275">
        <v>8.8000000000000007</v>
      </c>
      <c r="H275" s="64">
        <f t="shared" si="4"/>
        <v>1.9341891891891894</v>
      </c>
      <c r="I275" s="68"/>
      <c r="J275" s="68"/>
      <c r="K275" s="68"/>
    </row>
    <row r="276" spans="1:11" ht="14.25" customHeight="1" x14ac:dyDescent="0.3">
      <c r="A276" t="s">
        <v>989</v>
      </c>
      <c r="B276" t="s">
        <v>495</v>
      </c>
      <c r="C276">
        <v>6.8</v>
      </c>
      <c r="D276">
        <v>72.400000000000006</v>
      </c>
      <c r="E276">
        <v>0.6</v>
      </c>
      <c r="F276">
        <v>0</v>
      </c>
      <c r="G276">
        <v>14.5</v>
      </c>
      <c r="H276" s="64">
        <f t="shared" si="4"/>
        <v>3.815675675675676</v>
      </c>
      <c r="I276" s="66">
        <f>C278*Scoring!$B$36+TE!D278/Scoring!$C$36+TE!E278*Scoring!$D$36+TE!F278*Scoring!$E$36+H278*Scoring!$F$36</f>
        <v>7.04</v>
      </c>
      <c r="J276" s="66">
        <f>C276*Scoring!$B$36+TE!D276/Scoring!$C$36+TE!E276*Scoring!$D$36+TE!F276*Scoring!$E$36+H276*Scoring!$F$36</f>
        <v>14.24</v>
      </c>
      <c r="K276" s="66">
        <f>C277*Scoring!$B$36+TE!D277/Scoring!$C$36+TE!E277*Scoring!$D$36+TE!F277*Scoring!$E$36+H277*Scoring!$F$36</f>
        <v>22.1</v>
      </c>
    </row>
    <row r="277" spans="1:11" ht="14.25" customHeight="1" x14ac:dyDescent="0.3">
      <c r="B277" t="s">
        <v>472</v>
      </c>
      <c r="C277">
        <v>10</v>
      </c>
      <c r="D277">
        <v>111</v>
      </c>
      <c r="E277">
        <v>1</v>
      </c>
      <c r="F277">
        <v>0</v>
      </c>
      <c r="G277">
        <v>13.4</v>
      </c>
      <c r="H277" s="64">
        <f t="shared" si="4"/>
        <v>5.85</v>
      </c>
      <c r="I277" s="68"/>
      <c r="J277" s="68"/>
      <c r="K277" s="68"/>
    </row>
    <row r="278" spans="1:11" ht="14.25" customHeight="1" x14ac:dyDescent="0.3">
      <c r="B278" t="s">
        <v>473</v>
      </c>
      <c r="C278">
        <v>3.7</v>
      </c>
      <c r="D278">
        <v>33.9</v>
      </c>
      <c r="E278">
        <v>0.3</v>
      </c>
      <c r="F278">
        <v>0</v>
      </c>
      <c r="G278">
        <v>8.5</v>
      </c>
      <c r="H278" s="64">
        <f t="shared" si="4"/>
        <v>1.7866216216216215</v>
      </c>
      <c r="I278" s="68"/>
      <c r="J278" s="68"/>
      <c r="K278" s="68"/>
    </row>
    <row r="279" spans="1:11" ht="14.25" customHeight="1" x14ac:dyDescent="0.3">
      <c r="A279" t="s">
        <v>1003</v>
      </c>
      <c r="B279" t="s">
        <v>515</v>
      </c>
      <c r="C279">
        <v>7.1</v>
      </c>
      <c r="D279">
        <v>61.8</v>
      </c>
      <c r="E279">
        <v>0.7</v>
      </c>
      <c r="F279">
        <v>0</v>
      </c>
      <c r="G279">
        <v>13.8</v>
      </c>
      <c r="H279" s="64">
        <f t="shared" si="4"/>
        <v>3.2570270270270263</v>
      </c>
      <c r="I279" s="66">
        <f>C281*Scoring!$B$36+TE!D281/Scoring!$C$36+TE!E281*Scoring!$D$36+TE!F281*Scoring!$E$36+H281*Scoring!$F$36</f>
        <v>8.2100000000000009</v>
      </c>
      <c r="J279" s="66">
        <f>C279*Scoring!$B$36+TE!D279/Scoring!$C$36+TE!E279*Scoring!$D$36+TE!F279*Scoring!$E$36+H279*Scoring!$F$36</f>
        <v>13.93</v>
      </c>
      <c r="K279" s="66">
        <f>C280*Scoring!$B$36+TE!D280/Scoring!$C$36+TE!E280*Scoring!$D$36+TE!F280*Scoring!$E$36+H280*Scoring!$F$36</f>
        <v>19.600000000000001</v>
      </c>
    </row>
    <row r="280" spans="1:11" ht="14.25" customHeight="1" x14ac:dyDescent="0.3">
      <c r="B280" t="s">
        <v>472</v>
      </c>
      <c r="C280">
        <v>10</v>
      </c>
      <c r="D280">
        <v>86</v>
      </c>
      <c r="E280">
        <v>1</v>
      </c>
      <c r="F280">
        <v>0</v>
      </c>
      <c r="G280">
        <v>13.5</v>
      </c>
      <c r="H280" s="64">
        <f t="shared" si="4"/>
        <v>4.5324324324324321</v>
      </c>
      <c r="I280" s="68"/>
      <c r="J280" s="68"/>
      <c r="K280" s="68"/>
    </row>
    <row r="281" spans="1:11" ht="14.25" customHeight="1" x14ac:dyDescent="0.3">
      <c r="B281" t="s">
        <v>473</v>
      </c>
      <c r="C281">
        <v>4.0999999999999996</v>
      </c>
      <c r="D281">
        <v>37.6</v>
      </c>
      <c r="E281">
        <v>0.4</v>
      </c>
      <c r="F281">
        <v>0</v>
      </c>
      <c r="G281">
        <v>9.4</v>
      </c>
      <c r="H281" s="64">
        <f t="shared" si="4"/>
        <v>1.9816216216216216</v>
      </c>
      <c r="I281" s="68"/>
      <c r="J281" s="68"/>
      <c r="K281" s="68"/>
    </row>
    <row r="282" spans="1:11" ht="14.25" customHeight="1" x14ac:dyDescent="0.3">
      <c r="A282" t="s">
        <v>992</v>
      </c>
      <c r="B282" t="s">
        <v>527</v>
      </c>
      <c r="C282">
        <v>7.9</v>
      </c>
      <c r="D282">
        <v>60.6</v>
      </c>
      <c r="E282">
        <v>0.6</v>
      </c>
      <c r="F282">
        <v>0</v>
      </c>
      <c r="G282">
        <v>13.6</v>
      </c>
      <c r="H282" s="64">
        <f t="shared" si="4"/>
        <v>3.1937837837837839</v>
      </c>
      <c r="I282" s="66">
        <f>C284*Scoring!$B$36+TE!D284/Scoring!$C$36+TE!E284*Scoring!$D$36+TE!F284*Scoring!$E$36+H284*Scoring!$F$36</f>
        <v>6.4799999999999995</v>
      </c>
      <c r="J282" s="66">
        <f>C282*Scoring!$B$36+TE!D282/Scoring!$C$36+TE!E282*Scoring!$D$36+TE!F282*Scoring!$E$36+H282*Scoring!$F$36</f>
        <v>13.610000000000001</v>
      </c>
      <c r="K282" s="66">
        <f>C283*Scoring!$B$36+TE!D283/Scoring!$C$36+TE!E283*Scoring!$D$36+TE!F283*Scoring!$E$36+H283*Scoring!$F$36</f>
        <v>20.8</v>
      </c>
    </row>
    <row r="283" spans="1:11" ht="14.25" customHeight="1" x14ac:dyDescent="0.3">
      <c r="B283" t="s">
        <v>472</v>
      </c>
      <c r="C283">
        <v>12</v>
      </c>
      <c r="D283">
        <v>88</v>
      </c>
      <c r="E283">
        <v>1</v>
      </c>
      <c r="F283">
        <v>0</v>
      </c>
      <c r="G283">
        <v>14</v>
      </c>
      <c r="H283" s="64">
        <f t="shared" si="4"/>
        <v>4.6378378378378375</v>
      </c>
      <c r="I283" s="68"/>
      <c r="J283" s="68"/>
      <c r="K283" s="68"/>
    </row>
    <row r="284" spans="1:11" ht="14.25" customHeight="1" x14ac:dyDescent="0.3">
      <c r="B284" t="s">
        <v>473</v>
      </c>
      <c r="C284">
        <v>3.9</v>
      </c>
      <c r="D284">
        <v>33.299999999999997</v>
      </c>
      <c r="E284">
        <v>0.2</v>
      </c>
      <c r="F284">
        <v>0</v>
      </c>
      <c r="G284">
        <v>8.5</v>
      </c>
      <c r="H284" s="64">
        <f t="shared" si="4"/>
        <v>1.7549999999999999</v>
      </c>
      <c r="I284" s="68"/>
      <c r="J284" s="68"/>
      <c r="K284" s="68"/>
    </row>
    <row r="285" spans="1:11" ht="14.25" customHeight="1" x14ac:dyDescent="0.3">
      <c r="A285" t="s">
        <v>991</v>
      </c>
      <c r="B285" t="s">
        <v>475</v>
      </c>
      <c r="C285">
        <v>5.7</v>
      </c>
      <c r="D285">
        <v>66.400000000000006</v>
      </c>
      <c r="E285">
        <v>0.6</v>
      </c>
      <c r="F285">
        <v>0</v>
      </c>
      <c r="G285">
        <v>13.3</v>
      </c>
      <c r="H285" s="64">
        <f t="shared" si="4"/>
        <v>3.4994594594594601</v>
      </c>
      <c r="I285" s="66">
        <f>C287*Scoring!$B$36+TE!D287/Scoring!$C$36+TE!E287*Scoring!$D$36+TE!F287*Scoring!$E$36+H287*Scoring!$F$36</f>
        <v>7.0299999999999994</v>
      </c>
      <c r="J285" s="66">
        <f>C285*Scoring!$B$36+TE!D285/Scoring!$C$36+TE!E285*Scoring!$D$36+TE!F285*Scoring!$E$36+H285*Scoring!$F$36</f>
        <v>13.09</v>
      </c>
      <c r="K285" s="66">
        <f>C286*Scoring!$B$36+TE!D286/Scoring!$C$36+TE!E286*Scoring!$D$36+TE!F286*Scoring!$E$36+H286*Scoring!$F$36</f>
        <v>19.7</v>
      </c>
    </row>
    <row r="286" spans="1:11" ht="14.25" customHeight="1" x14ac:dyDescent="0.3">
      <c r="B286" t="s">
        <v>472</v>
      </c>
      <c r="C286">
        <v>8</v>
      </c>
      <c r="D286">
        <v>97</v>
      </c>
      <c r="E286">
        <v>1</v>
      </c>
      <c r="F286">
        <v>0</v>
      </c>
      <c r="G286">
        <v>12.8</v>
      </c>
      <c r="H286" s="64">
        <f t="shared" si="4"/>
        <v>5.1121621621621625</v>
      </c>
      <c r="I286" s="68"/>
      <c r="J286" s="68"/>
      <c r="K286" s="68"/>
    </row>
    <row r="287" spans="1:11" ht="14.25" customHeight="1" x14ac:dyDescent="0.3">
      <c r="B287" t="s">
        <v>473</v>
      </c>
      <c r="C287">
        <v>3.3</v>
      </c>
      <c r="D287">
        <v>35.799999999999997</v>
      </c>
      <c r="E287">
        <v>0.3</v>
      </c>
      <c r="F287">
        <v>0</v>
      </c>
      <c r="G287">
        <v>8.1</v>
      </c>
      <c r="H287" s="64">
        <f t="shared" si="4"/>
        <v>1.8867567567567567</v>
      </c>
      <c r="I287" s="68"/>
      <c r="J287" s="68"/>
      <c r="K287" s="68"/>
    </row>
    <row r="288" spans="1:11" ht="14.25" customHeight="1" x14ac:dyDescent="0.3">
      <c r="A288" t="s">
        <v>1007</v>
      </c>
      <c r="B288" t="s">
        <v>531</v>
      </c>
      <c r="C288">
        <v>6.9</v>
      </c>
      <c r="D288">
        <v>61.5</v>
      </c>
      <c r="E288">
        <v>0.6</v>
      </c>
      <c r="F288">
        <v>0</v>
      </c>
      <c r="G288">
        <v>13</v>
      </c>
      <c r="H288" s="64">
        <f t="shared" si="4"/>
        <v>3.2412162162162161</v>
      </c>
      <c r="I288" s="66">
        <f>C290*Scoring!$B$36+TE!D290/Scoring!$C$36+TE!E290*Scoring!$D$36+TE!F290*Scoring!$E$36+H290*Scoring!$F$36</f>
        <v>6.7</v>
      </c>
      <c r="J288" s="66">
        <f>C288*Scoring!$B$36+TE!D288/Scoring!$C$36+TE!E288*Scoring!$D$36+TE!F288*Scoring!$E$36+H288*Scoring!$F$36</f>
        <v>13.200000000000001</v>
      </c>
      <c r="K288" s="66">
        <f>C289*Scoring!$B$36+TE!D289/Scoring!$C$36+TE!E289*Scoring!$D$36+TE!F289*Scoring!$E$36+H289*Scoring!$F$36</f>
        <v>19.7</v>
      </c>
    </row>
    <row r="289" spans="1:11" ht="14.25" customHeight="1" x14ac:dyDescent="0.3">
      <c r="B289" t="s">
        <v>472</v>
      </c>
      <c r="C289">
        <v>10</v>
      </c>
      <c r="D289">
        <v>87</v>
      </c>
      <c r="E289">
        <v>1</v>
      </c>
      <c r="F289">
        <v>0</v>
      </c>
      <c r="G289">
        <v>13.5</v>
      </c>
      <c r="H289" s="64">
        <f t="shared" si="4"/>
        <v>4.5851351351351353</v>
      </c>
      <c r="I289" s="68"/>
      <c r="J289" s="68"/>
      <c r="K289" s="68"/>
    </row>
    <row r="290" spans="1:11" ht="14.25" customHeight="1" x14ac:dyDescent="0.3">
      <c r="B290" t="s">
        <v>473</v>
      </c>
      <c r="C290">
        <v>3.8</v>
      </c>
      <c r="D290">
        <v>36</v>
      </c>
      <c r="E290">
        <v>0.2</v>
      </c>
      <c r="F290">
        <v>0</v>
      </c>
      <c r="G290">
        <v>7.9</v>
      </c>
      <c r="H290" s="64">
        <f t="shared" si="4"/>
        <v>1.8972972972972972</v>
      </c>
      <c r="I290" s="68"/>
      <c r="J290" s="68"/>
      <c r="K290" s="68"/>
    </row>
    <row r="291" spans="1:11" ht="14.25" customHeight="1" x14ac:dyDescent="0.3">
      <c r="A291" t="s">
        <v>1000</v>
      </c>
      <c r="B291" t="s">
        <v>507</v>
      </c>
      <c r="C291">
        <v>5.8</v>
      </c>
      <c r="D291">
        <v>58.5</v>
      </c>
      <c r="E291">
        <v>0.7</v>
      </c>
      <c r="F291">
        <v>0</v>
      </c>
      <c r="G291">
        <v>12.6</v>
      </c>
      <c r="H291" s="64">
        <f t="shared" si="4"/>
        <v>3.083108108108108</v>
      </c>
      <c r="I291" s="66">
        <f>C293*Scoring!$B$36+TE!D293/Scoring!$C$36+TE!E293*Scoring!$D$36+TE!F293*Scoring!$E$36+H293*Scoring!$F$36</f>
        <v>7.2600000000000007</v>
      </c>
      <c r="J291" s="66">
        <f>C291*Scoring!$B$36+TE!D291/Scoring!$C$36+TE!E291*Scoring!$D$36+TE!F291*Scoring!$E$36+H291*Scoring!$F$36</f>
        <v>12.95</v>
      </c>
      <c r="K291" s="66">
        <f>C292*Scoring!$B$36+TE!D292/Scoring!$C$36+TE!E292*Scoring!$D$36+TE!F292*Scoring!$E$36+H292*Scoring!$F$36</f>
        <v>18.100000000000001</v>
      </c>
    </row>
    <row r="292" spans="1:11" ht="14.25" customHeight="1" x14ac:dyDescent="0.3">
      <c r="B292" t="s">
        <v>472</v>
      </c>
      <c r="C292">
        <v>8</v>
      </c>
      <c r="D292">
        <v>81</v>
      </c>
      <c r="E292">
        <v>1</v>
      </c>
      <c r="F292">
        <v>0</v>
      </c>
      <c r="G292">
        <v>11.9</v>
      </c>
      <c r="H292" s="64">
        <f t="shared" si="4"/>
        <v>4.2689189189189189</v>
      </c>
      <c r="I292" s="68"/>
      <c r="J292" s="68"/>
      <c r="K292" s="68"/>
    </row>
    <row r="293" spans="1:11" ht="14.25" customHeight="1" x14ac:dyDescent="0.3">
      <c r="B293" t="s">
        <v>473</v>
      </c>
      <c r="C293">
        <v>3.7</v>
      </c>
      <c r="D293">
        <v>36.1</v>
      </c>
      <c r="E293">
        <v>0.3</v>
      </c>
      <c r="F293">
        <v>0</v>
      </c>
      <c r="G293">
        <v>8.3000000000000007</v>
      </c>
      <c r="H293" s="64">
        <f t="shared" si="4"/>
        <v>1.9025675675675675</v>
      </c>
      <c r="I293" s="68"/>
      <c r="J293" s="68"/>
      <c r="K293" s="68"/>
    </row>
    <row r="294" spans="1:11" ht="14.25" customHeight="1" x14ac:dyDescent="0.3">
      <c r="A294" t="s">
        <v>1002</v>
      </c>
      <c r="B294" t="s">
        <v>511</v>
      </c>
      <c r="C294">
        <v>5.8</v>
      </c>
      <c r="D294">
        <v>55.6</v>
      </c>
      <c r="E294">
        <v>0.6</v>
      </c>
      <c r="F294">
        <v>0</v>
      </c>
      <c r="G294">
        <v>12.2</v>
      </c>
      <c r="H294" s="64">
        <f t="shared" si="4"/>
        <v>2.9302702702702703</v>
      </c>
      <c r="I294" s="66">
        <f>C296*Scoring!$B$36+TE!D296/Scoring!$C$36+TE!E296*Scoring!$D$36+TE!F296*Scoring!$E$36+H296*Scoring!$F$36</f>
        <v>7.22</v>
      </c>
      <c r="J294" s="66">
        <f>C294*Scoring!$B$36+TE!D294/Scoring!$C$36+TE!E294*Scoring!$D$36+TE!F294*Scoring!$E$36+H294*Scoring!$F$36</f>
        <v>12.06</v>
      </c>
      <c r="K294" s="66">
        <f>C295*Scoring!$B$36+TE!D295/Scoring!$C$36+TE!E295*Scoring!$D$36+TE!F295*Scoring!$E$36+H295*Scoring!$F$36</f>
        <v>17.5</v>
      </c>
    </row>
    <row r="295" spans="1:11" ht="14.25" customHeight="1" x14ac:dyDescent="0.3">
      <c r="B295" t="s">
        <v>472</v>
      </c>
      <c r="C295">
        <v>8</v>
      </c>
      <c r="D295">
        <v>75</v>
      </c>
      <c r="E295">
        <v>1</v>
      </c>
      <c r="F295">
        <v>0</v>
      </c>
      <c r="G295">
        <v>11.9</v>
      </c>
      <c r="H295" s="64">
        <f t="shared" si="4"/>
        <v>3.9527027027027026</v>
      </c>
      <c r="I295" s="68"/>
      <c r="J295" s="68"/>
      <c r="K295" s="68"/>
    </row>
    <row r="296" spans="1:11" ht="14.25" customHeight="1" x14ac:dyDescent="0.3">
      <c r="B296" t="s">
        <v>473</v>
      </c>
      <c r="C296">
        <v>3.6</v>
      </c>
      <c r="D296">
        <v>36.200000000000003</v>
      </c>
      <c r="E296">
        <v>0.3</v>
      </c>
      <c r="F296">
        <v>0</v>
      </c>
      <c r="G296">
        <v>8.1</v>
      </c>
      <c r="H296" s="64">
        <f t="shared" si="4"/>
        <v>1.9078378378378378</v>
      </c>
      <c r="I296" s="68"/>
      <c r="J296" s="68"/>
      <c r="K296" s="68"/>
    </row>
    <row r="297" spans="1:11" ht="14.25" customHeight="1" x14ac:dyDescent="0.3">
      <c r="A297" t="s">
        <v>1011</v>
      </c>
      <c r="B297" t="s">
        <v>535</v>
      </c>
      <c r="C297">
        <v>7.1</v>
      </c>
      <c r="D297">
        <v>63.4</v>
      </c>
      <c r="E297">
        <v>0.3</v>
      </c>
      <c r="F297">
        <v>0.1</v>
      </c>
      <c r="G297">
        <v>11.9</v>
      </c>
      <c r="H297" s="64">
        <f t="shared" si="4"/>
        <v>3.3413513513513506</v>
      </c>
      <c r="I297" s="66">
        <f>C299*Scoring!$B$36+TE!D299/Scoring!$C$36+TE!E299*Scoring!$D$36+TE!F299*Scoring!$E$36+H299*Scoring!$F$36</f>
        <v>11.490000000000002</v>
      </c>
      <c r="J297" s="66">
        <f>C297*Scoring!$B$36+TE!D297/Scoring!$C$36+TE!E297*Scoring!$D$36+TE!F297*Scoring!$E$36+H297*Scoring!$F$36</f>
        <v>11.490000000000002</v>
      </c>
      <c r="K297" s="66">
        <f>C298*Scoring!$B$36+TE!D298/Scoring!$C$36+TE!E298*Scoring!$D$36+TE!F298*Scoring!$E$36+H298*Scoring!$F$36</f>
        <v>11.490000000000002</v>
      </c>
    </row>
    <row r="298" spans="1:11" ht="14.25" customHeight="1" x14ac:dyDescent="0.3">
      <c r="B298" t="s">
        <v>472</v>
      </c>
      <c r="C298">
        <v>7.1</v>
      </c>
      <c r="D298">
        <v>63.4</v>
      </c>
      <c r="E298">
        <v>0.3</v>
      </c>
      <c r="F298">
        <v>0.1</v>
      </c>
      <c r="G298">
        <v>11.9</v>
      </c>
      <c r="H298" s="64">
        <f t="shared" si="4"/>
        <v>3.3413513513513506</v>
      </c>
      <c r="I298" s="68"/>
      <c r="J298" s="68"/>
      <c r="K298" s="68"/>
    </row>
    <row r="299" spans="1:11" ht="14.25" customHeight="1" x14ac:dyDescent="0.3">
      <c r="B299" t="s">
        <v>473</v>
      </c>
      <c r="C299">
        <v>7.1</v>
      </c>
      <c r="D299">
        <v>63.4</v>
      </c>
      <c r="E299">
        <v>0.3</v>
      </c>
      <c r="F299">
        <v>0.1</v>
      </c>
      <c r="G299">
        <v>11.9</v>
      </c>
      <c r="H299" s="64">
        <f t="shared" si="4"/>
        <v>3.3413513513513506</v>
      </c>
      <c r="I299" s="68"/>
      <c r="J299" s="68"/>
      <c r="K299" s="68"/>
    </row>
    <row r="300" spans="1:11" ht="14.25" customHeight="1" x14ac:dyDescent="0.3">
      <c r="A300" t="s">
        <v>994</v>
      </c>
      <c r="B300" t="s">
        <v>485</v>
      </c>
      <c r="C300">
        <v>5.4</v>
      </c>
      <c r="D300">
        <v>50.6</v>
      </c>
      <c r="E300">
        <v>0.6</v>
      </c>
      <c r="F300">
        <v>0</v>
      </c>
      <c r="G300">
        <v>11.1</v>
      </c>
      <c r="H300" s="64">
        <f t="shared" si="4"/>
        <v>2.6667567567567567</v>
      </c>
      <c r="I300" s="66">
        <f>C302*Scoring!$B$36+TE!D302/Scoring!$C$36+TE!E302*Scoring!$D$36+TE!F302*Scoring!$E$36+H302*Scoring!$F$36</f>
        <v>3.1300000000000003</v>
      </c>
      <c r="J300" s="66">
        <f>C300*Scoring!$B$36+TE!D300/Scoring!$C$36+TE!E300*Scoring!$D$36+TE!F300*Scoring!$E$36+H300*Scoring!$F$36</f>
        <v>11.36</v>
      </c>
      <c r="K300" s="66">
        <f>C301*Scoring!$B$36+TE!D301/Scoring!$C$36+TE!E301*Scoring!$D$36+TE!F301*Scoring!$E$36+H301*Scoring!$F$36</f>
        <v>19</v>
      </c>
    </row>
    <row r="301" spans="1:11" ht="14.25" customHeight="1" x14ac:dyDescent="0.3">
      <c r="B301" t="s">
        <v>472</v>
      </c>
      <c r="C301">
        <v>9</v>
      </c>
      <c r="D301">
        <v>85</v>
      </c>
      <c r="E301">
        <v>1</v>
      </c>
      <c r="F301">
        <v>0</v>
      </c>
      <c r="G301">
        <v>12.7</v>
      </c>
      <c r="H301" s="64">
        <f t="shared" si="4"/>
        <v>4.4797297297297298</v>
      </c>
      <c r="I301" s="68"/>
      <c r="J301" s="68"/>
      <c r="K301" s="68"/>
    </row>
    <row r="302" spans="1:11" ht="14.25" customHeight="1" x14ac:dyDescent="0.3">
      <c r="B302" t="s">
        <v>473</v>
      </c>
      <c r="C302">
        <v>1.8</v>
      </c>
      <c r="D302">
        <v>16.3</v>
      </c>
      <c r="E302">
        <v>0.1</v>
      </c>
      <c r="F302">
        <v>0</v>
      </c>
      <c r="G302">
        <v>5</v>
      </c>
      <c r="H302" s="64">
        <f t="shared" si="4"/>
        <v>0.85905405405405411</v>
      </c>
      <c r="I302" s="68"/>
      <c r="J302" s="68"/>
      <c r="K302" s="68"/>
    </row>
    <row r="303" spans="1:11" ht="14.25" customHeight="1" x14ac:dyDescent="0.3">
      <c r="A303" t="s">
        <v>997</v>
      </c>
      <c r="B303" t="s">
        <v>513</v>
      </c>
      <c r="C303">
        <v>4.5</v>
      </c>
      <c r="D303">
        <v>44</v>
      </c>
      <c r="E303">
        <v>0.5</v>
      </c>
      <c r="F303">
        <v>0</v>
      </c>
      <c r="G303">
        <v>9.6999999999999993</v>
      </c>
      <c r="H303" s="64">
        <f t="shared" si="4"/>
        <v>2.3189189189189192</v>
      </c>
      <c r="I303" s="66">
        <f>C305*Scoring!$B$36+TE!D305/Scoring!$C$36+TE!E305*Scoring!$D$36+TE!F305*Scoring!$E$36+H305*Scoring!$F$36</f>
        <v>0</v>
      </c>
      <c r="J303" s="66">
        <f>C303*Scoring!$B$36+TE!D303/Scoring!$C$36+TE!E303*Scoring!$D$36+TE!F303*Scoring!$E$36+H303*Scoring!$F$36</f>
        <v>9.65</v>
      </c>
      <c r="K303" s="66">
        <f>C304*Scoring!$B$36+TE!D304/Scoring!$C$36+TE!E304*Scoring!$D$36+TE!F304*Scoring!$E$36+H304*Scoring!$F$36</f>
        <v>19.3</v>
      </c>
    </row>
    <row r="304" spans="1:11" ht="14.25" customHeight="1" x14ac:dyDescent="0.3">
      <c r="B304" t="s">
        <v>472</v>
      </c>
      <c r="C304">
        <v>9</v>
      </c>
      <c r="D304">
        <v>88</v>
      </c>
      <c r="E304">
        <v>1</v>
      </c>
      <c r="F304">
        <v>0</v>
      </c>
      <c r="G304">
        <v>12.3</v>
      </c>
      <c r="H304" s="64">
        <f t="shared" si="4"/>
        <v>4.6378378378378384</v>
      </c>
      <c r="I304" s="68"/>
      <c r="J304" s="68"/>
      <c r="K304" s="68"/>
    </row>
    <row r="305" spans="1:11" ht="14.25" customHeight="1" x14ac:dyDescent="0.3">
      <c r="B305" t="s">
        <v>473</v>
      </c>
      <c r="C305">
        <v>0</v>
      </c>
      <c r="D305">
        <v>0</v>
      </c>
      <c r="E305">
        <v>0</v>
      </c>
      <c r="F305">
        <v>0</v>
      </c>
      <c r="G305">
        <v>2.2999999999999998</v>
      </c>
      <c r="H305" s="64">
        <f t="shared" si="4"/>
        <v>0</v>
      </c>
      <c r="I305" s="68"/>
      <c r="J305" s="68"/>
      <c r="K305" s="68"/>
    </row>
    <row r="306" spans="1:11" ht="14.25" customHeight="1" x14ac:dyDescent="0.3">
      <c r="A306" t="s">
        <v>1001</v>
      </c>
      <c r="B306" t="s">
        <v>503</v>
      </c>
      <c r="C306">
        <v>3.8</v>
      </c>
      <c r="D306">
        <v>35.5</v>
      </c>
      <c r="E306">
        <v>0.3</v>
      </c>
      <c r="F306">
        <v>0</v>
      </c>
      <c r="G306">
        <v>7.3</v>
      </c>
      <c r="H306" s="64">
        <f t="shared" si="4"/>
        <v>1.8709459459459459</v>
      </c>
      <c r="I306" s="66">
        <f>C308*Scoring!$B$36+TE!D308/Scoring!$C$36+TE!E308*Scoring!$D$36+TE!F308*Scoring!$E$36+H308*Scoring!$F$36</f>
        <v>7.2499999999999991</v>
      </c>
      <c r="J306" s="66">
        <f>C306*Scoring!$B$36+TE!D306/Scoring!$C$36+TE!E306*Scoring!$D$36+TE!F306*Scoring!$E$36+H306*Scoring!$F$36</f>
        <v>7.2499999999999991</v>
      </c>
      <c r="K306" s="66">
        <f>C307*Scoring!$B$36+TE!D307/Scoring!$C$36+TE!E307*Scoring!$D$36+TE!F307*Scoring!$E$36+H307*Scoring!$F$36</f>
        <v>7.2499999999999991</v>
      </c>
    </row>
    <row r="307" spans="1:11" ht="14.25" customHeight="1" x14ac:dyDescent="0.3">
      <c r="B307" t="s">
        <v>472</v>
      </c>
      <c r="C307">
        <v>3.8</v>
      </c>
      <c r="D307">
        <v>35.5</v>
      </c>
      <c r="E307">
        <v>0.3</v>
      </c>
      <c r="F307">
        <v>0</v>
      </c>
      <c r="G307">
        <v>7.3</v>
      </c>
      <c r="H307" s="64">
        <f t="shared" si="4"/>
        <v>1.8709459459459459</v>
      </c>
      <c r="I307" s="68"/>
      <c r="J307" s="68"/>
      <c r="K307" s="68"/>
    </row>
    <row r="308" spans="1:11" ht="14.25" customHeight="1" x14ac:dyDescent="0.3">
      <c r="B308" t="s">
        <v>473</v>
      </c>
      <c r="C308">
        <v>3.8</v>
      </c>
      <c r="D308">
        <v>35.5</v>
      </c>
      <c r="E308">
        <v>0.3</v>
      </c>
      <c r="F308">
        <v>0</v>
      </c>
      <c r="G308">
        <v>7.3</v>
      </c>
      <c r="H308" s="64">
        <f t="shared" si="4"/>
        <v>1.8709459459459459</v>
      </c>
      <c r="I308" s="68"/>
      <c r="J308" s="68"/>
      <c r="K308" s="68"/>
    </row>
    <row r="309" spans="1:11" ht="14.25" customHeight="1" x14ac:dyDescent="0.3">
      <c r="A309" t="s">
        <v>996</v>
      </c>
      <c r="B309" t="s">
        <v>487</v>
      </c>
      <c r="C309">
        <v>3.8</v>
      </c>
      <c r="D309">
        <v>36</v>
      </c>
      <c r="E309">
        <v>0.3</v>
      </c>
      <c r="F309">
        <v>0</v>
      </c>
      <c r="G309">
        <v>6.9</v>
      </c>
      <c r="H309" s="64">
        <f t="shared" si="4"/>
        <v>1.8972972972972972</v>
      </c>
      <c r="I309" s="66">
        <f>C311*Scoring!$B$36+TE!D311/Scoring!$C$36+TE!E311*Scoring!$D$36+TE!F311*Scoring!$E$36+H311*Scoring!$F$36</f>
        <v>7.3</v>
      </c>
      <c r="J309" s="66">
        <f>C309*Scoring!$B$36+TE!D309/Scoring!$C$36+TE!E309*Scoring!$D$36+TE!F309*Scoring!$E$36+H309*Scoring!$F$36</f>
        <v>7.3</v>
      </c>
      <c r="K309" s="66">
        <f>C310*Scoring!$B$36+TE!D310/Scoring!$C$36+TE!E310*Scoring!$D$36+TE!F310*Scoring!$E$36+H310*Scoring!$F$36</f>
        <v>7.3</v>
      </c>
    </row>
    <row r="310" spans="1:11" ht="14.25" customHeight="1" x14ac:dyDescent="0.3">
      <c r="B310" t="s">
        <v>472</v>
      </c>
      <c r="C310">
        <v>3.8</v>
      </c>
      <c r="D310">
        <v>36</v>
      </c>
      <c r="E310">
        <v>0.3</v>
      </c>
      <c r="F310">
        <v>0</v>
      </c>
      <c r="G310">
        <v>7</v>
      </c>
      <c r="H310" s="64">
        <f t="shared" si="4"/>
        <v>1.8972972972972972</v>
      </c>
      <c r="I310" s="68"/>
      <c r="J310" s="68"/>
      <c r="K310" s="68"/>
    </row>
    <row r="311" spans="1:11" ht="14.25" customHeight="1" x14ac:dyDescent="0.3">
      <c r="B311" t="s">
        <v>473</v>
      </c>
      <c r="C311">
        <v>3.8</v>
      </c>
      <c r="D311">
        <v>36</v>
      </c>
      <c r="E311">
        <v>0.3</v>
      </c>
      <c r="F311">
        <v>0</v>
      </c>
      <c r="G311">
        <v>7</v>
      </c>
      <c r="H311" s="64">
        <f t="shared" si="4"/>
        <v>1.8972972972972972</v>
      </c>
      <c r="I311" s="68"/>
      <c r="J311" s="68"/>
      <c r="K311" s="68"/>
    </row>
    <row r="312" spans="1:11" ht="14.25" customHeight="1" x14ac:dyDescent="0.3">
      <c r="A312" t="s">
        <v>1004</v>
      </c>
      <c r="B312" t="s">
        <v>517</v>
      </c>
      <c r="C312">
        <v>3.4</v>
      </c>
      <c r="D312">
        <v>34.4</v>
      </c>
      <c r="E312">
        <v>0.3</v>
      </c>
      <c r="F312">
        <v>0</v>
      </c>
      <c r="G312">
        <v>6.9</v>
      </c>
      <c r="H312" s="64">
        <f t="shared" si="4"/>
        <v>1.8129729729729727</v>
      </c>
      <c r="I312" s="66">
        <f>C314*Scoring!$B$36+TE!D314/Scoring!$C$36+TE!E314*Scoring!$D$36+TE!F314*Scoring!$E$36+H314*Scoring!$F$36</f>
        <v>6.9399999999999995</v>
      </c>
      <c r="J312" s="66">
        <f>C312*Scoring!$B$36+TE!D312/Scoring!$C$36+TE!E312*Scoring!$D$36+TE!F312*Scoring!$E$36+H312*Scoring!$F$36</f>
        <v>6.9399999999999995</v>
      </c>
      <c r="K312" s="66">
        <f>C313*Scoring!$B$36+TE!D313/Scoring!$C$36+TE!E313*Scoring!$D$36+TE!F313*Scoring!$E$36+H313*Scoring!$F$36</f>
        <v>6.9399999999999995</v>
      </c>
    </row>
    <row r="313" spans="1:11" ht="14.25" customHeight="1" x14ac:dyDescent="0.3">
      <c r="B313" t="s">
        <v>472</v>
      </c>
      <c r="C313">
        <v>3.4</v>
      </c>
      <c r="D313">
        <v>34.4</v>
      </c>
      <c r="E313">
        <v>0.3</v>
      </c>
      <c r="F313">
        <v>0</v>
      </c>
      <c r="G313">
        <v>6.9</v>
      </c>
      <c r="H313" s="64">
        <f t="shared" si="4"/>
        <v>1.8129729729729727</v>
      </c>
      <c r="I313" s="68"/>
      <c r="J313" s="68"/>
      <c r="K313" s="68"/>
    </row>
    <row r="314" spans="1:11" ht="14.25" customHeight="1" x14ac:dyDescent="0.3">
      <c r="B314" t="s">
        <v>473</v>
      </c>
      <c r="C314">
        <v>3.4</v>
      </c>
      <c r="D314">
        <v>34.4</v>
      </c>
      <c r="E314">
        <v>0.3</v>
      </c>
      <c r="F314">
        <v>0</v>
      </c>
      <c r="G314">
        <v>6.9</v>
      </c>
      <c r="H314" s="64">
        <f t="shared" si="4"/>
        <v>1.8129729729729727</v>
      </c>
      <c r="I314" s="68"/>
      <c r="J314" s="68"/>
      <c r="K314" s="68"/>
    </row>
    <row r="315" spans="1:11" ht="14.25" customHeight="1" x14ac:dyDescent="0.3">
      <c r="A315" t="s">
        <v>1006</v>
      </c>
      <c r="B315" t="s">
        <v>481</v>
      </c>
      <c r="C315">
        <v>3.5</v>
      </c>
      <c r="D315">
        <v>35.4</v>
      </c>
      <c r="E315">
        <v>0.2</v>
      </c>
      <c r="F315">
        <v>0</v>
      </c>
      <c r="G315">
        <v>6.5</v>
      </c>
      <c r="H315" s="64">
        <f t="shared" si="4"/>
        <v>1.8656756756756754</v>
      </c>
      <c r="I315" s="66">
        <f>C317*Scoring!$B$36+TE!D317/Scoring!$C$36+TE!E317*Scoring!$D$36+TE!F317*Scoring!$E$36+H317*Scoring!$F$36</f>
        <v>6.49</v>
      </c>
      <c r="J315" s="66">
        <f>C315*Scoring!$B$36+TE!D315/Scoring!$C$36+TE!E315*Scoring!$D$36+TE!F315*Scoring!$E$36+H315*Scoring!$F$36</f>
        <v>6.49</v>
      </c>
      <c r="K315" s="66">
        <f>C316*Scoring!$B$36+TE!D316/Scoring!$C$36+TE!E316*Scoring!$D$36+TE!F316*Scoring!$E$36+H316*Scoring!$F$36</f>
        <v>6.49</v>
      </c>
    </row>
    <row r="316" spans="1:11" ht="14.25" customHeight="1" x14ac:dyDescent="0.3">
      <c r="B316" t="s">
        <v>472</v>
      </c>
      <c r="C316">
        <v>3.5</v>
      </c>
      <c r="D316">
        <v>35.4</v>
      </c>
      <c r="E316">
        <v>0.2</v>
      </c>
      <c r="F316">
        <v>0</v>
      </c>
      <c r="G316">
        <v>6.5</v>
      </c>
      <c r="H316" s="64">
        <f t="shared" si="4"/>
        <v>1.8656756756756754</v>
      </c>
      <c r="I316" s="68"/>
      <c r="J316" s="68"/>
      <c r="K316" s="68"/>
    </row>
    <row r="317" spans="1:11" ht="14.25" customHeight="1" x14ac:dyDescent="0.3">
      <c r="B317" t="s">
        <v>473</v>
      </c>
      <c r="C317">
        <v>3.5</v>
      </c>
      <c r="D317">
        <v>35.4</v>
      </c>
      <c r="E317">
        <v>0.2</v>
      </c>
      <c r="F317">
        <v>0</v>
      </c>
      <c r="G317">
        <v>6.5</v>
      </c>
      <c r="H317" s="64">
        <f t="shared" si="4"/>
        <v>1.8656756756756754</v>
      </c>
      <c r="I317" s="68"/>
      <c r="J317" s="68"/>
      <c r="K317" s="68"/>
    </row>
    <row r="318" spans="1:11" ht="14.25" customHeight="1" x14ac:dyDescent="0.3">
      <c r="A318" t="s">
        <v>1530</v>
      </c>
      <c r="B318" t="s">
        <v>535</v>
      </c>
      <c r="C318">
        <v>3.8</v>
      </c>
      <c r="D318">
        <v>33.799999999999997</v>
      </c>
      <c r="E318">
        <v>0.2</v>
      </c>
      <c r="F318">
        <v>0</v>
      </c>
      <c r="G318">
        <v>6.2</v>
      </c>
      <c r="H318" s="64">
        <f t="shared" si="4"/>
        <v>1.781351351351351</v>
      </c>
      <c r="I318" s="66">
        <f>C320*Scoring!$B$36+TE!D320/Scoring!$C$36+TE!E320*Scoring!$D$36+TE!F320*Scoring!$E$36+H320*Scoring!$F$36</f>
        <v>6.4799999999999995</v>
      </c>
      <c r="J318" s="66">
        <f>C318*Scoring!$B$36+TE!D318/Scoring!$C$36+TE!E318*Scoring!$D$36+TE!F318*Scoring!$E$36+H318*Scoring!$F$36</f>
        <v>6.4799999999999995</v>
      </c>
      <c r="K318" s="66">
        <f>C319*Scoring!$B$36+TE!D319/Scoring!$C$36+TE!E319*Scoring!$D$36+TE!F319*Scoring!$E$36+H319*Scoring!$F$36</f>
        <v>6.4799999999999995</v>
      </c>
    </row>
    <row r="319" spans="1:11" ht="14.25" customHeight="1" x14ac:dyDescent="0.3">
      <c r="B319" t="s">
        <v>472</v>
      </c>
      <c r="C319">
        <v>3.8</v>
      </c>
      <c r="D319">
        <v>33.799999999999997</v>
      </c>
      <c r="E319">
        <v>0.2</v>
      </c>
      <c r="F319">
        <v>0</v>
      </c>
      <c r="G319">
        <v>6.3</v>
      </c>
      <c r="H319" s="64">
        <f t="shared" si="4"/>
        <v>1.781351351351351</v>
      </c>
      <c r="I319" s="68"/>
      <c r="J319" s="68"/>
      <c r="K319" s="68"/>
    </row>
    <row r="320" spans="1:11" ht="14.25" customHeight="1" x14ac:dyDescent="0.3">
      <c r="B320" t="s">
        <v>473</v>
      </c>
      <c r="C320">
        <v>3.8</v>
      </c>
      <c r="D320">
        <v>33.799999999999997</v>
      </c>
      <c r="E320">
        <v>0.2</v>
      </c>
      <c r="F320">
        <v>0</v>
      </c>
      <c r="G320">
        <v>6.3</v>
      </c>
      <c r="H320" s="64">
        <f t="shared" si="4"/>
        <v>1.781351351351351</v>
      </c>
      <c r="I320" s="68"/>
      <c r="J320" s="68"/>
      <c r="K320" s="68"/>
    </row>
    <row r="321" spans="1:11" ht="14.25" customHeight="1" x14ac:dyDescent="0.3">
      <c r="A321" t="s">
        <v>979</v>
      </c>
      <c r="B321" t="s">
        <v>483</v>
      </c>
      <c r="C321">
        <v>0</v>
      </c>
      <c r="D321">
        <v>0</v>
      </c>
      <c r="E321">
        <v>0</v>
      </c>
      <c r="F321">
        <v>0</v>
      </c>
      <c r="G321">
        <v>0</v>
      </c>
      <c r="H321" s="64">
        <f t="shared" si="4"/>
        <v>0</v>
      </c>
      <c r="I321" s="66">
        <f>C323*Scoring!$B$36+TE!D323/Scoring!$C$36+TE!E323*Scoring!$D$36+TE!F323*Scoring!$E$36+H323*Scoring!$F$36</f>
        <v>0</v>
      </c>
      <c r="J321" s="66">
        <f>C321*Scoring!$B$36+TE!D321/Scoring!$C$36+TE!E321*Scoring!$D$36+TE!F321*Scoring!$E$36+H321*Scoring!$F$36</f>
        <v>0</v>
      </c>
      <c r="K321" s="66">
        <f>C322*Scoring!$B$36+TE!D322/Scoring!$C$36+TE!E322*Scoring!$D$36+TE!F322*Scoring!$E$36+H322*Scoring!$F$36</f>
        <v>0</v>
      </c>
    </row>
    <row r="322" spans="1:11" ht="14.25" customHeight="1" x14ac:dyDescent="0.3">
      <c r="B322" t="s">
        <v>472</v>
      </c>
      <c r="C322">
        <v>0</v>
      </c>
      <c r="D322">
        <v>0</v>
      </c>
      <c r="E322">
        <v>0</v>
      </c>
      <c r="F322">
        <v>0</v>
      </c>
      <c r="G322">
        <v>0</v>
      </c>
      <c r="H322" s="64">
        <f t="shared" si="4"/>
        <v>0</v>
      </c>
      <c r="I322" s="68"/>
      <c r="J322" s="68"/>
      <c r="K322" s="68"/>
    </row>
    <row r="323" spans="1:11" ht="14.25" customHeight="1" x14ac:dyDescent="0.3">
      <c r="B323" t="s">
        <v>473</v>
      </c>
      <c r="C323">
        <v>0</v>
      </c>
      <c r="D323">
        <v>0</v>
      </c>
      <c r="E323">
        <v>0</v>
      </c>
      <c r="F323">
        <v>0</v>
      </c>
      <c r="G323">
        <v>0</v>
      </c>
      <c r="H323" s="64">
        <f t="shared" ref="H323:H386" si="5">IFERROR(D323/C323/11.1*0.585*C323,0)</f>
        <v>0</v>
      </c>
      <c r="I323" s="68"/>
      <c r="J323" s="68"/>
      <c r="K323" s="68"/>
    </row>
    <row r="324" spans="1:11" ht="14.25" customHeight="1" x14ac:dyDescent="0.3">
      <c r="A324" t="s">
        <v>1009</v>
      </c>
      <c r="B324" t="s">
        <v>489</v>
      </c>
      <c r="C324">
        <v>0</v>
      </c>
      <c r="D324">
        <v>0</v>
      </c>
      <c r="E324">
        <v>0</v>
      </c>
      <c r="F324">
        <v>0</v>
      </c>
      <c r="G324">
        <v>0</v>
      </c>
      <c r="H324" s="64">
        <f t="shared" si="5"/>
        <v>0</v>
      </c>
      <c r="I324" s="66">
        <f>C326*Scoring!$B$36+TE!D326/Scoring!$C$36+TE!E326*Scoring!$D$36+TE!F326*Scoring!$E$36+H326*Scoring!$F$36</f>
        <v>0</v>
      </c>
      <c r="J324" s="66">
        <f>C324*Scoring!$B$36+TE!D324/Scoring!$C$36+TE!E324*Scoring!$D$36+TE!F324*Scoring!$E$36+H324*Scoring!$F$36</f>
        <v>0</v>
      </c>
      <c r="K324" s="66">
        <f>C325*Scoring!$B$36+TE!D325/Scoring!$C$36+TE!E325*Scoring!$D$36+TE!F325*Scoring!$E$36+H325*Scoring!$F$36</f>
        <v>0</v>
      </c>
    </row>
    <row r="325" spans="1:11" ht="14.25" customHeight="1" x14ac:dyDescent="0.3">
      <c r="B325" t="s">
        <v>472</v>
      </c>
      <c r="C325">
        <v>0</v>
      </c>
      <c r="D325">
        <v>0</v>
      </c>
      <c r="E325">
        <v>0</v>
      </c>
      <c r="F325">
        <v>0</v>
      </c>
      <c r="G325">
        <v>0</v>
      </c>
      <c r="H325" s="64">
        <f t="shared" si="5"/>
        <v>0</v>
      </c>
      <c r="I325" s="68"/>
      <c r="J325" s="68"/>
      <c r="K325" s="68"/>
    </row>
    <row r="326" spans="1:11" ht="14.25" customHeight="1" x14ac:dyDescent="0.3">
      <c r="B326" t="s">
        <v>473</v>
      </c>
      <c r="C326">
        <v>0</v>
      </c>
      <c r="D326">
        <v>0</v>
      </c>
      <c r="E326">
        <v>0</v>
      </c>
      <c r="F326">
        <v>0</v>
      </c>
      <c r="G326">
        <v>0</v>
      </c>
      <c r="H326" s="64">
        <f t="shared" si="5"/>
        <v>0</v>
      </c>
      <c r="I326" s="68"/>
      <c r="J326" s="68"/>
      <c r="K326" s="68"/>
    </row>
    <row r="327" spans="1:11" ht="14.25" customHeight="1" x14ac:dyDescent="0.3">
      <c r="A327" t="s">
        <v>1486</v>
      </c>
      <c r="B327" t="s">
        <v>513</v>
      </c>
      <c r="C327">
        <v>0</v>
      </c>
      <c r="D327">
        <v>0</v>
      </c>
      <c r="E327">
        <v>0</v>
      </c>
      <c r="F327">
        <v>0</v>
      </c>
      <c r="G327">
        <v>0</v>
      </c>
      <c r="H327" s="64">
        <f t="shared" si="5"/>
        <v>0</v>
      </c>
      <c r="I327" s="66">
        <f>C329*Scoring!$B$36+TE!D329/Scoring!$C$36+TE!E329*Scoring!$D$36+TE!F329*Scoring!$E$36+H329*Scoring!$F$36</f>
        <v>0</v>
      </c>
      <c r="J327" s="66">
        <f>C327*Scoring!$B$36+TE!D327/Scoring!$C$36+TE!E327*Scoring!$D$36+TE!F327*Scoring!$E$36+H327*Scoring!$F$36</f>
        <v>0</v>
      </c>
      <c r="K327" s="66">
        <f>C328*Scoring!$B$36+TE!D328/Scoring!$C$36+TE!E328*Scoring!$D$36+TE!F328*Scoring!$E$36+H328*Scoring!$F$36</f>
        <v>0</v>
      </c>
    </row>
    <row r="328" spans="1:11" ht="14.25" customHeight="1" x14ac:dyDescent="0.3">
      <c r="B328" t="s">
        <v>472</v>
      </c>
      <c r="C328">
        <v>0</v>
      </c>
      <c r="D328">
        <v>0</v>
      </c>
      <c r="E328">
        <v>0</v>
      </c>
      <c r="F328">
        <v>0</v>
      </c>
      <c r="G328">
        <v>0</v>
      </c>
      <c r="H328" s="64">
        <f t="shared" si="5"/>
        <v>0</v>
      </c>
      <c r="I328" s="68"/>
      <c r="J328" s="68"/>
      <c r="K328" s="68"/>
    </row>
    <row r="329" spans="1:11" ht="14.25" customHeight="1" x14ac:dyDescent="0.3">
      <c r="B329" t="s">
        <v>473</v>
      </c>
      <c r="C329">
        <v>0</v>
      </c>
      <c r="D329">
        <v>0</v>
      </c>
      <c r="E329">
        <v>0</v>
      </c>
      <c r="F329">
        <v>0</v>
      </c>
      <c r="G329">
        <v>0</v>
      </c>
      <c r="H329" s="64">
        <f t="shared" si="5"/>
        <v>0</v>
      </c>
      <c r="I329" s="68"/>
      <c r="J329" s="68"/>
      <c r="K329" s="68"/>
    </row>
    <row r="330" spans="1:11" ht="14.25" customHeight="1" x14ac:dyDescent="0.3">
      <c r="A330" t="s">
        <v>1010</v>
      </c>
      <c r="B330" t="s">
        <v>523</v>
      </c>
      <c r="C330">
        <v>0</v>
      </c>
      <c r="D330">
        <v>0</v>
      </c>
      <c r="E330">
        <v>0</v>
      </c>
      <c r="F330">
        <v>0</v>
      </c>
      <c r="G330">
        <v>0</v>
      </c>
      <c r="H330" s="64">
        <f t="shared" si="5"/>
        <v>0</v>
      </c>
      <c r="I330" s="66">
        <f>C332*Scoring!$B$36+TE!D332/Scoring!$C$36+TE!E332*Scoring!$D$36+TE!F332*Scoring!$E$36+H332*Scoring!$F$36</f>
        <v>0</v>
      </c>
      <c r="J330" s="66">
        <f>C330*Scoring!$B$36+TE!D330/Scoring!$C$36+TE!E330*Scoring!$D$36+TE!F330*Scoring!$E$36+H330*Scoring!$F$36</f>
        <v>0</v>
      </c>
      <c r="K330" s="66">
        <f>C331*Scoring!$B$36+TE!D331/Scoring!$C$36+TE!E331*Scoring!$D$36+TE!F331*Scoring!$E$36+H331*Scoring!$F$36</f>
        <v>0</v>
      </c>
    </row>
    <row r="331" spans="1:11" ht="14.25" customHeight="1" x14ac:dyDescent="0.3">
      <c r="B331" t="s">
        <v>472</v>
      </c>
      <c r="C331">
        <v>0</v>
      </c>
      <c r="D331">
        <v>0</v>
      </c>
      <c r="E331">
        <v>0</v>
      </c>
      <c r="F331">
        <v>0</v>
      </c>
      <c r="G331">
        <v>0</v>
      </c>
      <c r="H331" s="64">
        <f t="shared" si="5"/>
        <v>0</v>
      </c>
      <c r="I331" s="68"/>
      <c r="J331" s="68"/>
      <c r="K331" s="68"/>
    </row>
    <row r="332" spans="1:11" ht="14.25" customHeight="1" x14ac:dyDescent="0.3">
      <c r="B332" t="s">
        <v>473</v>
      </c>
      <c r="C332">
        <v>0</v>
      </c>
      <c r="D332">
        <v>0</v>
      </c>
      <c r="E332">
        <v>0</v>
      </c>
      <c r="F332">
        <v>0</v>
      </c>
      <c r="G332">
        <v>0</v>
      </c>
      <c r="H332" s="64">
        <f t="shared" si="5"/>
        <v>0</v>
      </c>
      <c r="I332" s="68"/>
      <c r="J332" s="68"/>
      <c r="K332" s="68"/>
    </row>
    <row r="333" spans="1:11" ht="14.25" customHeight="1" x14ac:dyDescent="0.3">
      <c r="A333" t="s">
        <v>995</v>
      </c>
      <c r="B333" t="s">
        <v>499</v>
      </c>
      <c r="C333">
        <v>0</v>
      </c>
      <c r="D333">
        <v>0</v>
      </c>
      <c r="E333">
        <v>0</v>
      </c>
      <c r="F333">
        <v>0</v>
      </c>
      <c r="G333">
        <v>0</v>
      </c>
      <c r="H333" s="64">
        <f t="shared" si="5"/>
        <v>0</v>
      </c>
      <c r="I333" s="66">
        <f>C335*Scoring!$B$36+TE!D335/Scoring!$C$36+TE!E335*Scoring!$D$36+TE!F335*Scoring!$E$36+H335*Scoring!$F$36</f>
        <v>0</v>
      </c>
      <c r="J333" s="66">
        <f>C333*Scoring!$B$36+TE!D333/Scoring!$C$36+TE!E333*Scoring!$D$36+TE!F333*Scoring!$E$36+H333*Scoring!$F$36</f>
        <v>0</v>
      </c>
      <c r="K333" s="66">
        <f>C334*Scoring!$B$36+TE!D334/Scoring!$C$36+TE!E334*Scoring!$D$36+TE!F334*Scoring!$E$36+H334*Scoring!$F$36</f>
        <v>0</v>
      </c>
    </row>
    <row r="334" spans="1:11" ht="14.25" customHeight="1" x14ac:dyDescent="0.3">
      <c r="B334" t="s">
        <v>472</v>
      </c>
      <c r="C334">
        <v>0</v>
      </c>
      <c r="D334">
        <v>0</v>
      </c>
      <c r="E334">
        <v>0</v>
      </c>
      <c r="F334">
        <v>0</v>
      </c>
      <c r="G334">
        <v>0</v>
      </c>
      <c r="H334" s="64">
        <f t="shared" si="5"/>
        <v>0</v>
      </c>
      <c r="I334" s="68"/>
      <c r="J334" s="68"/>
      <c r="K334" s="68"/>
    </row>
    <row r="335" spans="1:11" ht="14.25" customHeight="1" x14ac:dyDescent="0.3">
      <c r="B335" t="s">
        <v>473</v>
      </c>
      <c r="C335">
        <v>0</v>
      </c>
      <c r="D335">
        <v>0</v>
      </c>
      <c r="E335">
        <v>0</v>
      </c>
      <c r="F335">
        <v>0</v>
      </c>
      <c r="G335">
        <v>0</v>
      </c>
      <c r="H335" s="64">
        <f t="shared" si="5"/>
        <v>0</v>
      </c>
      <c r="I335" s="68"/>
      <c r="J335" s="68"/>
      <c r="K335" s="68"/>
    </row>
    <row r="336" spans="1:11" ht="14.25" customHeight="1" x14ac:dyDescent="0.3">
      <c r="A336" t="s">
        <v>959</v>
      </c>
      <c r="B336" t="s">
        <v>513</v>
      </c>
      <c r="C336">
        <v>0</v>
      </c>
      <c r="D336">
        <v>0</v>
      </c>
      <c r="E336">
        <v>0</v>
      </c>
      <c r="F336">
        <v>0</v>
      </c>
      <c r="G336">
        <v>0</v>
      </c>
      <c r="H336" s="64">
        <f t="shared" si="5"/>
        <v>0</v>
      </c>
      <c r="I336" s="66">
        <f>C338*Scoring!$B$36+TE!D338/Scoring!$C$36+TE!E338*Scoring!$D$36+TE!F338*Scoring!$E$36+H338*Scoring!$F$36</f>
        <v>0</v>
      </c>
      <c r="J336" s="66">
        <f>C336*Scoring!$B$36+TE!D336/Scoring!$C$36+TE!E336*Scoring!$D$36+TE!F336*Scoring!$E$36+H336*Scoring!$F$36</f>
        <v>0</v>
      </c>
      <c r="K336" s="66">
        <f>C337*Scoring!$B$36+TE!D337/Scoring!$C$36+TE!E337*Scoring!$D$36+TE!F337*Scoring!$E$36+H337*Scoring!$F$36</f>
        <v>0</v>
      </c>
    </row>
    <row r="337" spans="1:11" ht="14.25" customHeight="1" x14ac:dyDescent="0.3">
      <c r="B337" t="s">
        <v>472</v>
      </c>
      <c r="C337">
        <v>0</v>
      </c>
      <c r="D337">
        <v>0</v>
      </c>
      <c r="E337">
        <v>0</v>
      </c>
      <c r="F337">
        <v>0</v>
      </c>
      <c r="G337">
        <v>0</v>
      </c>
      <c r="H337" s="64">
        <f t="shared" si="5"/>
        <v>0</v>
      </c>
      <c r="I337" s="68"/>
      <c r="J337" s="68"/>
      <c r="K337" s="68"/>
    </row>
    <row r="338" spans="1:11" ht="14.25" customHeight="1" x14ac:dyDescent="0.3">
      <c r="B338" t="s">
        <v>473</v>
      </c>
      <c r="C338">
        <v>0</v>
      </c>
      <c r="D338">
        <v>0</v>
      </c>
      <c r="E338">
        <v>0</v>
      </c>
      <c r="F338">
        <v>0</v>
      </c>
      <c r="G338">
        <v>0</v>
      </c>
      <c r="H338" s="64">
        <f t="shared" si="5"/>
        <v>0</v>
      </c>
      <c r="I338" s="68"/>
      <c r="J338" s="68"/>
      <c r="K338" s="68"/>
    </row>
    <row r="339" spans="1:11" ht="14.25" customHeight="1" x14ac:dyDescent="0.3">
      <c r="A339" t="s">
        <v>1012</v>
      </c>
      <c r="B339" t="s">
        <v>477</v>
      </c>
      <c r="C339">
        <v>0</v>
      </c>
      <c r="D339">
        <v>0</v>
      </c>
      <c r="E339">
        <v>0</v>
      </c>
      <c r="F339">
        <v>0</v>
      </c>
      <c r="G339">
        <v>0</v>
      </c>
      <c r="H339" s="64">
        <f t="shared" si="5"/>
        <v>0</v>
      </c>
      <c r="I339" s="66">
        <f>C341*Scoring!$B$36+TE!D341/Scoring!$C$36+TE!E341*Scoring!$D$36+TE!F341*Scoring!$E$36+H341*Scoring!$F$36</f>
        <v>0</v>
      </c>
      <c r="J339" s="66">
        <f>C339*Scoring!$B$36+TE!D339/Scoring!$C$36+TE!E339*Scoring!$D$36+TE!F339*Scoring!$E$36+H339*Scoring!$F$36</f>
        <v>0</v>
      </c>
      <c r="K339" s="66">
        <f>C340*Scoring!$B$36+TE!D340/Scoring!$C$36+TE!E340*Scoring!$D$36+TE!F340*Scoring!$E$36+H340*Scoring!$F$36</f>
        <v>0</v>
      </c>
    </row>
    <row r="340" spans="1:11" ht="14.25" customHeight="1" x14ac:dyDescent="0.3">
      <c r="B340" t="s">
        <v>472</v>
      </c>
      <c r="C340">
        <v>0</v>
      </c>
      <c r="D340">
        <v>0</v>
      </c>
      <c r="E340">
        <v>0</v>
      </c>
      <c r="F340">
        <v>0</v>
      </c>
      <c r="G340">
        <v>0</v>
      </c>
      <c r="H340" s="64">
        <f t="shared" si="5"/>
        <v>0</v>
      </c>
      <c r="I340" s="68"/>
      <c r="J340" s="68"/>
      <c r="K340" s="68"/>
    </row>
    <row r="341" spans="1:11" ht="14.25" customHeight="1" x14ac:dyDescent="0.3">
      <c r="B341" t="s">
        <v>473</v>
      </c>
      <c r="C341">
        <v>0</v>
      </c>
      <c r="D341">
        <v>0</v>
      </c>
      <c r="E341">
        <v>0</v>
      </c>
      <c r="F341">
        <v>0</v>
      </c>
      <c r="G341">
        <v>0</v>
      </c>
      <c r="H341" s="64">
        <f t="shared" si="5"/>
        <v>0</v>
      </c>
      <c r="I341" s="68"/>
      <c r="J341" s="68"/>
      <c r="K341" s="68"/>
    </row>
    <row r="342" spans="1:11" ht="14.25" customHeight="1" x14ac:dyDescent="0.3">
      <c r="A342" t="s">
        <v>1005</v>
      </c>
      <c r="B342" t="s">
        <v>527</v>
      </c>
      <c r="C342">
        <v>0</v>
      </c>
      <c r="D342">
        <v>0</v>
      </c>
      <c r="E342">
        <v>0</v>
      </c>
      <c r="F342">
        <v>0</v>
      </c>
      <c r="G342">
        <v>0</v>
      </c>
      <c r="H342" s="64">
        <f t="shared" si="5"/>
        <v>0</v>
      </c>
      <c r="I342" s="66">
        <f>C344*Scoring!$B$36+TE!D344/Scoring!$C$36+TE!E344*Scoring!$D$36+TE!F344*Scoring!$E$36+H344*Scoring!$F$36</f>
        <v>0</v>
      </c>
      <c r="J342" s="66">
        <f>C342*Scoring!$B$36+TE!D342/Scoring!$C$36+TE!E342*Scoring!$D$36+TE!F342*Scoring!$E$36+H342*Scoring!$F$36</f>
        <v>0</v>
      </c>
      <c r="K342" s="66">
        <f>C343*Scoring!$B$36+TE!D343/Scoring!$C$36+TE!E343*Scoring!$D$36+TE!F343*Scoring!$E$36+H343*Scoring!$F$36</f>
        <v>0</v>
      </c>
    </row>
    <row r="343" spans="1:11" ht="14.25" customHeight="1" x14ac:dyDescent="0.3">
      <c r="B343" t="s">
        <v>472</v>
      </c>
      <c r="C343">
        <v>0</v>
      </c>
      <c r="D343">
        <v>0</v>
      </c>
      <c r="E343">
        <v>0</v>
      </c>
      <c r="F343">
        <v>0</v>
      </c>
      <c r="G343">
        <v>0</v>
      </c>
      <c r="H343" s="64">
        <f t="shared" si="5"/>
        <v>0</v>
      </c>
      <c r="I343" s="68"/>
      <c r="J343" s="68"/>
      <c r="K343" s="68"/>
    </row>
    <row r="344" spans="1:11" ht="14.25" customHeight="1" x14ac:dyDescent="0.3">
      <c r="B344" t="s">
        <v>473</v>
      </c>
      <c r="C344">
        <v>0</v>
      </c>
      <c r="D344">
        <v>0</v>
      </c>
      <c r="E344">
        <v>0</v>
      </c>
      <c r="F344">
        <v>0</v>
      </c>
      <c r="G344">
        <v>0</v>
      </c>
      <c r="H344" s="64">
        <f t="shared" si="5"/>
        <v>0</v>
      </c>
      <c r="I344" s="68"/>
      <c r="J344" s="68"/>
      <c r="K344" s="68"/>
    </row>
    <row r="345" spans="1:11" ht="14.25" customHeight="1" x14ac:dyDescent="0.3">
      <c r="A345" t="s">
        <v>999</v>
      </c>
      <c r="B345" t="s">
        <v>507</v>
      </c>
      <c r="C345">
        <v>0</v>
      </c>
      <c r="D345">
        <v>0</v>
      </c>
      <c r="E345">
        <v>0</v>
      </c>
      <c r="F345">
        <v>0</v>
      </c>
      <c r="G345">
        <v>0</v>
      </c>
      <c r="H345" s="64">
        <f t="shared" si="5"/>
        <v>0</v>
      </c>
      <c r="I345" s="66">
        <f>C347*Scoring!$B$36+TE!D347/Scoring!$C$36+TE!E347*Scoring!$D$36+TE!F347*Scoring!$E$36+H347*Scoring!$F$36</f>
        <v>0</v>
      </c>
      <c r="J345" s="66">
        <f>C345*Scoring!$B$36+TE!D345/Scoring!$C$36+TE!E345*Scoring!$D$36+TE!F345*Scoring!$E$36+H345*Scoring!$F$36</f>
        <v>0</v>
      </c>
      <c r="K345" s="66">
        <f>C346*Scoring!$B$36+TE!D346/Scoring!$C$36+TE!E346*Scoring!$D$36+TE!F346*Scoring!$E$36+H346*Scoring!$F$36</f>
        <v>0</v>
      </c>
    </row>
    <row r="346" spans="1:11" ht="14.25" customHeight="1" x14ac:dyDescent="0.3">
      <c r="B346" t="s">
        <v>472</v>
      </c>
      <c r="C346">
        <v>0</v>
      </c>
      <c r="D346">
        <v>0</v>
      </c>
      <c r="E346">
        <v>0</v>
      </c>
      <c r="F346">
        <v>0</v>
      </c>
      <c r="G346">
        <v>0</v>
      </c>
      <c r="H346" s="64">
        <f t="shared" si="5"/>
        <v>0</v>
      </c>
      <c r="I346" s="68"/>
      <c r="J346" s="68"/>
      <c r="K346" s="68"/>
    </row>
    <row r="347" spans="1:11" ht="14.25" customHeight="1" x14ac:dyDescent="0.3">
      <c r="B347" t="s">
        <v>473</v>
      </c>
      <c r="C347">
        <v>0</v>
      </c>
      <c r="D347">
        <v>0</v>
      </c>
      <c r="E347">
        <v>0</v>
      </c>
      <c r="F347">
        <v>0</v>
      </c>
      <c r="G347">
        <v>0</v>
      </c>
      <c r="H347" s="64">
        <f t="shared" si="5"/>
        <v>0</v>
      </c>
      <c r="I347" s="68"/>
      <c r="J347" s="68"/>
      <c r="K347" s="68"/>
    </row>
    <row r="348" spans="1:11" ht="14.25" customHeight="1" x14ac:dyDescent="0.3">
      <c r="A348" t="s">
        <v>993</v>
      </c>
      <c r="B348" t="s">
        <v>535</v>
      </c>
      <c r="C348">
        <v>0</v>
      </c>
      <c r="D348">
        <v>0</v>
      </c>
      <c r="E348">
        <v>0</v>
      </c>
      <c r="F348">
        <v>0</v>
      </c>
      <c r="G348">
        <v>0</v>
      </c>
      <c r="H348" s="64">
        <f t="shared" si="5"/>
        <v>0</v>
      </c>
      <c r="I348" s="66">
        <f>C350*Scoring!$B$36+TE!D350/Scoring!$C$36+TE!E350*Scoring!$D$36+TE!F350*Scoring!$E$36+H350*Scoring!$F$36</f>
        <v>0</v>
      </c>
      <c r="J348" s="66">
        <f>C348*Scoring!$B$36+TE!D348/Scoring!$C$36+TE!E348*Scoring!$D$36+TE!F348*Scoring!$E$36+H348*Scoring!$F$36</f>
        <v>0</v>
      </c>
      <c r="K348" s="66">
        <f>C349*Scoring!$B$36+TE!D349/Scoring!$C$36+TE!E349*Scoring!$D$36+TE!F349*Scoring!$E$36+H349*Scoring!$F$36</f>
        <v>0</v>
      </c>
    </row>
    <row r="349" spans="1:11" ht="14.25" customHeight="1" x14ac:dyDescent="0.3">
      <c r="B349" t="s">
        <v>472</v>
      </c>
      <c r="C349">
        <v>0</v>
      </c>
      <c r="D349">
        <v>0</v>
      </c>
      <c r="E349">
        <v>0</v>
      </c>
      <c r="F349">
        <v>0</v>
      </c>
      <c r="G349">
        <v>0</v>
      </c>
      <c r="H349" s="64">
        <f t="shared" si="5"/>
        <v>0</v>
      </c>
      <c r="I349" s="68"/>
      <c r="J349" s="68"/>
      <c r="K349" s="68"/>
    </row>
    <row r="350" spans="1:11" ht="14.25" customHeight="1" x14ac:dyDescent="0.3">
      <c r="B350" t="s">
        <v>473</v>
      </c>
      <c r="C350">
        <v>0</v>
      </c>
      <c r="D350">
        <v>0</v>
      </c>
      <c r="E350">
        <v>0</v>
      </c>
      <c r="F350">
        <v>0</v>
      </c>
      <c r="G350">
        <v>0</v>
      </c>
      <c r="H350" s="64">
        <f t="shared" si="5"/>
        <v>0</v>
      </c>
      <c r="I350" s="68"/>
      <c r="J350" s="68"/>
      <c r="K350" s="68"/>
    </row>
    <row r="351" spans="1:11" ht="14.25" customHeight="1" x14ac:dyDescent="0.3">
      <c r="A351" t="s">
        <v>1977</v>
      </c>
      <c r="B351" t="s">
        <v>503</v>
      </c>
      <c r="C351">
        <v>0</v>
      </c>
      <c r="D351">
        <v>0</v>
      </c>
      <c r="E351">
        <v>0</v>
      </c>
      <c r="F351">
        <v>0</v>
      </c>
      <c r="G351">
        <v>0</v>
      </c>
      <c r="H351" s="64">
        <f t="shared" si="5"/>
        <v>0</v>
      </c>
      <c r="I351" s="66">
        <f>C353*Scoring!$B$36+TE!D353/Scoring!$C$36+TE!E353*Scoring!$D$36+TE!F353*Scoring!$E$36+H353*Scoring!$F$36</f>
        <v>0</v>
      </c>
      <c r="J351" s="66">
        <f>C351*Scoring!$B$36+TE!D351/Scoring!$C$36+TE!E351*Scoring!$D$36+TE!F351*Scoring!$E$36+H351*Scoring!$F$36</f>
        <v>0</v>
      </c>
      <c r="K351" s="66">
        <f>C352*Scoring!$B$36+TE!D352/Scoring!$C$36+TE!E352*Scoring!$D$36+TE!F352*Scoring!$E$36+H352*Scoring!$F$36</f>
        <v>0</v>
      </c>
    </row>
    <row r="352" spans="1:11" ht="14.25" customHeight="1" x14ac:dyDescent="0.3">
      <c r="B352" t="s">
        <v>472</v>
      </c>
      <c r="C352">
        <v>0</v>
      </c>
      <c r="D352">
        <v>0</v>
      </c>
      <c r="E352">
        <v>0</v>
      </c>
      <c r="F352">
        <v>0</v>
      </c>
      <c r="G352">
        <v>0</v>
      </c>
      <c r="H352" s="64">
        <f t="shared" si="5"/>
        <v>0</v>
      </c>
      <c r="I352" s="68"/>
      <c r="J352" s="68"/>
      <c r="K352" s="68"/>
    </row>
    <row r="353" spans="2:11" ht="14.25" customHeight="1" x14ac:dyDescent="0.3">
      <c r="B353" t="s">
        <v>473</v>
      </c>
      <c r="C353">
        <v>0</v>
      </c>
      <c r="D353">
        <v>0</v>
      </c>
      <c r="E353">
        <v>0</v>
      </c>
      <c r="F353">
        <v>0</v>
      </c>
      <c r="G353">
        <v>0</v>
      </c>
      <c r="H353" s="64">
        <f t="shared" si="5"/>
        <v>0</v>
      </c>
      <c r="I353" s="68"/>
      <c r="J353" s="68"/>
      <c r="K353" s="68"/>
    </row>
    <row r="354" spans="2:11" ht="14.25" customHeight="1" x14ac:dyDescent="0.3">
      <c r="H354" s="64">
        <f t="shared" si="5"/>
        <v>0</v>
      </c>
      <c r="I354" s="66">
        <f>C356*Scoring!$B$36+TE!D356/Scoring!$C$36+TE!E356*Scoring!$D$36+TE!F356*Scoring!$E$36+H356*Scoring!$F$36</f>
        <v>0</v>
      </c>
      <c r="J354" s="66">
        <f>C354*Scoring!$B$36+TE!D354/Scoring!$C$36+TE!E354*Scoring!$D$36+TE!F354*Scoring!$E$36+H354*Scoring!$F$36</f>
        <v>0</v>
      </c>
      <c r="K354" s="66">
        <f>C355*Scoring!$B$36+TE!D355/Scoring!$C$36+TE!E355*Scoring!$D$36+TE!F355*Scoring!$E$36+H355*Scoring!$F$36</f>
        <v>0</v>
      </c>
    </row>
    <row r="355" spans="2:11" ht="14.25" customHeight="1" x14ac:dyDescent="0.3">
      <c r="H355" s="64">
        <f t="shared" si="5"/>
        <v>0</v>
      </c>
      <c r="I355" s="68"/>
      <c r="J355" s="68"/>
      <c r="K355" s="68"/>
    </row>
    <row r="356" spans="2:11" ht="14.25" customHeight="1" x14ac:dyDescent="0.3">
      <c r="H356" s="64">
        <f t="shared" si="5"/>
        <v>0</v>
      </c>
      <c r="I356" s="68"/>
      <c r="J356" s="68"/>
      <c r="K356" s="68"/>
    </row>
    <row r="357" spans="2:11" ht="14.25" customHeight="1" x14ac:dyDescent="0.3">
      <c r="H357" s="64">
        <f t="shared" si="5"/>
        <v>0</v>
      </c>
      <c r="I357" s="66">
        <f>C359*Scoring!$B$36+TE!D359/Scoring!$C$36+TE!E359*Scoring!$D$36+TE!F359*Scoring!$E$36+H359*Scoring!$F$36</f>
        <v>0</v>
      </c>
      <c r="J357" s="66">
        <f>C357*Scoring!$B$36+TE!D357/Scoring!$C$36+TE!E357*Scoring!$D$36+TE!F357*Scoring!$E$36+H357*Scoring!$F$36</f>
        <v>0</v>
      </c>
      <c r="K357" s="66">
        <f>C358*Scoring!$B$36+TE!D358/Scoring!$C$36+TE!E358*Scoring!$D$36+TE!F358*Scoring!$E$36+H358*Scoring!$F$36</f>
        <v>0</v>
      </c>
    </row>
    <row r="358" spans="2:11" ht="14.25" customHeight="1" x14ac:dyDescent="0.3">
      <c r="H358" s="64">
        <f t="shared" si="5"/>
        <v>0</v>
      </c>
      <c r="I358" s="68"/>
      <c r="J358" s="68"/>
      <c r="K358" s="68"/>
    </row>
    <row r="359" spans="2:11" ht="14.25" customHeight="1" x14ac:dyDescent="0.3">
      <c r="H359" s="64">
        <f t="shared" si="5"/>
        <v>0</v>
      </c>
      <c r="I359" s="68"/>
      <c r="J359" s="68"/>
      <c r="K359" s="68"/>
    </row>
    <row r="360" spans="2:11" ht="14.25" customHeight="1" x14ac:dyDescent="0.3">
      <c r="H360" s="64">
        <f t="shared" si="5"/>
        <v>0</v>
      </c>
      <c r="I360" s="66">
        <f>C362*Scoring!$B$36+TE!D362/Scoring!$C$36+TE!E362*Scoring!$D$36+TE!F362*Scoring!$E$36+H362*Scoring!$F$36</f>
        <v>0</v>
      </c>
      <c r="J360" s="66">
        <f>C360*Scoring!$B$36+TE!D360/Scoring!$C$36+TE!E360*Scoring!$D$36+TE!F360*Scoring!$E$36+H360*Scoring!$F$36</f>
        <v>0</v>
      </c>
      <c r="K360" s="66">
        <f>C361*Scoring!$B$36+TE!D361/Scoring!$C$36+TE!E361*Scoring!$D$36+TE!F361*Scoring!$E$36+H361*Scoring!$F$36</f>
        <v>0</v>
      </c>
    </row>
    <row r="361" spans="2:11" ht="14.25" customHeight="1" x14ac:dyDescent="0.3">
      <c r="H361" s="64">
        <f t="shared" si="5"/>
        <v>0</v>
      </c>
      <c r="I361" s="68"/>
      <c r="J361" s="68"/>
      <c r="K361" s="68"/>
    </row>
    <row r="362" spans="2:11" ht="14.25" customHeight="1" x14ac:dyDescent="0.3">
      <c r="H362" s="64">
        <f t="shared" si="5"/>
        <v>0</v>
      </c>
      <c r="I362" s="68"/>
      <c r="J362" s="68"/>
      <c r="K362" s="68"/>
    </row>
    <row r="363" spans="2:11" ht="14.25" customHeight="1" x14ac:dyDescent="0.3">
      <c r="H363" s="64">
        <f t="shared" si="5"/>
        <v>0</v>
      </c>
      <c r="I363" s="66">
        <f>C365*Scoring!$B$36+TE!D365/Scoring!$C$36+TE!E365*Scoring!$D$36+TE!F365*Scoring!$E$36+H365*Scoring!$F$36</f>
        <v>0</v>
      </c>
      <c r="J363" s="66">
        <f>C363*Scoring!$B$36+TE!D363/Scoring!$C$36+TE!E363*Scoring!$D$36+TE!F363*Scoring!$E$36+H363*Scoring!$F$36</f>
        <v>0</v>
      </c>
      <c r="K363" s="66">
        <f>C364*Scoring!$B$36+TE!D364/Scoring!$C$36+TE!E364*Scoring!$D$36+TE!F364*Scoring!$E$36+H364*Scoring!$F$36</f>
        <v>0</v>
      </c>
    </row>
    <row r="364" spans="2:11" ht="14.25" customHeight="1" x14ac:dyDescent="0.3">
      <c r="H364" s="64">
        <f t="shared" si="5"/>
        <v>0</v>
      </c>
      <c r="I364" s="68"/>
      <c r="J364" s="68"/>
      <c r="K364" s="68"/>
    </row>
    <row r="365" spans="2:11" ht="14.25" customHeight="1" x14ac:dyDescent="0.3">
      <c r="H365" s="64">
        <f t="shared" si="5"/>
        <v>0</v>
      </c>
      <c r="I365" s="68"/>
      <c r="J365" s="68"/>
      <c r="K365" s="68"/>
    </row>
    <row r="366" spans="2:11" ht="14.25" customHeight="1" x14ac:dyDescent="0.3">
      <c r="H366" s="64">
        <f t="shared" si="5"/>
        <v>0</v>
      </c>
      <c r="I366" s="66">
        <f>C368*Scoring!$B$36+TE!D368/Scoring!$C$36+TE!E368*Scoring!$D$36+TE!F368*Scoring!$E$36+H368*Scoring!$F$36</f>
        <v>0</v>
      </c>
      <c r="J366" s="66">
        <f>C366*Scoring!$B$36+TE!D366/Scoring!$C$36+TE!E366*Scoring!$D$36+TE!F366*Scoring!$E$36+H366*Scoring!$F$36</f>
        <v>0</v>
      </c>
      <c r="K366" s="66">
        <f>C367*Scoring!$B$36+TE!D367/Scoring!$C$36+TE!E367*Scoring!$D$36+TE!F367*Scoring!$E$36+H367*Scoring!$F$36</f>
        <v>0</v>
      </c>
    </row>
    <row r="367" spans="2:11" ht="14.25" customHeight="1" x14ac:dyDescent="0.3">
      <c r="H367" s="64">
        <f t="shared" si="5"/>
        <v>0</v>
      </c>
      <c r="I367" s="68"/>
      <c r="J367" s="68"/>
      <c r="K367" s="68"/>
    </row>
    <row r="368" spans="2:11" ht="14.25" customHeight="1" x14ac:dyDescent="0.3">
      <c r="H368" s="64">
        <f t="shared" si="5"/>
        <v>0</v>
      </c>
      <c r="I368" s="68"/>
      <c r="J368" s="68"/>
      <c r="K368" s="68"/>
    </row>
    <row r="369" spans="8:11" ht="14.25" customHeight="1" x14ac:dyDescent="0.3">
      <c r="H369" s="64">
        <f t="shared" si="5"/>
        <v>0</v>
      </c>
      <c r="I369" s="66">
        <f>C371*Scoring!$B$36+TE!D371/Scoring!$C$36+TE!E371*Scoring!$D$36+TE!F371*Scoring!$E$36+H371*Scoring!$F$36</f>
        <v>0</v>
      </c>
      <c r="J369" s="66">
        <f>C369*Scoring!$B$36+TE!D369/Scoring!$C$36+TE!E369*Scoring!$D$36+TE!F369*Scoring!$E$36+H369*Scoring!$F$36</f>
        <v>0</v>
      </c>
      <c r="K369" s="66">
        <f>C370*Scoring!$B$36+TE!D370/Scoring!$C$36+TE!E370*Scoring!$D$36+TE!F370*Scoring!$E$36+H370*Scoring!$F$36</f>
        <v>0</v>
      </c>
    </row>
    <row r="370" spans="8:11" ht="14.25" customHeight="1" x14ac:dyDescent="0.3">
      <c r="H370" s="64">
        <f t="shared" si="5"/>
        <v>0</v>
      </c>
      <c r="I370" s="68"/>
      <c r="J370" s="68"/>
      <c r="K370" s="68"/>
    </row>
    <row r="371" spans="8:11" ht="14.25" customHeight="1" x14ac:dyDescent="0.3">
      <c r="H371" s="64">
        <f t="shared" si="5"/>
        <v>0</v>
      </c>
      <c r="I371" s="68"/>
      <c r="J371" s="68"/>
      <c r="K371" s="68"/>
    </row>
    <row r="372" spans="8:11" ht="14.25" customHeight="1" x14ac:dyDescent="0.3">
      <c r="H372" s="64">
        <f t="shared" si="5"/>
        <v>0</v>
      </c>
      <c r="I372" s="66">
        <f>C374*Scoring!$B$36+TE!D374/Scoring!$C$36+TE!E374*Scoring!$D$36+TE!F374*Scoring!$E$36+H374*Scoring!$F$36</f>
        <v>0</v>
      </c>
      <c r="J372" s="66">
        <f>C372*Scoring!$B$36+TE!D372/Scoring!$C$36+TE!E372*Scoring!$D$36+TE!F372*Scoring!$E$36+H372*Scoring!$F$36</f>
        <v>0</v>
      </c>
      <c r="K372" s="66">
        <f>C373*Scoring!$B$36+TE!D373/Scoring!$C$36+TE!E373*Scoring!$D$36+TE!F373*Scoring!$E$36+H373*Scoring!$F$36</f>
        <v>0</v>
      </c>
    </row>
    <row r="373" spans="8:11" ht="14.25" customHeight="1" x14ac:dyDescent="0.3">
      <c r="H373" s="64">
        <f t="shared" si="5"/>
        <v>0</v>
      </c>
      <c r="I373" s="68"/>
      <c r="J373" s="68"/>
      <c r="K373" s="68"/>
    </row>
    <row r="374" spans="8:11" ht="14.25" customHeight="1" x14ac:dyDescent="0.3">
      <c r="H374" s="64">
        <f t="shared" si="5"/>
        <v>0</v>
      </c>
      <c r="I374" s="68"/>
      <c r="J374" s="68"/>
      <c r="K374" s="68"/>
    </row>
    <row r="375" spans="8:11" ht="14.25" customHeight="1" x14ac:dyDescent="0.3">
      <c r="H375" s="64">
        <f t="shared" si="5"/>
        <v>0</v>
      </c>
      <c r="I375" s="66">
        <f>C377*Scoring!$B$36+TE!D377/Scoring!$C$36+TE!E377*Scoring!$D$36+TE!F377*Scoring!$E$36+H377*Scoring!$F$36</f>
        <v>0</v>
      </c>
      <c r="J375" s="66">
        <f>C375*Scoring!$B$36+TE!D375/Scoring!$C$36+TE!E375*Scoring!$D$36+TE!F375*Scoring!$E$36+H375*Scoring!$F$36</f>
        <v>0</v>
      </c>
      <c r="K375" s="66">
        <f>C376*Scoring!$B$36+TE!D376/Scoring!$C$36+TE!E376*Scoring!$D$36+TE!F376*Scoring!$E$36+H376*Scoring!$F$36</f>
        <v>0</v>
      </c>
    </row>
    <row r="376" spans="8:11" ht="14.25" customHeight="1" x14ac:dyDescent="0.3">
      <c r="H376" s="64">
        <f t="shared" si="5"/>
        <v>0</v>
      </c>
      <c r="I376" s="68"/>
      <c r="J376" s="68"/>
      <c r="K376" s="68"/>
    </row>
    <row r="377" spans="8:11" ht="14.25" customHeight="1" x14ac:dyDescent="0.3">
      <c r="H377" s="64">
        <f t="shared" si="5"/>
        <v>0</v>
      </c>
      <c r="I377" s="68"/>
      <c r="J377" s="68"/>
      <c r="K377" s="68"/>
    </row>
    <row r="378" spans="8:11" ht="14.25" customHeight="1" x14ac:dyDescent="0.3">
      <c r="H378" s="64">
        <f t="shared" si="5"/>
        <v>0</v>
      </c>
      <c r="I378" s="66">
        <f>C380*Scoring!$B$36+TE!D380/Scoring!$C$36+TE!E380*Scoring!$D$36+TE!F380*Scoring!$E$36+H380*Scoring!$F$36</f>
        <v>0</v>
      </c>
      <c r="J378" s="66">
        <f>C378*Scoring!$B$36+TE!D378/Scoring!$C$36+TE!E378*Scoring!$D$36+TE!F378*Scoring!$E$36+H378*Scoring!$F$36</f>
        <v>0</v>
      </c>
      <c r="K378" s="66">
        <f>C379*Scoring!$B$36+TE!D379/Scoring!$C$36+TE!E379*Scoring!$D$36+TE!F379*Scoring!$E$36+H379*Scoring!$F$36</f>
        <v>0</v>
      </c>
    </row>
    <row r="379" spans="8:11" ht="14.25" customHeight="1" x14ac:dyDescent="0.3">
      <c r="H379" s="64">
        <f t="shared" si="5"/>
        <v>0</v>
      </c>
      <c r="I379" s="68"/>
      <c r="J379" s="68"/>
      <c r="K379" s="68"/>
    </row>
    <row r="380" spans="8:11" ht="14.25" customHeight="1" x14ac:dyDescent="0.3">
      <c r="H380" s="64">
        <f t="shared" si="5"/>
        <v>0</v>
      </c>
      <c r="I380" s="68"/>
      <c r="J380" s="68"/>
      <c r="K380" s="68"/>
    </row>
    <row r="381" spans="8:11" ht="14.25" customHeight="1" x14ac:dyDescent="0.3">
      <c r="H381" s="64">
        <f t="shared" si="5"/>
        <v>0</v>
      </c>
      <c r="I381" s="66">
        <f>C383*Scoring!$B$36+TE!D383/Scoring!$C$36+TE!E383*Scoring!$D$36+TE!F383*Scoring!$E$36+H383*Scoring!$F$36</f>
        <v>0</v>
      </c>
      <c r="J381" s="66">
        <f>C381*Scoring!$B$36+TE!D381/Scoring!$C$36+TE!E381*Scoring!$D$36+TE!F381*Scoring!$E$36+H381*Scoring!$F$36</f>
        <v>0</v>
      </c>
      <c r="K381" s="66">
        <f>C382*Scoring!$B$36+TE!D382/Scoring!$C$36+TE!E382*Scoring!$D$36+TE!F382*Scoring!$E$36+H382*Scoring!$F$36</f>
        <v>0</v>
      </c>
    </row>
    <row r="382" spans="8:11" ht="14.25" customHeight="1" x14ac:dyDescent="0.3">
      <c r="H382" s="64">
        <f t="shared" si="5"/>
        <v>0</v>
      </c>
      <c r="I382" s="68"/>
      <c r="J382" s="68"/>
      <c r="K382" s="68"/>
    </row>
    <row r="383" spans="8:11" ht="14.25" customHeight="1" x14ac:dyDescent="0.3">
      <c r="H383" s="64">
        <f t="shared" si="5"/>
        <v>0</v>
      </c>
      <c r="I383" s="68"/>
      <c r="J383" s="68"/>
      <c r="K383" s="68"/>
    </row>
    <row r="384" spans="8:11" ht="14.25" customHeight="1" x14ac:dyDescent="0.3">
      <c r="H384" s="64">
        <f t="shared" si="5"/>
        <v>0</v>
      </c>
      <c r="I384" s="66">
        <f>C386*Scoring!$B$36+TE!D386/Scoring!$C$36+TE!E386*Scoring!$D$36+TE!F386*Scoring!$E$36+H386*Scoring!$F$36</f>
        <v>0</v>
      </c>
      <c r="J384" s="66">
        <f>C384*Scoring!$B$36+TE!D384/Scoring!$C$36+TE!E384*Scoring!$D$36+TE!F384*Scoring!$E$36+H384*Scoring!$F$36</f>
        <v>0</v>
      </c>
      <c r="K384" s="66">
        <f>C385*Scoring!$B$36+TE!D385/Scoring!$C$36+TE!E385*Scoring!$D$36+TE!F385*Scoring!$E$36+H385*Scoring!$F$36</f>
        <v>0</v>
      </c>
    </row>
    <row r="385" spans="8:11" ht="14.25" customHeight="1" x14ac:dyDescent="0.3">
      <c r="H385" s="64">
        <f t="shared" si="5"/>
        <v>0</v>
      </c>
      <c r="I385" s="68"/>
      <c r="J385" s="68"/>
      <c r="K385" s="68"/>
    </row>
    <row r="386" spans="8:11" ht="14.25" customHeight="1" x14ac:dyDescent="0.3">
      <c r="H386" s="64">
        <f t="shared" si="5"/>
        <v>0</v>
      </c>
      <c r="I386" s="68"/>
      <c r="J386" s="68"/>
      <c r="K386" s="68"/>
    </row>
    <row r="387" spans="8:11" ht="14.25" customHeight="1" x14ac:dyDescent="0.3">
      <c r="H387" s="64">
        <f t="shared" ref="H387:H450" si="6">IFERROR(D387/C387/11.1*0.585*C387,0)</f>
        <v>0</v>
      </c>
      <c r="I387" s="66">
        <f>C389*Scoring!$B$36+TE!D389/Scoring!$C$36+TE!E389*Scoring!$D$36+TE!F389*Scoring!$E$36+H389*Scoring!$F$36</f>
        <v>0</v>
      </c>
      <c r="J387" s="66">
        <f>C387*Scoring!$B$36+TE!D387/Scoring!$C$36+TE!E387*Scoring!$D$36+TE!F387*Scoring!$E$36+H387*Scoring!$F$36</f>
        <v>0</v>
      </c>
      <c r="K387" s="66">
        <f>C388*Scoring!$B$36+TE!D388/Scoring!$C$36+TE!E388*Scoring!$D$36+TE!F388*Scoring!$E$36+H388*Scoring!$F$36</f>
        <v>0</v>
      </c>
    </row>
    <row r="388" spans="8:11" ht="14.25" customHeight="1" x14ac:dyDescent="0.3">
      <c r="H388" s="64">
        <f t="shared" si="6"/>
        <v>0</v>
      </c>
      <c r="I388" s="68"/>
      <c r="J388" s="68"/>
      <c r="K388" s="68"/>
    </row>
    <row r="389" spans="8:11" ht="14.25" customHeight="1" x14ac:dyDescent="0.3">
      <c r="H389" s="64">
        <f t="shared" si="6"/>
        <v>0</v>
      </c>
      <c r="I389" s="68"/>
      <c r="J389" s="68"/>
      <c r="K389" s="68"/>
    </row>
    <row r="390" spans="8:11" ht="14.25" customHeight="1" x14ac:dyDescent="0.3">
      <c r="H390" s="64">
        <f t="shared" si="6"/>
        <v>0</v>
      </c>
      <c r="I390" s="66">
        <f>C392*Scoring!$B$36+TE!D392/Scoring!$C$36+TE!E392*Scoring!$D$36+TE!F392*Scoring!$E$36+H392*Scoring!$F$36</f>
        <v>0</v>
      </c>
      <c r="J390" s="66">
        <f>C390*Scoring!$B$36+TE!D390/Scoring!$C$36+TE!E390*Scoring!$D$36+TE!F390*Scoring!$E$36+H390*Scoring!$F$36</f>
        <v>0</v>
      </c>
      <c r="K390" s="66">
        <f>C391*Scoring!$B$36+TE!D391/Scoring!$C$36+TE!E391*Scoring!$D$36+TE!F391*Scoring!$E$36+H391*Scoring!$F$36</f>
        <v>0</v>
      </c>
    </row>
    <row r="391" spans="8:11" ht="14.25" customHeight="1" x14ac:dyDescent="0.3">
      <c r="H391" s="64">
        <f t="shared" si="6"/>
        <v>0</v>
      </c>
      <c r="I391" s="68"/>
      <c r="J391" s="68"/>
      <c r="K391" s="68"/>
    </row>
    <row r="392" spans="8:11" ht="14.25" customHeight="1" x14ac:dyDescent="0.3">
      <c r="H392" s="64">
        <f t="shared" si="6"/>
        <v>0</v>
      </c>
      <c r="I392" s="68"/>
      <c r="J392" s="68"/>
      <c r="K392" s="68"/>
    </row>
    <row r="393" spans="8:11" ht="14.25" customHeight="1" x14ac:dyDescent="0.3">
      <c r="H393" s="64">
        <f t="shared" si="6"/>
        <v>0</v>
      </c>
      <c r="I393" s="66">
        <f>C395*Scoring!$B$36+TE!D395/Scoring!$C$36+TE!E395*Scoring!$D$36+TE!F395*Scoring!$E$36+H395*Scoring!$F$36</f>
        <v>0</v>
      </c>
      <c r="J393" s="66">
        <f>C393*Scoring!$B$36+TE!D393/Scoring!$C$36+TE!E393*Scoring!$D$36+TE!F393*Scoring!$E$36+H393*Scoring!$F$36</f>
        <v>0</v>
      </c>
      <c r="K393" s="66">
        <f>C394*Scoring!$B$36+TE!D394/Scoring!$C$36+TE!E394*Scoring!$D$36+TE!F394*Scoring!$E$36+H394*Scoring!$F$36</f>
        <v>0</v>
      </c>
    </row>
    <row r="394" spans="8:11" ht="14.25" customHeight="1" x14ac:dyDescent="0.3">
      <c r="H394" s="64">
        <f t="shared" si="6"/>
        <v>0</v>
      </c>
      <c r="I394" s="68"/>
      <c r="J394" s="68"/>
      <c r="K394" s="68"/>
    </row>
    <row r="395" spans="8:11" ht="14.25" customHeight="1" x14ac:dyDescent="0.3">
      <c r="H395" s="64">
        <f t="shared" si="6"/>
        <v>0</v>
      </c>
      <c r="I395" s="68"/>
      <c r="J395" s="68"/>
      <c r="K395" s="68"/>
    </row>
    <row r="396" spans="8:11" ht="14.25" customHeight="1" x14ac:dyDescent="0.3">
      <c r="H396" s="64">
        <f t="shared" si="6"/>
        <v>0</v>
      </c>
      <c r="I396" s="66">
        <f>C398*Scoring!$B$36+TE!D398/Scoring!$C$36+TE!E398*Scoring!$D$36+TE!F398*Scoring!$E$36+H398*Scoring!$F$36</f>
        <v>0</v>
      </c>
      <c r="J396" s="66">
        <f>C396*Scoring!$B$36+TE!D396/Scoring!$C$36+TE!E396*Scoring!$D$36+TE!F396*Scoring!$E$36+H396*Scoring!$F$36</f>
        <v>0</v>
      </c>
      <c r="K396" s="66">
        <f>C397*Scoring!$B$36+TE!D397/Scoring!$C$36+TE!E397*Scoring!$D$36+TE!F397*Scoring!$E$36+H397*Scoring!$F$36</f>
        <v>0</v>
      </c>
    </row>
    <row r="397" spans="8:11" ht="14.25" customHeight="1" x14ac:dyDescent="0.3">
      <c r="H397" s="64">
        <f t="shared" si="6"/>
        <v>0</v>
      </c>
      <c r="I397" s="68"/>
      <c r="J397" s="68"/>
      <c r="K397" s="68"/>
    </row>
    <row r="398" spans="8:11" ht="14.25" customHeight="1" x14ac:dyDescent="0.3">
      <c r="H398" s="64">
        <f t="shared" si="6"/>
        <v>0</v>
      </c>
      <c r="I398" s="68"/>
      <c r="J398" s="68"/>
      <c r="K398" s="68"/>
    </row>
    <row r="399" spans="8:11" ht="14.25" customHeight="1" x14ac:dyDescent="0.3">
      <c r="H399" s="64">
        <f t="shared" si="6"/>
        <v>0</v>
      </c>
      <c r="I399" s="66">
        <f>C401*Scoring!$B$36+TE!D401/Scoring!$C$36+TE!E401*Scoring!$D$36+TE!F401*Scoring!$E$36+H401*Scoring!$F$36</f>
        <v>0</v>
      </c>
      <c r="J399" s="66">
        <f>C399*Scoring!$B$36+TE!D399/Scoring!$C$36+TE!E399*Scoring!$D$36+TE!F399*Scoring!$E$36+H399*Scoring!$F$36</f>
        <v>0</v>
      </c>
      <c r="K399" s="66">
        <f>C400*Scoring!$B$36+TE!D400/Scoring!$C$36+TE!E400*Scoring!$D$36+TE!F400*Scoring!$E$36+H400*Scoring!$F$36</f>
        <v>0</v>
      </c>
    </row>
    <row r="400" spans="8:11" ht="14.25" customHeight="1" x14ac:dyDescent="0.3">
      <c r="H400" s="64">
        <f t="shared" si="6"/>
        <v>0</v>
      </c>
      <c r="I400" s="68"/>
      <c r="J400" s="68"/>
      <c r="K400" s="68"/>
    </row>
    <row r="401" spans="8:11" ht="14.25" customHeight="1" x14ac:dyDescent="0.3">
      <c r="H401" s="64">
        <f t="shared" si="6"/>
        <v>0</v>
      </c>
      <c r="I401" s="68"/>
      <c r="J401" s="68"/>
      <c r="K401" s="68"/>
    </row>
    <row r="402" spans="8:11" ht="14.25" customHeight="1" x14ac:dyDescent="0.3">
      <c r="H402" s="64">
        <f t="shared" si="6"/>
        <v>0</v>
      </c>
      <c r="I402" s="66">
        <f>C404*Scoring!$B$36+TE!D404/Scoring!$C$36+TE!E404*Scoring!$D$36+TE!F404*Scoring!$E$36+H404*Scoring!$F$36</f>
        <v>0</v>
      </c>
      <c r="J402" s="66">
        <f>C402*Scoring!$B$36+TE!D402/Scoring!$C$36+TE!E402*Scoring!$D$36+TE!F402*Scoring!$E$36+H402*Scoring!$F$36</f>
        <v>0</v>
      </c>
      <c r="K402" s="66">
        <f>C403*Scoring!$B$36+TE!D403/Scoring!$C$36+TE!E403*Scoring!$D$36+TE!F403*Scoring!$E$36+H403*Scoring!$F$36</f>
        <v>0</v>
      </c>
    </row>
    <row r="403" spans="8:11" ht="14.25" customHeight="1" x14ac:dyDescent="0.3">
      <c r="H403" s="64">
        <f t="shared" si="6"/>
        <v>0</v>
      </c>
      <c r="I403" s="68"/>
      <c r="J403" s="68"/>
      <c r="K403" s="68"/>
    </row>
    <row r="404" spans="8:11" ht="14.25" customHeight="1" x14ac:dyDescent="0.3">
      <c r="H404" s="64">
        <f t="shared" si="6"/>
        <v>0</v>
      </c>
      <c r="I404" s="68"/>
      <c r="J404" s="68"/>
      <c r="K404" s="68"/>
    </row>
    <row r="405" spans="8:11" ht="14.25" customHeight="1" x14ac:dyDescent="0.3">
      <c r="H405" s="64">
        <f t="shared" si="6"/>
        <v>0</v>
      </c>
      <c r="I405" s="66">
        <f>C407*Scoring!$B$36+TE!D407/Scoring!$C$36+TE!E407*Scoring!$D$36+TE!F407*Scoring!$E$36+H407*Scoring!$F$36</f>
        <v>0</v>
      </c>
      <c r="J405" s="66">
        <f>C405*Scoring!$B$36+TE!D405/Scoring!$C$36+TE!E405*Scoring!$D$36+TE!F405*Scoring!$E$36+H405*Scoring!$F$36</f>
        <v>0</v>
      </c>
      <c r="K405" s="66">
        <f>C406*Scoring!$B$36+TE!D406/Scoring!$C$36+TE!E406*Scoring!$D$36+TE!F406*Scoring!$E$36+H406*Scoring!$F$36</f>
        <v>0</v>
      </c>
    </row>
    <row r="406" spans="8:11" ht="14.25" customHeight="1" x14ac:dyDescent="0.3">
      <c r="H406" s="64">
        <f t="shared" si="6"/>
        <v>0</v>
      </c>
      <c r="I406" s="68"/>
      <c r="J406" s="68"/>
      <c r="K406" s="68"/>
    </row>
    <row r="407" spans="8:11" ht="14.25" customHeight="1" x14ac:dyDescent="0.3">
      <c r="H407" s="64">
        <f t="shared" si="6"/>
        <v>0</v>
      </c>
      <c r="I407" s="68"/>
      <c r="J407" s="68"/>
      <c r="K407" s="68"/>
    </row>
    <row r="408" spans="8:11" ht="14.25" customHeight="1" x14ac:dyDescent="0.3">
      <c r="H408" s="64">
        <f t="shared" si="6"/>
        <v>0</v>
      </c>
      <c r="I408" s="66">
        <f>C410*Scoring!$B$36+TE!D410/Scoring!$C$36+TE!E410*Scoring!$D$36+TE!F410*Scoring!$E$36+H410*Scoring!$F$36</f>
        <v>0</v>
      </c>
      <c r="J408" s="66">
        <f>C408*Scoring!$B$36+TE!D408/Scoring!$C$36+TE!E408*Scoring!$D$36+TE!F408*Scoring!$E$36+H408*Scoring!$F$36</f>
        <v>0</v>
      </c>
      <c r="K408" s="66">
        <f>C409*Scoring!$B$36+TE!D409/Scoring!$C$36+TE!E409*Scoring!$D$36+TE!F409*Scoring!$E$36+H409*Scoring!$F$36</f>
        <v>0</v>
      </c>
    </row>
    <row r="409" spans="8:11" ht="14.25" customHeight="1" x14ac:dyDescent="0.3">
      <c r="H409" s="64">
        <f t="shared" si="6"/>
        <v>0</v>
      </c>
      <c r="I409" s="68"/>
      <c r="J409" s="68"/>
      <c r="K409" s="68"/>
    </row>
    <row r="410" spans="8:11" ht="14.25" customHeight="1" x14ac:dyDescent="0.3">
      <c r="H410" s="64">
        <f t="shared" si="6"/>
        <v>0</v>
      </c>
      <c r="I410" s="68"/>
      <c r="J410" s="68"/>
      <c r="K410" s="68"/>
    </row>
    <row r="411" spans="8:11" ht="14.25" customHeight="1" x14ac:dyDescent="0.3">
      <c r="H411" s="64">
        <f t="shared" si="6"/>
        <v>0</v>
      </c>
      <c r="I411" s="66">
        <f>C413*Scoring!$B$36+TE!D413/Scoring!$C$36+TE!E413*Scoring!$D$36+TE!F413*Scoring!$E$36+H413*Scoring!$F$36</f>
        <v>0</v>
      </c>
      <c r="J411" s="66">
        <f>C411*Scoring!$B$36+TE!D411/Scoring!$C$36+TE!E411*Scoring!$D$36+TE!F411*Scoring!$E$36+H411*Scoring!$F$36</f>
        <v>0</v>
      </c>
      <c r="K411" s="66">
        <f>C412*Scoring!$B$36+TE!D412/Scoring!$C$36+TE!E412*Scoring!$D$36+TE!F412*Scoring!$E$36+H412*Scoring!$F$36</f>
        <v>0</v>
      </c>
    </row>
    <row r="412" spans="8:11" ht="14.25" customHeight="1" x14ac:dyDescent="0.3">
      <c r="H412" s="64">
        <f t="shared" si="6"/>
        <v>0</v>
      </c>
      <c r="I412" s="68"/>
      <c r="J412" s="68"/>
      <c r="K412" s="68"/>
    </row>
    <row r="413" spans="8:11" ht="14.25" customHeight="1" x14ac:dyDescent="0.3">
      <c r="H413" s="64">
        <f t="shared" si="6"/>
        <v>0</v>
      </c>
      <c r="I413" s="68"/>
      <c r="J413" s="68"/>
      <c r="K413" s="68"/>
    </row>
    <row r="414" spans="8:11" ht="14.25" customHeight="1" x14ac:dyDescent="0.3">
      <c r="H414" s="64">
        <f t="shared" si="6"/>
        <v>0</v>
      </c>
      <c r="I414" s="66">
        <f>C416*Scoring!$B$36+TE!D416/Scoring!$C$36+TE!E416*Scoring!$D$36+TE!F416*Scoring!$E$36+H416*Scoring!$F$36</f>
        <v>0</v>
      </c>
      <c r="J414" s="66">
        <f>C414*Scoring!$B$36+TE!D414/Scoring!$C$36+TE!E414*Scoring!$D$36+TE!F414*Scoring!$E$36+H414*Scoring!$F$36</f>
        <v>0</v>
      </c>
      <c r="K414" s="66">
        <f>C415*Scoring!$B$36+TE!D415/Scoring!$C$36+TE!E415*Scoring!$D$36+TE!F415*Scoring!$E$36+H415*Scoring!$F$36</f>
        <v>0</v>
      </c>
    </row>
    <row r="415" spans="8:11" ht="14.25" customHeight="1" x14ac:dyDescent="0.3">
      <c r="H415" s="64">
        <f t="shared" si="6"/>
        <v>0</v>
      </c>
      <c r="I415" s="68"/>
      <c r="J415" s="68"/>
      <c r="K415" s="68"/>
    </row>
    <row r="416" spans="8:11" ht="14.25" customHeight="1" x14ac:dyDescent="0.3">
      <c r="H416" s="64">
        <f t="shared" si="6"/>
        <v>0</v>
      </c>
      <c r="I416" s="68"/>
      <c r="J416" s="68"/>
      <c r="K416" s="68"/>
    </row>
    <row r="417" spans="8:11" ht="14.25" customHeight="1" x14ac:dyDescent="0.3">
      <c r="H417" s="64">
        <f t="shared" si="6"/>
        <v>0</v>
      </c>
      <c r="I417" s="66">
        <f>C419*Scoring!$B$36+TE!D419/Scoring!$C$36+TE!E419*Scoring!$D$36+TE!F419*Scoring!$E$36+H419*Scoring!$F$36</f>
        <v>0</v>
      </c>
      <c r="J417" s="66">
        <f>C417*Scoring!$B$36+TE!D417/Scoring!$C$36+TE!E417*Scoring!$D$36+TE!F417*Scoring!$E$36+H417*Scoring!$F$36</f>
        <v>0</v>
      </c>
      <c r="K417" s="66">
        <f>C418*Scoring!$B$36+TE!D418/Scoring!$C$36+TE!E418*Scoring!$D$36+TE!F418*Scoring!$E$36+H418*Scoring!$F$36</f>
        <v>0</v>
      </c>
    </row>
    <row r="418" spans="8:11" ht="14.25" customHeight="1" x14ac:dyDescent="0.3">
      <c r="H418" s="64">
        <f t="shared" si="6"/>
        <v>0</v>
      </c>
      <c r="I418" s="68"/>
      <c r="J418" s="68"/>
      <c r="K418" s="68"/>
    </row>
    <row r="419" spans="8:11" ht="14.25" customHeight="1" x14ac:dyDescent="0.3">
      <c r="H419" s="64">
        <f t="shared" si="6"/>
        <v>0</v>
      </c>
      <c r="I419" s="68"/>
      <c r="J419" s="68"/>
      <c r="K419" s="68"/>
    </row>
    <row r="420" spans="8:11" ht="14.25" customHeight="1" x14ac:dyDescent="0.3">
      <c r="H420" s="64">
        <f t="shared" si="6"/>
        <v>0</v>
      </c>
      <c r="I420" s="66">
        <f>C422*Scoring!$B$36+TE!D422/Scoring!$C$36+TE!E422*Scoring!$D$36+TE!F422*Scoring!$E$36+H422*Scoring!$F$36</f>
        <v>0</v>
      </c>
      <c r="J420" s="66">
        <f>C420*Scoring!$B$36+TE!D420/Scoring!$C$36+TE!E420*Scoring!$D$36+TE!F420*Scoring!$E$36+H420*Scoring!$F$36</f>
        <v>0</v>
      </c>
      <c r="K420" s="66">
        <f>C421*Scoring!$B$36+TE!D421/Scoring!$C$36+TE!E421*Scoring!$D$36+TE!F421*Scoring!$E$36+H421*Scoring!$F$36</f>
        <v>0</v>
      </c>
    </row>
    <row r="421" spans="8:11" ht="14.25" customHeight="1" x14ac:dyDescent="0.3">
      <c r="H421" s="64">
        <f t="shared" si="6"/>
        <v>0</v>
      </c>
      <c r="I421" s="68"/>
      <c r="J421" s="68"/>
      <c r="K421" s="68"/>
    </row>
    <row r="422" spans="8:11" ht="14.25" customHeight="1" x14ac:dyDescent="0.3">
      <c r="H422" s="64">
        <f t="shared" si="6"/>
        <v>0</v>
      </c>
      <c r="I422" s="68"/>
      <c r="J422" s="68"/>
      <c r="K422" s="68"/>
    </row>
    <row r="423" spans="8:11" ht="14.25" customHeight="1" x14ac:dyDescent="0.3">
      <c r="H423" s="64">
        <f t="shared" si="6"/>
        <v>0</v>
      </c>
      <c r="I423" s="66">
        <f>C425*Scoring!$B$36+TE!D425/Scoring!$C$36+TE!E425*Scoring!$D$36+TE!F425*Scoring!$E$36+H425*Scoring!$F$36</f>
        <v>0</v>
      </c>
      <c r="J423" s="66">
        <f>C423*Scoring!$B$36+TE!D423/Scoring!$C$36+TE!E423*Scoring!$D$36+TE!F423*Scoring!$E$36+H423*Scoring!$F$36</f>
        <v>0</v>
      </c>
      <c r="K423" s="66">
        <f>C424*Scoring!$B$36+TE!D424/Scoring!$C$36+TE!E424*Scoring!$D$36+TE!F424*Scoring!$E$36+H424*Scoring!$F$36</f>
        <v>0</v>
      </c>
    </row>
    <row r="424" spans="8:11" ht="14.25" customHeight="1" x14ac:dyDescent="0.3">
      <c r="H424" s="64">
        <f t="shared" si="6"/>
        <v>0</v>
      </c>
      <c r="I424" s="68"/>
      <c r="J424" s="68"/>
      <c r="K424" s="68"/>
    </row>
    <row r="425" spans="8:11" ht="14.25" customHeight="1" x14ac:dyDescent="0.3">
      <c r="H425" s="64">
        <f t="shared" si="6"/>
        <v>0</v>
      </c>
      <c r="I425" s="68"/>
      <c r="J425" s="68"/>
      <c r="K425" s="68"/>
    </row>
    <row r="426" spans="8:11" ht="14.25" customHeight="1" x14ac:dyDescent="0.3">
      <c r="H426" s="64">
        <f t="shared" si="6"/>
        <v>0</v>
      </c>
      <c r="I426" s="66">
        <f>C428*Scoring!$B$36+TE!D428/Scoring!$C$36+TE!E428*Scoring!$D$36+TE!F428*Scoring!$E$36+H428*Scoring!$F$36</f>
        <v>0</v>
      </c>
      <c r="J426" s="66">
        <f>C426*Scoring!$B$36+TE!D426/Scoring!$C$36+TE!E426*Scoring!$D$36+TE!F426*Scoring!$E$36+H426*Scoring!$F$36</f>
        <v>0</v>
      </c>
      <c r="K426" s="66">
        <f>C427*Scoring!$B$36+TE!D427/Scoring!$C$36+TE!E427*Scoring!$D$36+TE!F427*Scoring!$E$36+H427*Scoring!$F$36</f>
        <v>0</v>
      </c>
    </row>
    <row r="427" spans="8:11" ht="14.25" customHeight="1" x14ac:dyDescent="0.3">
      <c r="H427" s="64">
        <f t="shared" si="6"/>
        <v>0</v>
      </c>
      <c r="I427" s="68"/>
      <c r="J427" s="68"/>
      <c r="K427" s="68"/>
    </row>
    <row r="428" spans="8:11" ht="14.25" customHeight="1" x14ac:dyDescent="0.3">
      <c r="H428" s="64">
        <f t="shared" si="6"/>
        <v>0</v>
      </c>
      <c r="I428" s="68"/>
      <c r="J428" s="68"/>
      <c r="K428" s="68"/>
    </row>
    <row r="429" spans="8:11" ht="14.25" customHeight="1" x14ac:dyDescent="0.3">
      <c r="H429" s="64">
        <f t="shared" si="6"/>
        <v>0</v>
      </c>
      <c r="I429" s="66">
        <f>C431*Scoring!$B$36+TE!D431/Scoring!$C$36+TE!E431*Scoring!$D$36+TE!F431*Scoring!$E$36+H431*Scoring!$F$36</f>
        <v>0</v>
      </c>
      <c r="J429" s="66">
        <f>C429*Scoring!$B$36+TE!D429/Scoring!$C$36+TE!E429*Scoring!$D$36+TE!F429*Scoring!$E$36+H429*Scoring!$F$36</f>
        <v>0</v>
      </c>
      <c r="K429" s="66">
        <f>C430*Scoring!$B$36+TE!D430/Scoring!$C$36+TE!E430*Scoring!$D$36+TE!F430*Scoring!$E$36+H430*Scoring!$F$36</f>
        <v>0</v>
      </c>
    </row>
    <row r="430" spans="8:11" ht="14.25" customHeight="1" x14ac:dyDescent="0.3">
      <c r="H430" s="64">
        <f t="shared" si="6"/>
        <v>0</v>
      </c>
      <c r="I430" s="68"/>
      <c r="J430" s="68"/>
      <c r="K430" s="68"/>
    </row>
    <row r="431" spans="8:11" ht="14.25" customHeight="1" x14ac:dyDescent="0.3">
      <c r="H431" s="64">
        <f t="shared" si="6"/>
        <v>0</v>
      </c>
      <c r="I431" s="68"/>
      <c r="J431" s="68"/>
      <c r="K431" s="68"/>
    </row>
    <row r="432" spans="8:11" ht="14.25" customHeight="1" x14ac:dyDescent="0.3">
      <c r="H432" s="64">
        <f t="shared" si="6"/>
        <v>0</v>
      </c>
      <c r="I432" s="66">
        <f>C434*Scoring!$B$36+TE!D434/Scoring!$C$36+TE!E434*Scoring!$D$36+TE!F434*Scoring!$E$36+H434*Scoring!$F$36</f>
        <v>0</v>
      </c>
      <c r="J432" s="66">
        <f>C432*Scoring!$B$36+TE!D432/Scoring!$C$36+TE!E432*Scoring!$D$36+TE!F432*Scoring!$E$36+H432*Scoring!$F$36</f>
        <v>0</v>
      </c>
      <c r="K432" s="66">
        <f>C433*Scoring!$B$36+TE!D433/Scoring!$C$36+TE!E433*Scoring!$D$36+TE!F433*Scoring!$E$36+H433*Scoring!$F$36</f>
        <v>0</v>
      </c>
    </row>
    <row r="433" spans="8:11" ht="14.25" customHeight="1" x14ac:dyDescent="0.3">
      <c r="H433" s="64">
        <f t="shared" si="6"/>
        <v>0</v>
      </c>
      <c r="I433" s="68"/>
      <c r="J433" s="68"/>
      <c r="K433" s="68"/>
    </row>
    <row r="434" spans="8:11" ht="14.25" customHeight="1" x14ac:dyDescent="0.3">
      <c r="H434" s="64">
        <f t="shared" si="6"/>
        <v>0</v>
      </c>
      <c r="I434" s="68"/>
      <c r="J434" s="68"/>
      <c r="K434" s="68"/>
    </row>
    <row r="435" spans="8:11" ht="14.25" customHeight="1" x14ac:dyDescent="0.3">
      <c r="H435" s="64">
        <f t="shared" si="6"/>
        <v>0</v>
      </c>
      <c r="I435" s="66">
        <f>C437*Scoring!$B$36+TE!D437/Scoring!$C$36+TE!E437*Scoring!$D$36+TE!F437*Scoring!$E$36+H437*Scoring!$F$36</f>
        <v>0</v>
      </c>
      <c r="J435" s="66">
        <f>C435*Scoring!$B$36+TE!D435/Scoring!$C$36+TE!E435*Scoring!$D$36+TE!F435*Scoring!$E$36+H435*Scoring!$F$36</f>
        <v>0</v>
      </c>
      <c r="K435" s="66">
        <f>C436*Scoring!$B$36+TE!D436/Scoring!$C$36+TE!E436*Scoring!$D$36+TE!F436*Scoring!$E$36+H436*Scoring!$F$36</f>
        <v>0</v>
      </c>
    </row>
    <row r="436" spans="8:11" ht="14.25" customHeight="1" x14ac:dyDescent="0.3">
      <c r="H436" s="64">
        <f t="shared" si="6"/>
        <v>0</v>
      </c>
      <c r="I436" s="68"/>
      <c r="J436" s="68"/>
      <c r="K436" s="68"/>
    </row>
    <row r="437" spans="8:11" ht="14.25" customHeight="1" x14ac:dyDescent="0.3">
      <c r="H437" s="64">
        <f t="shared" si="6"/>
        <v>0</v>
      </c>
      <c r="I437" s="68"/>
      <c r="J437" s="68"/>
      <c r="K437" s="68"/>
    </row>
    <row r="438" spans="8:11" ht="14.25" customHeight="1" x14ac:dyDescent="0.3">
      <c r="H438" s="64">
        <f t="shared" si="6"/>
        <v>0</v>
      </c>
      <c r="I438" s="66">
        <f>C440*Scoring!$B$36+TE!D440/Scoring!$C$36+TE!E440*Scoring!$D$36+TE!F440*Scoring!$E$36+H440*Scoring!$F$36</f>
        <v>0</v>
      </c>
      <c r="J438" s="66">
        <f>C438*Scoring!$B$36+TE!D438/Scoring!$C$36+TE!E438*Scoring!$D$36+TE!F438*Scoring!$E$36+H438*Scoring!$F$36</f>
        <v>0</v>
      </c>
      <c r="K438" s="66">
        <f>C439*Scoring!$B$36+TE!D439/Scoring!$C$36+TE!E439*Scoring!$D$36+TE!F439*Scoring!$E$36+H439*Scoring!$F$36</f>
        <v>0</v>
      </c>
    </row>
    <row r="439" spans="8:11" ht="14.25" customHeight="1" x14ac:dyDescent="0.3">
      <c r="H439" s="64">
        <f t="shared" si="6"/>
        <v>0</v>
      </c>
      <c r="I439" s="68"/>
      <c r="J439" s="68"/>
      <c r="K439" s="68"/>
    </row>
    <row r="440" spans="8:11" ht="14.25" customHeight="1" x14ac:dyDescent="0.3">
      <c r="H440" s="64">
        <f t="shared" si="6"/>
        <v>0</v>
      </c>
      <c r="I440" s="68"/>
      <c r="J440" s="68"/>
      <c r="K440" s="68"/>
    </row>
    <row r="441" spans="8:11" ht="14.25" customHeight="1" x14ac:dyDescent="0.3">
      <c r="H441" s="64">
        <f t="shared" si="6"/>
        <v>0</v>
      </c>
      <c r="I441" s="66">
        <f>C443*Scoring!$B$36+TE!D443/Scoring!$C$36+TE!E443*Scoring!$D$36+TE!F443*Scoring!$E$36+H443*Scoring!$F$36</f>
        <v>0</v>
      </c>
      <c r="J441" s="66">
        <f>C441*Scoring!$B$36+TE!D441/Scoring!$C$36+TE!E441*Scoring!$D$36+TE!F441*Scoring!$E$36+H441*Scoring!$F$36</f>
        <v>0</v>
      </c>
      <c r="K441" s="66">
        <f>C442*Scoring!$B$36+TE!D442/Scoring!$C$36+TE!E442*Scoring!$D$36+TE!F442*Scoring!$E$36+H442*Scoring!$F$36</f>
        <v>0</v>
      </c>
    </row>
    <row r="442" spans="8:11" ht="14.25" customHeight="1" x14ac:dyDescent="0.3">
      <c r="H442" s="64">
        <f t="shared" si="6"/>
        <v>0</v>
      </c>
      <c r="I442" s="68"/>
      <c r="J442" s="68"/>
      <c r="K442" s="68"/>
    </row>
    <row r="443" spans="8:11" ht="14.25" customHeight="1" x14ac:dyDescent="0.3">
      <c r="H443" s="64">
        <f t="shared" si="6"/>
        <v>0</v>
      </c>
      <c r="I443" s="68"/>
      <c r="J443" s="68"/>
      <c r="K443" s="68"/>
    </row>
    <row r="444" spans="8:11" ht="14.25" customHeight="1" x14ac:dyDescent="0.3">
      <c r="H444" s="64">
        <f t="shared" si="6"/>
        <v>0</v>
      </c>
      <c r="I444" s="66">
        <f>C446*Scoring!$B$36+TE!D446/Scoring!$C$36+TE!E446*Scoring!$D$36+TE!F446*Scoring!$E$36+H446*Scoring!$F$36</f>
        <v>0</v>
      </c>
      <c r="J444" s="66">
        <f>C444*Scoring!$B$36+TE!D444/Scoring!$C$36+TE!E444*Scoring!$D$36+TE!F444*Scoring!$E$36+H444*Scoring!$F$36</f>
        <v>0</v>
      </c>
      <c r="K444" s="66">
        <f>C445*Scoring!$B$36+TE!D445/Scoring!$C$36+TE!E445*Scoring!$D$36+TE!F445*Scoring!$E$36+H445*Scoring!$F$36</f>
        <v>0</v>
      </c>
    </row>
    <row r="445" spans="8:11" ht="14.25" customHeight="1" x14ac:dyDescent="0.3">
      <c r="H445" s="64">
        <f t="shared" si="6"/>
        <v>0</v>
      </c>
      <c r="I445" s="68"/>
      <c r="J445" s="68"/>
      <c r="K445" s="68"/>
    </row>
    <row r="446" spans="8:11" ht="14.25" customHeight="1" x14ac:dyDescent="0.3">
      <c r="H446" s="64">
        <f t="shared" si="6"/>
        <v>0</v>
      </c>
      <c r="I446" s="68"/>
      <c r="J446" s="68"/>
      <c r="K446" s="68"/>
    </row>
    <row r="447" spans="8:11" ht="14.25" customHeight="1" x14ac:dyDescent="0.3">
      <c r="H447" s="64">
        <f t="shared" si="6"/>
        <v>0</v>
      </c>
      <c r="I447" s="66">
        <f>C449*Scoring!$B$36+TE!D449/Scoring!$C$36+TE!E449*Scoring!$D$36+TE!F449*Scoring!$E$36+H449*Scoring!$F$36</f>
        <v>0</v>
      </c>
      <c r="J447" s="66">
        <f>C447*Scoring!$B$36+TE!D447/Scoring!$C$36+TE!E447*Scoring!$D$36+TE!F447*Scoring!$E$36+H447*Scoring!$F$36</f>
        <v>0</v>
      </c>
      <c r="K447" s="66">
        <f>C448*Scoring!$B$36+TE!D448/Scoring!$C$36+TE!E448*Scoring!$D$36+TE!F448*Scoring!$E$36+H448*Scoring!$F$36</f>
        <v>0</v>
      </c>
    </row>
    <row r="448" spans="8:11" ht="14.25" customHeight="1" x14ac:dyDescent="0.3">
      <c r="H448" s="64">
        <f t="shared" si="6"/>
        <v>0</v>
      </c>
      <c r="I448" s="68"/>
      <c r="J448" s="68"/>
      <c r="K448" s="68"/>
    </row>
    <row r="449" spans="8:11" ht="14.25" customHeight="1" x14ac:dyDescent="0.3">
      <c r="H449" s="64">
        <f t="shared" si="6"/>
        <v>0</v>
      </c>
      <c r="I449" s="68"/>
      <c r="J449" s="68"/>
      <c r="K449" s="68"/>
    </row>
    <row r="450" spans="8:11" ht="14.25" customHeight="1" x14ac:dyDescent="0.3">
      <c r="H450" s="64">
        <f t="shared" si="6"/>
        <v>0</v>
      </c>
      <c r="I450" s="66">
        <f>C452*Scoring!$B$36+TE!D452/Scoring!$C$36+TE!E452*Scoring!$D$36+TE!F452*Scoring!$E$36+H452*Scoring!$F$36</f>
        <v>0</v>
      </c>
      <c r="J450" s="66">
        <f>C450*Scoring!$B$36+TE!D450/Scoring!$C$36+TE!E450*Scoring!$D$36+TE!F450*Scoring!$E$36+H450*Scoring!$F$36</f>
        <v>0</v>
      </c>
      <c r="K450" s="66">
        <f>C451*Scoring!$B$36+TE!D451/Scoring!$C$36+TE!E451*Scoring!$D$36+TE!F451*Scoring!$E$36+H451*Scoring!$F$36</f>
        <v>0</v>
      </c>
    </row>
    <row r="451" spans="8:11" ht="14.25" customHeight="1" x14ac:dyDescent="0.3">
      <c r="H451" s="64">
        <f t="shared" ref="H451:H470" si="7">IFERROR(D451/C451/11.1*0.585*C451,0)</f>
        <v>0</v>
      </c>
      <c r="I451" s="68"/>
      <c r="J451" s="68"/>
      <c r="K451" s="68"/>
    </row>
    <row r="452" spans="8:11" ht="14.25" customHeight="1" x14ac:dyDescent="0.3">
      <c r="H452" s="64">
        <f t="shared" si="7"/>
        <v>0</v>
      </c>
      <c r="I452" s="68"/>
      <c r="J452" s="68"/>
      <c r="K452" s="68"/>
    </row>
    <row r="453" spans="8:11" ht="14.25" customHeight="1" x14ac:dyDescent="0.3">
      <c r="H453" s="64">
        <f t="shared" si="7"/>
        <v>0</v>
      </c>
      <c r="I453" s="66">
        <f>C455*Scoring!$B$36+TE!D455/Scoring!$C$36+TE!E455*Scoring!$D$36+TE!F455*Scoring!$E$36+H455*Scoring!$F$36</f>
        <v>0</v>
      </c>
      <c r="J453" s="66">
        <f>C453*Scoring!$B$36+TE!D453/Scoring!$C$36+TE!E453*Scoring!$D$36+TE!F453*Scoring!$E$36+H453*Scoring!$F$36</f>
        <v>0</v>
      </c>
      <c r="K453" s="66">
        <f>C454*Scoring!$B$36+TE!D454/Scoring!$C$36+TE!E454*Scoring!$D$36+TE!F454*Scoring!$E$36+H454*Scoring!$F$36</f>
        <v>0</v>
      </c>
    </row>
    <row r="454" spans="8:11" ht="14.25" customHeight="1" x14ac:dyDescent="0.3">
      <c r="H454" s="64">
        <f t="shared" si="7"/>
        <v>0</v>
      </c>
      <c r="I454" s="68"/>
      <c r="J454" s="68"/>
      <c r="K454" s="68"/>
    </row>
    <row r="455" spans="8:11" ht="14.25" customHeight="1" x14ac:dyDescent="0.3">
      <c r="H455" s="64">
        <f t="shared" si="7"/>
        <v>0</v>
      </c>
      <c r="I455" s="68"/>
      <c r="J455" s="68"/>
      <c r="K455" s="68"/>
    </row>
    <row r="456" spans="8:11" ht="14.25" customHeight="1" x14ac:dyDescent="0.3">
      <c r="H456" s="64">
        <f t="shared" si="7"/>
        <v>0</v>
      </c>
      <c r="I456" s="66">
        <f>C458*Scoring!$B$36+TE!D458/Scoring!$C$36+TE!E458*Scoring!$D$36+TE!F458*Scoring!$E$36+H458*Scoring!$F$36</f>
        <v>0</v>
      </c>
      <c r="J456" s="66">
        <f>C456*Scoring!$B$36+TE!D456/Scoring!$C$36+TE!E456*Scoring!$D$36+TE!F456*Scoring!$E$36+H456*Scoring!$F$36</f>
        <v>0</v>
      </c>
      <c r="K456" s="66">
        <f>C457*Scoring!$B$36+TE!D457/Scoring!$C$36+TE!E457*Scoring!$D$36+TE!F457*Scoring!$E$36+H457*Scoring!$F$36</f>
        <v>0</v>
      </c>
    </row>
    <row r="457" spans="8:11" ht="14.25" customHeight="1" x14ac:dyDescent="0.3">
      <c r="H457" s="64">
        <f t="shared" si="7"/>
        <v>0</v>
      </c>
      <c r="I457" s="68"/>
      <c r="J457" s="68"/>
      <c r="K457" s="68"/>
    </row>
    <row r="458" spans="8:11" ht="14.25" customHeight="1" x14ac:dyDescent="0.3">
      <c r="H458" s="64">
        <f t="shared" si="7"/>
        <v>0</v>
      </c>
      <c r="I458" s="68"/>
      <c r="J458" s="68"/>
      <c r="K458" s="68"/>
    </row>
    <row r="459" spans="8:11" ht="14.25" customHeight="1" x14ac:dyDescent="0.3">
      <c r="H459" s="64">
        <f t="shared" si="7"/>
        <v>0</v>
      </c>
      <c r="I459" s="66">
        <f>C461*Scoring!$B$36+TE!D461/Scoring!$C$36+TE!E461*Scoring!$D$36+TE!F461*Scoring!$E$36+H461*Scoring!$F$36</f>
        <v>0</v>
      </c>
      <c r="J459" s="66">
        <f>C459*Scoring!$B$36+TE!D459/Scoring!$C$36+TE!E459*Scoring!$D$36+TE!F459*Scoring!$E$36+H459*Scoring!$F$36</f>
        <v>0</v>
      </c>
      <c r="K459" s="66">
        <f>C460*Scoring!$B$36+TE!D460/Scoring!$C$36+TE!E460*Scoring!$D$36+TE!F460*Scoring!$E$36+H460*Scoring!$F$36</f>
        <v>0</v>
      </c>
    </row>
    <row r="460" spans="8:11" ht="14.25" customHeight="1" x14ac:dyDescent="0.3">
      <c r="H460" s="64">
        <f t="shared" si="7"/>
        <v>0</v>
      </c>
      <c r="I460" s="68"/>
      <c r="J460" s="68"/>
      <c r="K460" s="68"/>
    </row>
    <row r="461" spans="8:11" ht="14.25" customHeight="1" x14ac:dyDescent="0.3">
      <c r="H461" s="64">
        <f t="shared" si="7"/>
        <v>0</v>
      </c>
      <c r="I461" s="68"/>
      <c r="J461" s="68"/>
      <c r="K461" s="68"/>
    </row>
    <row r="462" spans="8:11" ht="14.25" customHeight="1" x14ac:dyDescent="0.3">
      <c r="H462" s="64">
        <f t="shared" si="7"/>
        <v>0</v>
      </c>
      <c r="I462" s="66">
        <f>C464*Scoring!$B$36+TE!D464/Scoring!$C$36+TE!E464*Scoring!$D$36+TE!F464*Scoring!$E$36+H464*Scoring!$F$36</f>
        <v>0</v>
      </c>
      <c r="J462" s="66">
        <f>C462*Scoring!$B$36+TE!D462/Scoring!$C$36+TE!E462*Scoring!$D$36+TE!F462*Scoring!$E$36+H462*Scoring!$F$36</f>
        <v>0</v>
      </c>
      <c r="K462" s="66">
        <f>C463*Scoring!$B$36+TE!D463/Scoring!$C$36+TE!E463*Scoring!$D$36+TE!F463*Scoring!$E$36+H463*Scoring!$F$36</f>
        <v>0</v>
      </c>
    </row>
    <row r="463" spans="8:11" ht="14.25" customHeight="1" x14ac:dyDescent="0.3">
      <c r="H463" s="64">
        <f t="shared" si="7"/>
        <v>0</v>
      </c>
      <c r="I463" s="68"/>
      <c r="J463" s="68"/>
      <c r="K463" s="68"/>
    </row>
    <row r="464" spans="8:11" ht="14.25" customHeight="1" x14ac:dyDescent="0.3">
      <c r="H464" s="64">
        <f t="shared" si="7"/>
        <v>0</v>
      </c>
      <c r="I464" s="68"/>
      <c r="J464" s="68"/>
      <c r="K464" s="68"/>
    </row>
    <row r="465" spans="8:11" ht="14.25" customHeight="1" x14ac:dyDescent="0.3">
      <c r="H465" s="64">
        <f t="shared" si="7"/>
        <v>0</v>
      </c>
      <c r="I465" s="66">
        <f>C467*Scoring!$B$36+TE!D467/Scoring!$C$36+TE!E467*Scoring!$D$36+TE!F467*Scoring!$E$36+H467*Scoring!$F$36</f>
        <v>0</v>
      </c>
      <c r="J465" s="66">
        <f>C465*Scoring!$B$36+TE!D465/Scoring!$C$36+TE!E465*Scoring!$D$36+TE!F465*Scoring!$E$36+H465*Scoring!$F$36</f>
        <v>0</v>
      </c>
      <c r="K465" s="66">
        <f>C466*Scoring!$B$36+TE!D466/Scoring!$C$36+TE!E466*Scoring!$D$36+TE!F466*Scoring!$E$36+H466*Scoring!$F$36</f>
        <v>0</v>
      </c>
    </row>
    <row r="466" spans="8:11" ht="14.25" customHeight="1" x14ac:dyDescent="0.3">
      <c r="H466" s="64">
        <f t="shared" si="7"/>
        <v>0</v>
      </c>
      <c r="I466" s="68"/>
      <c r="J466" s="68"/>
      <c r="K466" s="68"/>
    </row>
    <row r="467" spans="8:11" ht="14.25" customHeight="1" x14ac:dyDescent="0.3">
      <c r="H467" s="64">
        <f t="shared" si="7"/>
        <v>0</v>
      </c>
      <c r="I467" s="68"/>
      <c r="J467" s="68"/>
      <c r="K467" s="68"/>
    </row>
    <row r="468" spans="8:11" ht="14.25" customHeight="1" x14ac:dyDescent="0.3">
      <c r="H468" s="64">
        <f t="shared" si="7"/>
        <v>0</v>
      </c>
      <c r="I468" s="66">
        <f>C470*Scoring!$B$36+TE!D470/Scoring!$C$36+TE!E470*Scoring!$D$36+TE!F470*Scoring!$E$36+H470*Scoring!$F$36</f>
        <v>0</v>
      </c>
      <c r="J468" s="66">
        <f>C468*Scoring!$B$36+TE!D468/Scoring!$C$36+TE!E468*Scoring!$D$36+TE!F468*Scoring!$E$36+H468*Scoring!$F$36</f>
        <v>0</v>
      </c>
      <c r="K468" s="66">
        <f>C469*Scoring!$B$36+TE!D469/Scoring!$C$36+TE!E469*Scoring!$D$36+TE!F469*Scoring!$E$36+H469*Scoring!$F$36</f>
        <v>0</v>
      </c>
    </row>
    <row r="469" spans="8:11" ht="14.25" customHeight="1" x14ac:dyDescent="0.3">
      <c r="H469" s="64">
        <f t="shared" si="7"/>
        <v>0</v>
      </c>
      <c r="I469" s="68"/>
      <c r="J469" s="68"/>
      <c r="K469" s="68"/>
    </row>
    <row r="470" spans="8:11" ht="14.25" customHeight="1" x14ac:dyDescent="0.3">
      <c r="H470" s="64">
        <f t="shared" si="7"/>
        <v>0</v>
      </c>
      <c r="I470" s="68"/>
      <c r="J470" s="68"/>
      <c r="K470" s="6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949"/>
  <sheetViews>
    <sheetView zoomScaleNormal="100" workbookViewId="0">
      <selection activeCell="I16" sqref="I16"/>
    </sheetView>
  </sheetViews>
  <sheetFormatPr defaultColWidth="8.5546875" defaultRowHeight="14.4" x14ac:dyDescent="0.3"/>
  <cols>
    <col min="1" max="10" width="8.88671875"/>
    <col min="11" max="11" width="4" bestFit="1" customWidth="1"/>
    <col min="12" max="12" width="22" customWidth="1"/>
    <col min="13" max="13" width="10.21875" style="20" bestFit="1" customWidth="1"/>
    <col min="14" max="14" width="5.109375" style="20" bestFit="1" customWidth="1"/>
    <col min="17" max="17" width="6.77734375" style="20" bestFit="1" customWidth="1"/>
    <col min="18" max="18" width="4" style="20" bestFit="1" customWidth="1"/>
    <col min="19" max="20" width="8.5546875" style="20"/>
  </cols>
  <sheetData>
    <row r="1" spans="1:18" ht="14.25" customHeight="1" x14ac:dyDescent="0.3">
      <c r="A1" t="s">
        <v>1013</v>
      </c>
      <c r="B1" t="s">
        <v>1014</v>
      </c>
      <c r="C1" t="s">
        <v>1015</v>
      </c>
      <c r="D1" t="s">
        <v>1016</v>
      </c>
      <c r="E1" t="s">
        <v>1017</v>
      </c>
      <c r="F1" t="s">
        <v>1018</v>
      </c>
      <c r="G1" t="s">
        <v>1019</v>
      </c>
      <c r="H1" t="s">
        <v>1020</v>
      </c>
      <c r="I1" t="s">
        <v>1021</v>
      </c>
      <c r="J1" t="s">
        <v>1022</v>
      </c>
      <c r="K1" t="s">
        <v>1013</v>
      </c>
      <c r="L1" t="s">
        <v>1023</v>
      </c>
      <c r="M1" s="20" t="s">
        <v>1024</v>
      </c>
      <c r="N1" s="20" t="s">
        <v>1474</v>
      </c>
      <c r="Q1" s="20" t="s">
        <v>363</v>
      </c>
      <c r="R1" s="43">
        <f>Aggregate!BG3</f>
        <v>324.54665600000004</v>
      </c>
    </row>
    <row r="2" spans="1:18" ht="14.25" customHeight="1" x14ac:dyDescent="0.3">
      <c r="A2">
        <v>1</v>
      </c>
      <c r="B2">
        <v>1</v>
      </c>
      <c r="C2" t="s">
        <v>584</v>
      </c>
      <c r="D2" t="s">
        <v>503</v>
      </c>
      <c r="E2" t="s">
        <v>96</v>
      </c>
      <c r="F2">
        <v>6</v>
      </c>
      <c r="G2" t="s">
        <v>1025</v>
      </c>
      <c r="H2" t="s">
        <v>1026</v>
      </c>
      <c r="I2" t="s">
        <v>1027</v>
      </c>
      <c r="J2">
        <v>0</v>
      </c>
      <c r="K2">
        <v>1</v>
      </c>
      <c r="L2" t="str">
        <f t="shared" ref="L2:L65" si="0">C2</f>
        <v>Jahmyr Gibbs</v>
      </c>
      <c r="M2" s="69">
        <f>IFERROR(VLOOKUP(E2,RISK!A:B,2,FALSE()),"")</f>
        <v>2.551400000000001</v>
      </c>
      <c r="N2" s="43">
        <f>VLOOKUP(E2,Q:R,2,FALSE)</f>
        <v>291.33477105882349</v>
      </c>
      <c r="Q2" s="20" t="s">
        <v>364</v>
      </c>
      <c r="R2" s="43">
        <f>Aggregate!BG4</f>
        <v>285.97043623529402</v>
      </c>
    </row>
    <row r="3" spans="1:18" ht="14.25" customHeight="1" x14ac:dyDescent="0.3">
      <c r="A3">
        <v>2</v>
      </c>
      <c r="B3">
        <v>1</v>
      </c>
      <c r="C3" t="s">
        <v>585</v>
      </c>
      <c r="D3" t="s">
        <v>533</v>
      </c>
      <c r="E3" t="s">
        <v>97</v>
      </c>
      <c r="F3">
        <v>11</v>
      </c>
      <c r="G3" t="s">
        <v>1025</v>
      </c>
      <c r="H3" t="s">
        <v>1026</v>
      </c>
      <c r="I3" t="s">
        <v>1028</v>
      </c>
      <c r="J3">
        <v>0</v>
      </c>
      <c r="K3">
        <v>2</v>
      </c>
      <c r="L3" t="str">
        <f t="shared" si="0"/>
        <v>Bijan Robinson</v>
      </c>
      <c r="M3" s="69">
        <f>IFERROR(VLOOKUP(E3,RISK!A:B,2,FALSE()),"")</f>
        <v>2.5500000000000007</v>
      </c>
      <c r="N3" s="43">
        <f t="shared" ref="N3:N66" si="1">VLOOKUP(E3,Q:R,2,FALSE)</f>
        <v>270.572</v>
      </c>
      <c r="Q3" s="20" t="s">
        <v>365</v>
      </c>
      <c r="R3" s="43">
        <f>Aggregate!BG5</f>
        <v>285.19295595294119</v>
      </c>
    </row>
    <row r="4" spans="1:18" ht="14.25" customHeight="1" x14ac:dyDescent="0.3">
      <c r="A4">
        <v>3</v>
      </c>
      <c r="B4">
        <v>1</v>
      </c>
      <c r="C4" t="s">
        <v>714</v>
      </c>
      <c r="D4" t="s">
        <v>483</v>
      </c>
      <c r="E4" t="s">
        <v>100</v>
      </c>
      <c r="F4">
        <v>6</v>
      </c>
      <c r="G4" t="s">
        <v>1025</v>
      </c>
      <c r="H4" t="s">
        <v>1026</v>
      </c>
      <c r="I4" t="s">
        <v>1029</v>
      </c>
      <c r="J4">
        <v>0</v>
      </c>
      <c r="K4">
        <v>3</v>
      </c>
      <c r="L4" t="str">
        <f t="shared" si="0"/>
        <v>Ja'Marr Chase</v>
      </c>
      <c r="M4" s="69">
        <f>IFERROR(VLOOKUP(E4,RISK!A:B,2,FALSE()),"")</f>
        <v>1.8321000000000005</v>
      </c>
      <c r="N4" s="43">
        <f t="shared" si="1"/>
        <v>249.35076352941175</v>
      </c>
      <c r="Q4" s="20" t="s">
        <v>366</v>
      </c>
      <c r="R4" s="43">
        <f>Aggregate!BG6</f>
        <v>283.94959176470581</v>
      </c>
    </row>
    <row r="5" spans="1:18" ht="14.25" customHeight="1" x14ac:dyDescent="0.3">
      <c r="A5">
        <v>4</v>
      </c>
      <c r="B5">
        <v>1</v>
      </c>
      <c r="C5" t="s">
        <v>713</v>
      </c>
      <c r="D5" t="s">
        <v>501</v>
      </c>
      <c r="E5" t="s">
        <v>99</v>
      </c>
      <c r="F5">
        <v>11</v>
      </c>
      <c r="G5" t="s">
        <v>1025</v>
      </c>
      <c r="H5" t="s">
        <v>1030</v>
      </c>
      <c r="I5" t="s">
        <v>1031</v>
      </c>
      <c r="J5">
        <v>0</v>
      </c>
      <c r="K5">
        <v>4</v>
      </c>
      <c r="L5" t="str">
        <f t="shared" si="0"/>
        <v>Puka Nacua</v>
      </c>
      <c r="M5" s="69">
        <f>IFERROR(VLOOKUP(E5,RISK!A:B,2,FALSE()),"")</f>
        <v>1.8986000000000001</v>
      </c>
      <c r="N5" s="43">
        <f t="shared" si="1"/>
        <v>245.44338888235291</v>
      </c>
      <c r="Q5" s="20" t="s">
        <v>367</v>
      </c>
      <c r="R5" s="43">
        <f>Aggregate!BG7</f>
        <v>283.02630400000004</v>
      </c>
    </row>
    <row r="6" spans="1:18" ht="14.25" customHeight="1" x14ac:dyDescent="0.3">
      <c r="A6">
        <v>5</v>
      </c>
      <c r="B6">
        <v>1</v>
      </c>
      <c r="C6" t="s">
        <v>715</v>
      </c>
      <c r="D6" t="s">
        <v>517</v>
      </c>
      <c r="E6" t="s">
        <v>101</v>
      </c>
      <c r="F6">
        <v>11</v>
      </c>
      <c r="G6" t="s">
        <v>1025</v>
      </c>
      <c r="H6" t="s">
        <v>1030</v>
      </c>
      <c r="I6" t="s">
        <v>1032</v>
      </c>
      <c r="J6">
        <v>2</v>
      </c>
      <c r="K6">
        <v>5</v>
      </c>
      <c r="L6" t="str">
        <f t="shared" si="0"/>
        <v>Jaxon Smith-Njigba</v>
      </c>
      <c r="M6" s="69">
        <f>IFERROR(VLOOKUP(E6,RISK!A:B,2,FALSE()),"")</f>
        <v>1.964500000000001</v>
      </c>
      <c r="N6" s="43">
        <f t="shared" si="1"/>
        <v>239.22364941176477</v>
      </c>
      <c r="Q6" s="20" t="s">
        <v>368</v>
      </c>
      <c r="R6" s="43">
        <f>Aggregate!BG8</f>
        <v>275.04698456470578</v>
      </c>
    </row>
    <row r="7" spans="1:18" ht="14.25" customHeight="1" x14ac:dyDescent="0.3">
      <c r="A7">
        <v>6</v>
      </c>
      <c r="B7">
        <v>1</v>
      </c>
      <c r="C7" t="s">
        <v>716</v>
      </c>
      <c r="D7" t="s">
        <v>503</v>
      </c>
      <c r="E7" t="s">
        <v>104</v>
      </c>
      <c r="F7">
        <v>6</v>
      </c>
      <c r="G7" t="s">
        <v>1025</v>
      </c>
      <c r="H7" t="s">
        <v>1026</v>
      </c>
      <c r="I7" t="s">
        <v>1029</v>
      </c>
      <c r="J7">
        <v>2</v>
      </c>
      <c r="K7">
        <v>6</v>
      </c>
      <c r="L7" t="str">
        <f t="shared" si="0"/>
        <v>Amon-Ra St. Brown</v>
      </c>
      <c r="M7" s="69">
        <f>IFERROR(VLOOKUP(E7,RISK!A:B,2,FALSE()),"")</f>
        <v>2.0297999999999998</v>
      </c>
      <c r="N7" s="43">
        <f t="shared" si="1"/>
        <v>230.047944</v>
      </c>
      <c r="Q7" s="20" t="s">
        <v>369</v>
      </c>
      <c r="R7" s="43">
        <f>Aggregate!BG9</f>
        <v>271.69758075294118</v>
      </c>
    </row>
    <row r="8" spans="1:18" ht="14.25" customHeight="1" x14ac:dyDescent="0.3">
      <c r="A8">
        <v>7</v>
      </c>
      <c r="B8">
        <v>1</v>
      </c>
      <c r="C8" t="s">
        <v>587</v>
      </c>
      <c r="D8" t="s">
        <v>511</v>
      </c>
      <c r="E8" t="s">
        <v>103</v>
      </c>
      <c r="F8">
        <v>13</v>
      </c>
      <c r="G8" t="s">
        <v>1033</v>
      </c>
      <c r="H8" t="s">
        <v>1034</v>
      </c>
      <c r="I8" t="s">
        <v>1029</v>
      </c>
      <c r="J8">
        <v>-1</v>
      </c>
      <c r="K8">
        <v>7</v>
      </c>
      <c r="L8" t="str">
        <f t="shared" si="0"/>
        <v>Jonathan Taylor</v>
      </c>
      <c r="M8" s="69">
        <f>IFERROR(VLOOKUP(E8,RISK!A:B,2,FALSE()),"")</f>
        <v>2.5497999999999994</v>
      </c>
      <c r="N8" s="43">
        <f t="shared" si="1"/>
        <v>251.21209129411764</v>
      </c>
      <c r="Q8" s="20" t="s">
        <v>370</v>
      </c>
      <c r="R8" s="43">
        <f>Aggregate!BG10</f>
        <v>271.48269882352935</v>
      </c>
    </row>
    <row r="9" spans="1:18" ht="14.25" customHeight="1" x14ac:dyDescent="0.3">
      <c r="A9">
        <v>8</v>
      </c>
      <c r="B9">
        <v>1</v>
      </c>
      <c r="C9" t="s">
        <v>586</v>
      </c>
      <c r="D9" t="s">
        <v>487</v>
      </c>
      <c r="E9" t="s">
        <v>102</v>
      </c>
      <c r="F9">
        <v>8</v>
      </c>
      <c r="G9" t="s">
        <v>1033</v>
      </c>
      <c r="H9" t="s">
        <v>1033</v>
      </c>
      <c r="I9" t="s">
        <v>1028</v>
      </c>
      <c r="J9">
        <v>-3</v>
      </c>
      <c r="K9">
        <v>8</v>
      </c>
      <c r="L9" t="str">
        <f t="shared" si="0"/>
        <v>Christian McCaffrey</v>
      </c>
      <c r="M9" s="69">
        <f>IFERROR(VLOOKUP(E9,RISK!A:B,2,FALSE()),"")</f>
        <v>2.5508000000000006</v>
      </c>
      <c r="N9" s="43">
        <f t="shared" si="1"/>
        <v>246.8264162352942</v>
      </c>
      <c r="Q9" s="20" t="s">
        <v>371</v>
      </c>
      <c r="R9" s="43">
        <f>Aggregate!BG11</f>
        <v>270.11059529411762</v>
      </c>
    </row>
    <row r="10" spans="1:18" ht="14.25" customHeight="1" x14ac:dyDescent="0.3">
      <c r="A10">
        <v>9</v>
      </c>
      <c r="B10">
        <v>1</v>
      </c>
      <c r="C10" t="s">
        <v>590</v>
      </c>
      <c r="D10" t="s">
        <v>471</v>
      </c>
      <c r="E10" t="s">
        <v>107</v>
      </c>
      <c r="F10">
        <v>7</v>
      </c>
      <c r="G10" t="s">
        <v>1025</v>
      </c>
      <c r="H10" t="s">
        <v>1026</v>
      </c>
      <c r="I10" t="s">
        <v>1028</v>
      </c>
      <c r="J10">
        <v>0</v>
      </c>
      <c r="K10">
        <v>9</v>
      </c>
      <c r="L10" t="str">
        <f t="shared" si="0"/>
        <v>James Cook III</v>
      </c>
      <c r="M10" s="70">
        <f>IFERROR(VLOOKUP(E10,RISK!A:B,2,FALSE()),"")</f>
        <v>2.5530000000000008</v>
      </c>
      <c r="N10" s="43">
        <f t="shared" si="1"/>
        <v>225.03690505882358</v>
      </c>
      <c r="Q10" s="20" t="s">
        <v>372</v>
      </c>
      <c r="R10" s="43">
        <f>Aggregate!BG12</f>
        <v>269.87979999999993</v>
      </c>
    </row>
    <row r="11" spans="1:18" ht="14.25" customHeight="1" x14ac:dyDescent="0.3">
      <c r="A11">
        <v>10</v>
      </c>
      <c r="B11">
        <v>1</v>
      </c>
      <c r="C11" t="s">
        <v>719</v>
      </c>
      <c r="D11" t="s">
        <v>491</v>
      </c>
      <c r="E11" t="s">
        <v>113</v>
      </c>
      <c r="F11">
        <v>14</v>
      </c>
      <c r="G11" t="s">
        <v>1033</v>
      </c>
      <c r="H11" t="s">
        <v>1030</v>
      </c>
      <c r="I11" t="s">
        <v>1028</v>
      </c>
      <c r="J11">
        <v>0</v>
      </c>
      <c r="K11">
        <v>10</v>
      </c>
      <c r="L11" t="str">
        <f t="shared" si="0"/>
        <v>CeeDee Lamb</v>
      </c>
      <c r="M11" s="70">
        <f>IFERROR(VLOOKUP(E11,RISK!A:B,2,FALSE()),"")</f>
        <v>2.0945</v>
      </c>
      <c r="N11" s="43">
        <f t="shared" si="1"/>
        <v>196.15637999999998</v>
      </c>
      <c r="Q11" s="20" t="s">
        <v>373</v>
      </c>
      <c r="R11" s="43">
        <f>Aggregate!BG13</f>
        <v>267.65049656470586</v>
      </c>
    </row>
    <row r="12" spans="1:18" ht="14.25" customHeight="1" x14ac:dyDescent="0.3">
      <c r="A12">
        <v>11</v>
      </c>
      <c r="B12">
        <v>2</v>
      </c>
      <c r="C12" t="s">
        <v>720</v>
      </c>
      <c r="D12" t="s">
        <v>509</v>
      </c>
      <c r="E12" t="s">
        <v>114</v>
      </c>
      <c r="F12">
        <v>6</v>
      </c>
      <c r="G12" t="s">
        <v>1025</v>
      </c>
      <c r="H12" t="s">
        <v>1030</v>
      </c>
      <c r="I12" t="s">
        <v>1027</v>
      </c>
      <c r="J12">
        <v>2</v>
      </c>
      <c r="K12">
        <v>11</v>
      </c>
      <c r="L12" t="str">
        <f t="shared" si="0"/>
        <v>Justin Jefferson</v>
      </c>
      <c r="M12" s="69">
        <f>IFERROR(VLOOKUP(E12,RISK!A:B,2,FALSE()),"")</f>
        <v>2.1585999999999999</v>
      </c>
      <c r="N12" s="43">
        <f t="shared" si="1"/>
        <v>194.98107505882354</v>
      </c>
      <c r="Q12" s="20" t="s">
        <v>374</v>
      </c>
      <c r="R12" s="43">
        <f>Aggregate!BG14</f>
        <v>265.58530748235296</v>
      </c>
    </row>
    <row r="13" spans="1:18" ht="14.25" customHeight="1" x14ac:dyDescent="0.3">
      <c r="A13">
        <v>12</v>
      </c>
      <c r="B13">
        <v>2</v>
      </c>
      <c r="C13" t="s">
        <v>591</v>
      </c>
      <c r="D13" t="s">
        <v>483</v>
      </c>
      <c r="E13" t="s">
        <v>108</v>
      </c>
      <c r="F13">
        <v>6</v>
      </c>
      <c r="G13" t="s">
        <v>1025</v>
      </c>
      <c r="H13" t="s">
        <v>1030</v>
      </c>
      <c r="I13" t="s">
        <v>1028</v>
      </c>
      <c r="J13">
        <v>2</v>
      </c>
      <c r="K13">
        <v>12</v>
      </c>
      <c r="L13" t="str">
        <f t="shared" si="0"/>
        <v>Chase Brown</v>
      </c>
      <c r="M13" s="69">
        <f>IFERROR(VLOOKUP(E13,RISK!A:B,2,FALSE()),"")</f>
        <v>2.5564</v>
      </c>
      <c r="N13" s="43">
        <f t="shared" si="1"/>
        <v>220.72607858823531</v>
      </c>
      <c r="Q13" s="20" t="s">
        <v>375</v>
      </c>
      <c r="R13" s="43">
        <f>Aggregate!BG15</f>
        <v>264.00541769411757</v>
      </c>
    </row>
    <row r="14" spans="1:18" ht="14.25" customHeight="1" x14ac:dyDescent="0.3">
      <c r="A14">
        <v>13</v>
      </c>
      <c r="B14">
        <v>2</v>
      </c>
      <c r="C14" t="s">
        <v>592</v>
      </c>
      <c r="D14" t="s">
        <v>481</v>
      </c>
      <c r="E14" t="s">
        <v>109</v>
      </c>
      <c r="F14">
        <v>10</v>
      </c>
      <c r="G14" t="s">
        <v>1033</v>
      </c>
      <c r="H14" t="s">
        <v>1033</v>
      </c>
      <c r="I14" t="s">
        <v>1029</v>
      </c>
      <c r="J14">
        <v>-2</v>
      </c>
      <c r="K14">
        <v>13</v>
      </c>
      <c r="L14" t="str">
        <f t="shared" si="0"/>
        <v>Saquon Barkley</v>
      </c>
      <c r="M14" s="70">
        <f>IFERROR(VLOOKUP(E14,RISK!A:B,2,FALSE()),"")</f>
        <v>2.5609999999999999</v>
      </c>
      <c r="N14" s="43">
        <f t="shared" si="1"/>
        <v>215.82118352941174</v>
      </c>
      <c r="Q14" s="20" t="s">
        <v>376</v>
      </c>
      <c r="R14" s="43">
        <f>Aggregate!BG16</f>
        <v>262.6145881411764</v>
      </c>
    </row>
    <row r="15" spans="1:18" ht="14.25" customHeight="1" x14ac:dyDescent="0.3">
      <c r="A15">
        <v>14</v>
      </c>
      <c r="B15">
        <v>2</v>
      </c>
      <c r="C15" t="s">
        <v>722</v>
      </c>
      <c r="D15" t="s">
        <v>477</v>
      </c>
      <c r="E15" t="s">
        <v>110</v>
      </c>
      <c r="F15">
        <v>11</v>
      </c>
      <c r="G15" t="s">
        <v>1025</v>
      </c>
      <c r="H15" t="s">
        <v>1030</v>
      </c>
      <c r="I15" t="s">
        <v>1028</v>
      </c>
      <c r="J15">
        <v>5</v>
      </c>
      <c r="K15">
        <v>14</v>
      </c>
      <c r="L15" t="str">
        <f t="shared" si="0"/>
        <v>A.J. Brown</v>
      </c>
      <c r="M15" s="69">
        <f>IFERROR(VLOOKUP(E15,RISK!A:B,2,FALSE()),"")</f>
        <v>2.2221000000000011</v>
      </c>
      <c r="N15" s="43">
        <f t="shared" si="1"/>
        <v>192.58472647058824</v>
      </c>
      <c r="Q15" s="20" t="s">
        <v>377</v>
      </c>
      <c r="R15" s="43">
        <f>Aggregate!BG17</f>
        <v>253.88635999999991</v>
      </c>
    </row>
    <row r="16" spans="1:18" ht="14.25" customHeight="1" x14ac:dyDescent="0.3">
      <c r="A16">
        <v>15</v>
      </c>
      <c r="B16">
        <v>2</v>
      </c>
      <c r="C16" t="s">
        <v>717</v>
      </c>
      <c r="D16" t="s">
        <v>533</v>
      </c>
      <c r="E16" t="s">
        <v>123</v>
      </c>
      <c r="F16">
        <v>11</v>
      </c>
      <c r="G16" t="s">
        <v>1033</v>
      </c>
      <c r="H16" t="s">
        <v>1034</v>
      </c>
      <c r="I16" t="s">
        <v>1032</v>
      </c>
      <c r="J16">
        <v>6</v>
      </c>
      <c r="K16">
        <v>15</v>
      </c>
      <c r="L16" t="str">
        <f t="shared" si="0"/>
        <v>Drake London</v>
      </c>
      <c r="M16" s="69">
        <f>IFERROR(VLOOKUP(E16,RISK!A:B,2,FALSE()),"")</f>
        <v>2.2850000000000001</v>
      </c>
      <c r="N16" s="43">
        <f t="shared" si="1"/>
        <v>185.33705364705884</v>
      </c>
      <c r="Q16" s="20" t="s">
        <v>378</v>
      </c>
      <c r="R16" s="43">
        <f>Aggregate!BG18</f>
        <v>250.36612070588231</v>
      </c>
    </row>
    <row r="17" spans="1:18" ht="14.25" customHeight="1" x14ac:dyDescent="0.3">
      <c r="A17">
        <v>16</v>
      </c>
      <c r="B17">
        <v>2</v>
      </c>
      <c r="C17" t="s">
        <v>589</v>
      </c>
      <c r="D17" t="s">
        <v>513</v>
      </c>
      <c r="E17" t="s">
        <v>106</v>
      </c>
      <c r="F17">
        <v>6</v>
      </c>
      <c r="G17" t="s">
        <v>1033</v>
      </c>
      <c r="H17" t="s">
        <v>1033</v>
      </c>
      <c r="I17" t="s">
        <v>1032</v>
      </c>
      <c r="J17">
        <v>-4</v>
      </c>
      <c r="K17">
        <v>16</v>
      </c>
      <c r="L17" t="str">
        <f t="shared" si="0"/>
        <v>De'Von Achane</v>
      </c>
      <c r="M17" s="69">
        <f>IFERROR(VLOOKUP(E17,RISK!A:B,2,FALSE()),"")</f>
        <v>2.5668000000000006</v>
      </c>
      <c r="N17" s="43">
        <f t="shared" si="1"/>
        <v>209.41520752941176</v>
      </c>
      <c r="Q17" s="20" t="s">
        <v>379</v>
      </c>
      <c r="R17" s="43">
        <f>Aggregate!BG19</f>
        <v>250.07868941176471</v>
      </c>
    </row>
    <row r="18" spans="1:18" ht="14.25" customHeight="1" x14ac:dyDescent="0.3">
      <c r="A18">
        <v>17</v>
      </c>
      <c r="B18">
        <v>2</v>
      </c>
      <c r="C18" t="s">
        <v>723</v>
      </c>
      <c r="D18" t="s">
        <v>519</v>
      </c>
      <c r="E18" t="s">
        <v>126</v>
      </c>
      <c r="F18">
        <v>8</v>
      </c>
      <c r="G18" t="s">
        <v>1033</v>
      </c>
      <c r="H18" t="s">
        <v>1030</v>
      </c>
      <c r="I18" t="s">
        <v>1032</v>
      </c>
      <c r="J18">
        <v>6</v>
      </c>
      <c r="K18">
        <v>17</v>
      </c>
      <c r="L18" t="str">
        <f t="shared" si="0"/>
        <v>Nico Collins</v>
      </c>
      <c r="M18" s="69">
        <f>IFERROR(VLOOKUP(E18,RISK!A:B,2,FALSE()),"")</f>
        <v>2.3473000000000006</v>
      </c>
      <c r="N18" s="43">
        <f t="shared" si="1"/>
        <v>185.09754394117644</v>
      </c>
      <c r="Q18" s="20" t="s">
        <v>380</v>
      </c>
      <c r="R18" s="43">
        <f>Aggregate!BG20</f>
        <v>238.93534917647057</v>
      </c>
    </row>
    <row r="19" spans="1:18" ht="14.25" customHeight="1" x14ac:dyDescent="0.3">
      <c r="A19">
        <v>18</v>
      </c>
      <c r="B19">
        <v>2</v>
      </c>
      <c r="C19" t="s">
        <v>902</v>
      </c>
      <c r="D19" t="s">
        <v>531</v>
      </c>
      <c r="E19" t="s">
        <v>120</v>
      </c>
      <c r="F19">
        <v>13</v>
      </c>
      <c r="G19" t="s">
        <v>1025</v>
      </c>
      <c r="H19" t="s">
        <v>1026</v>
      </c>
      <c r="I19" t="s">
        <v>1032</v>
      </c>
      <c r="J19">
        <v>4</v>
      </c>
      <c r="K19">
        <v>18</v>
      </c>
      <c r="L19" t="str">
        <f t="shared" si="0"/>
        <v>Brock Bowers</v>
      </c>
      <c r="M19" s="69">
        <f>IFERROR(VLOOKUP(E19,RISK!A:B,2,FALSE()),"")</f>
        <v>2.2010999999999985</v>
      </c>
      <c r="N19" s="43">
        <f t="shared" si="1"/>
        <v>173.5823917647059</v>
      </c>
      <c r="Q19" s="20" t="s">
        <v>381</v>
      </c>
      <c r="R19" s="43">
        <f>Aggregate!BG21</f>
        <v>238.40027345882356</v>
      </c>
    </row>
    <row r="20" spans="1:18" ht="14.25" customHeight="1" x14ac:dyDescent="0.3">
      <c r="A20">
        <v>19</v>
      </c>
      <c r="B20">
        <v>2</v>
      </c>
      <c r="C20" t="s">
        <v>593</v>
      </c>
      <c r="D20" t="s">
        <v>493</v>
      </c>
      <c r="E20" t="s">
        <v>116</v>
      </c>
      <c r="F20">
        <v>5</v>
      </c>
      <c r="G20" t="s">
        <v>1025</v>
      </c>
      <c r="H20" t="s">
        <v>1033</v>
      </c>
      <c r="I20" t="s">
        <v>1032</v>
      </c>
      <c r="J20">
        <v>-4</v>
      </c>
      <c r="K20">
        <v>19</v>
      </c>
      <c r="L20" t="str">
        <f t="shared" si="0"/>
        <v>Kenneth Walker III</v>
      </c>
      <c r="M20" s="69">
        <f>IFERROR(VLOOKUP(E20,RISK!A:B,2,FALSE()),"")</f>
        <v>2.5738000000000003</v>
      </c>
      <c r="N20" s="43">
        <f t="shared" si="1"/>
        <v>206.99580529411764</v>
      </c>
      <c r="Q20" s="20" t="s">
        <v>382</v>
      </c>
      <c r="R20" s="43">
        <f>Aggregate!BG22</f>
        <v>234.68095567058822</v>
      </c>
    </row>
    <row r="21" spans="1:18" ht="14.25" customHeight="1" x14ac:dyDescent="0.3">
      <c r="A21">
        <v>20</v>
      </c>
      <c r="B21">
        <v>2</v>
      </c>
      <c r="C21" t="s">
        <v>595</v>
      </c>
      <c r="D21" t="s">
        <v>497</v>
      </c>
      <c r="E21" t="s">
        <v>105</v>
      </c>
      <c r="F21">
        <v>7</v>
      </c>
      <c r="G21" t="s">
        <v>1025</v>
      </c>
      <c r="H21" t="s">
        <v>1030</v>
      </c>
      <c r="I21" t="s">
        <v>1032</v>
      </c>
      <c r="J21">
        <v>-4</v>
      </c>
      <c r="K21">
        <v>20</v>
      </c>
      <c r="L21" t="str">
        <f t="shared" si="0"/>
        <v>Omarion Hampton</v>
      </c>
      <c r="M21" s="69">
        <f>IFERROR(VLOOKUP(E21,RISK!A:B,2,FALSE()),"")</f>
        <v>2.5820000000000007</v>
      </c>
      <c r="N21" s="43">
        <f t="shared" si="1"/>
        <v>200.64298399999998</v>
      </c>
      <c r="Q21" s="20" t="s">
        <v>383</v>
      </c>
      <c r="R21" s="43">
        <f>Aggregate!BG23</f>
        <v>225.17491458823534</v>
      </c>
    </row>
    <row r="22" spans="1:18" ht="14.25" customHeight="1" x14ac:dyDescent="0.3">
      <c r="A22">
        <v>21</v>
      </c>
      <c r="B22">
        <v>2</v>
      </c>
      <c r="C22" t="s">
        <v>588</v>
      </c>
      <c r="D22" t="s">
        <v>475</v>
      </c>
      <c r="E22" t="s">
        <v>111</v>
      </c>
      <c r="F22">
        <v>13</v>
      </c>
      <c r="G22" t="s">
        <v>1033</v>
      </c>
      <c r="H22" t="s">
        <v>1030</v>
      </c>
      <c r="I22" t="s">
        <v>1032</v>
      </c>
      <c r="J22">
        <v>-3</v>
      </c>
      <c r="K22">
        <v>21</v>
      </c>
      <c r="L22" t="str">
        <f t="shared" si="0"/>
        <v>Derrick Henry</v>
      </c>
      <c r="M22" s="69">
        <f>IFERROR(VLOOKUP(E22,RISK!A:B,2,FALSE()),"")</f>
        <v>2.5914000000000001</v>
      </c>
      <c r="N22" s="43">
        <f t="shared" si="1"/>
        <v>196.13463764705884</v>
      </c>
      <c r="Q22" s="20" t="s">
        <v>384</v>
      </c>
      <c r="R22" s="43">
        <f>Aggregate!BG24</f>
        <v>221.55494117647061</v>
      </c>
    </row>
    <row r="23" spans="1:18" ht="14.25" customHeight="1" x14ac:dyDescent="0.3">
      <c r="A23">
        <v>22</v>
      </c>
      <c r="B23">
        <v>2</v>
      </c>
      <c r="C23" t="s">
        <v>724</v>
      </c>
      <c r="D23" t="s">
        <v>491</v>
      </c>
      <c r="E23" t="s">
        <v>128</v>
      </c>
      <c r="F23">
        <v>14</v>
      </c>
      <c r="G23" t="s">
        <v>1033</v>
      </c>
      <c r="H23" t="s">
        <v>1033</v>
      </c>
      <c r="I23" t="s">
        <v>1028</v>
      </c>
      <c r="J23">
        <v>2</v>
      </c>
      <c r="K23">
        <v>22</v>
      </c>
      <c r="L23" t="str">
        <f t="shared" si="0"/>
        <v>George Pickens</v>
      </c>
      <c r="M23" s="69">
        <f>IFERROR(VLOOKUP(E23,RISK!A:B,2,FALSE()),"")</f>
        <v>2.4090000000000007</v>
      </c>
      <c r="N23" s="43">
        <f t="shared" si="1"/>
        <v>184.632294</v>
      </c>
      <c r="Q23" s="20" t="s">
        <v>385</v>
      </c>
      <c r="R23" s="43">
        <f>Aggregate!BG25</f>
        <v>218.14712705882351</v>
      </c>
    </row>
    <row r="24" spans="1:18" ht="14.25" customHeight="1" x14ac:dyDescent="0.3">
      <c r="A24">
        <v>23</v>
      </c>
      <c r="B24">
        <v>2</v>
      </c>
      <c r="C24" t="s">
        <v>721</v>
      </c>
      <c r="D24" t="s">
        <v>505</v>
      </c>
      <c r="E24" t="s">
        <v>129</v>
      </c>
      <c r="F24">
        <v>8</v>
      </c>
      <c r="G24" t="s">
        <v>1033</v>
      </c>
      <c r="H24" t="s">
        <v>1033</v>
      </c>
      <c r="I24" t="s">
        <v>1032</v>
      </c>
      <c r="J24">
        <v>3</v>
      </c>
      <c r="K24">
        <v>23</v>
      </c>
      <c r="L24" t="str">
        <f t="shared" si="0"/>
        <v>Chris Olave</v>
      </c>
      <c r="M24" s="69">
        <f>IFERROR(VLOOKUP(E24,RISK!A:B,2,FALSE()),"")</f>
        <v>2.4701000000000004</v>
      </c>
      <c r="N24" s="43">
        <f t="shared" si="1"/>
        <v>180.8940682352941</v>
      </c>
      <c r="Q24" s="20" t="s">
        <v>386</v>
      </c>
      <c r="R24" s="43">
        <f>Aggregate!BG26</f>
        <v>211.45334117647059</v>
      </c>
    </row>
    <row r="25" spans="1:18" ht="14.25" customHeight="1" x14ac:dyDescent="0.3">
      <c r="A25">
        <v>24</v>
      </c>
      <c r="B25">
        <v>2</v>
      </c>
      <c r="C25" t="s">
        <v>600</v>
      </c>
      <c r="D25" t="s">
        <v>531</v>
      </c>
      <c r="E25" t="s">
        <v>127</v>
      </c>
      <c r="F25">
        <v>13</v>
      </c>
      <c r="G25" t="s">
        <v>1033</v>
      </c>
      <c r="H25" t="s">
        <v>1033</v>
      </c>
      <c r="I25" t="s">
        <v>1028</v>
      </c>
      <c r="J25">
        <v>-7</v>
      </c>
      <c r="K25">
        <v>24</v>
      </c>
      <c r="L25" t="str">
        <f t="shared" si="0"/>
        <v>Ashton Jeanty</v>
      </c>
      <c r="M25" s="69">
        <f>IFERROR(VLOOKUP(E25,RISK!A:B,2,FALSE()),"")</f>
        <v>2.6020000000000003</v>
      </c>
      <c r="N25" s="43">
        <f t="shared" si="1"/>
        <v>195.77061582917648</v>
      </c>
      <c r="Q25" s="20" t="s">
        <v>387</v>
      </c>
      <c r="R25" s="43">
        <f>Aggregate!BG27</f>
        <v>207.50816470588234</v>
      </c>
    </row>
    <row r="26" spans="1:18" ht="14.25" customHeight="1" x14ac:dyDescent="0.3">
      <c r="A26">
        <v>25</v>
      </c>
      <c r="B26">
        <v>2</v>
      </c>
      <c r="C26" t="s">
        <v>901</v>
      </c>
      <c r="D26" t="s">
        <v>527</v>
      </c>
      <c r="E26" t="s">
        <v>122</v>
      </c>
      <c r="F26">
        <v>14</v>
      </c>
      <c r="G26" t="s">
        <v>1033</v>
      </c>
      <c r="H26" t="s">
        <v>1030</v>
      </c>
      <c r="I26" t="s">
        <v>1028</v>
      </c>
      <c r="J26">
        <v>0</v>
      </c>
      <c r="K26">
        <v>25</v>
      </c>
      <c r="L26" t="str">
        <f t="shared" si="0"/>
        <v>Trey McBride</v>
      </c>
      <c r="M26" s="69">
        <f>IFERROR(VLOOKUP(E26,RISK!A:B,2,FALSE()),"")</f>
        <v>2.1185999999999989</v>
      </c>
      <c r="N26" s="43">
        <f t="shared" si="1"/>
        <v>164.73139035294122</v>
      </c>
      <c r="Q26" s="20" t="s">
        <v>388</v>
      </c>
      <c r="R26" s="43">
        <f>Aggregate!BG28</f>
        <v>189.58277647058824</v>
      </c>
    </row>
    <row r="27" spans="1:18" ht="14.25" customHeight="1" x14ac:dyDescent="0.3">
      <c r="A27">
        <v>26</v>
      </c>
      <c r="B27">
        <v>3</v>
      </c>
      <c r="C27" t="s">
        <v>726</v>
      </c>
      <c r="D27" t="s">
        <v>485</v>
      </c>
      <c r="E27" t="s">
        <v>133</v>
      </c>
      <c r="F27">
        <v>8</v>
      </c>
      <c r="G27" t="s">
        <v>1033</v>
      </c>
      <c r="H27" t="s">
        <v>1033</v>
      </c>
      <c r="I27" t="s">
        <v>1029</v>
      </c>
      <c r="J27">
        <v>3</v>
      </c>
      <c r="K27">
        <v>26</v>
      </c>
      <c r="L27" t="str">
        <f t="shared" si="0"/>
        <v>Malik Nabers</v>
      </c>
      <c r="M27" s="69">
        <f>IFERROR(VLOOKUP(E27,RISK!A:B,2,FALSE()),"")</f>
        <v>2.5305999999999997</v>
      </c>
      <c r="N27" s="43">
        <f t="shared" si="1"/>
        <v>180.57297941176472</v>
      </c>
      <c r="Q27" s="20" t="s">
        <v>389</v>
      </c>
      <c r="R27" s="43">
        <f>Aggregate!BG29</f>
        <v>188.28070588235295</v>
      </c>
    </row>
    <row r="28" spans="1:18" ht="14.25" customHeight="1" x14ac:dyDescent="0.3">
      <c r="A28">
        <v>27</v>
      </c>
      <c r="B28">
        <v>3</v>
      </c>
      <c r="C28" t="s">
        <v>729</v>
      </c>
      <c r="D28" t="s">
        <v>481</v>
      </c>
      <c r="E28" t="s">
        <v>124</v>
      </c>
      <c r="F28">
        <v>10</v>
      </c>
      <c r="G28" t="s">
        <v>1033</v>
      </c>
      <c r="H28" t="s">
        <v>1030</v>
      </c>
      <c r="I28" t="s">
        <v>1029</v>
      </c>
      <c r="J28">
        <v>4</v>
      </c>
      <c r="K28">
        <v>27</v>
      </c>
      <c r="L28" t="str">
        <f t="shared" si="0"/>
        <v>DeVonta Smith</v>
      </c>
      <c r="M28" s="69">
        <f>IFERROR(VLOOKUP(E28,RISK!A:B,2,FALSE()),"")</f>
        <v>2.5905000000000005</v>
      </c>
      <c r="N28" s="43">
        <f t="shared" si="1"/>
        <v>170.26228094117644</v>
      </c>
      <c r="Q28" s="20" t="s">
        <v>390</v>
      </c>
      <c r="R28" s="43">
        <f>Aggregate!BG30</f>
        <v>186.80167058823534</v>
      </c>
    </row>
    <row r="29" spans="1:18" ht="14.25" customHeight="1" x14ac:dyDescent="0.3">
      <c r="A29">
        <v>28</v>
      </c>
      <c r="B29">
        <v>3</v>
      </c>
      <c r="C29" t="s">
        <v>470</v>
      </c>
      <c r="D29" t="s">
        <v>471</v>
      </c>
      <c r="E29" t="s">
        <v>363</v>
      </c>
      <c r="F29">
        <v>7</v>
      </c>
      <c r="G29" t="s">
        <v>1025</v>
      </c>
      <c r="H29" t="s">
        <v>1030</v>
      </c>
      <c r="I29" t="s">
        <v>1032</v>
      </c>
      <c r="J29">
        <v>-8</v>
      </c>
      <c r="K29">
        <v>28</v>
      </c>
      <c r="L29" t="str">
        <f t="shared" si="0"/>
        <v>Josh Allen</v>
      </c>
      <c r="M29" s="69">
        <f>IFERROR(VLOOKUP(E29,RISK!A:B,2,FALSE()),"")</f>
        <v>2.1180000000000003</v>
      </c>
      <c r="N29" s="43">
        <f t="shared" si="1"/>
        <v>324.54665600000004</v>
      </c>
      <c r="Q29" s="20" t="s">
        <v>391</v>
      </c>
      <c r="R29" s="43">
        <f>Aggregate!BG31</f>
        <v>182.14863529411764</v>
      </c>
    </row>
    <row r="30" spans="1:18" ht="14.25" customHeight="1" x14ac:dyDescent="0.3">
      <c r="A30">
        <v>29</v>
      </c>
      <c r="B30">
        <v>3</v>
      </c>
      <c r="C30" t="s">
        <v>718</v>
      </c>
      <c r="D30" t="s">
        <v>493</v>
      </c>
      <c r="E30" t="s">
        <v>139</v>
      </c>
      <c r="F30">
        <v>5</v>
      </c>
      <c r="G30" t="s">
        <v>1033</v>
      </c>
      <c r="H30" t="s">
        <v>1033</v>
      </c>
      <c r="I30" t="s">
        <v>1028</v>
      </c>
      <c r="J30">
        <v>4</v>
      </c>
      <c r="K30">
        <v>29</v>
      </c>
      <c r="L30" t="str">
        <f t="shared" si="0"/>
        <v>Rashee Rice</v>
      </c>
      <c r="M30" s="69">
        <f>IFERROR(VLOOKUP(E30,RISK!A:B,2,FALSE()),"")</f>
        <v>2.6498000000000008</v>
      </c>
      <c r="N30" s="43">
        <f t="shared" si="1"/>
        <v>169.09366529411761</v>
      </c>
      <c r="Q30" s="20" t="s">
        <v>392</v>
      </c>
      <c r="R30" s="43">
        <f>Aggregate!BG32</f>
        <v>155.52112941176475</v>
      </c>
    </row>
    <row r="31" spans="1:18" ht="14.25" customHeight="1" x14ac:dyDescent="0.3">
      <c r="A31">
        <v>30</v>
      </c>
      <c r="B31">
        <v>3</v>
      </c>
      <c r="C31" t="s">
        <v>725</v>
      </c>
      <c r="D31" t="s">
        <v>475</v>
      </c>
      <c r="E31" t="s">
        <v>137</v>
      </c>
      <c r="F31">
        <v>13</v>
      </c>
      <c r="G31" t="s">
        <v>1033</v>
      </c>
      <c r="H31" t="s">
        <v>1030</v>
      </c>
      <c r="I31" t="s">
        <v>1029</v>
      </c>
      <c r="J31">
        <v>4</v>
      </c>
      <c r="K31">
        <v>30</v>
      </c>
      <c r="L31" t="str">
        <f t="shared" si="0"/>
        <v>Zay Flowers</v>
      </c>
      <c r="M31" s="69">
        <f>IFERROR(VLOOKUP(E31,RISK!A:B,2,FALSE()),"")</f>
        <v>2.7085000000000008</v>
      </c>
      <c r="N31" s="43">
        <f t="shared" si="1"/>
        <v>163.54782500000002</v>
      </c>
      <c r="Q31" s="20" t="s">
        <v>393</v>
      </c>
      <c r="R31" s="43">
        <f>Aggregate!BG33</f>
        <v>114.20068235294116</v>
      </c>
    </row>
    <row r="32" spans="1:18" ht="14.25" customHeight="1" x14ac:dyDescent="0.3">
      <c r="A32">
        <v>31</v>
      </c>
      <c r="B32">
        <v>3</v>
      </c>
      <c r="C32" t="s">
        <v>597</v>
      </c>
      <c r="D32" t="s">
        <v>501</v>
      </c>
      <c r="E32" t="s">
        <v>117</v>
      </c>
      <c r="F32">
        <v>11</v>
      </c>
      <c r="G32" t="s">
        <v>1033</v>
      </c>
      <c r="H32" t="s">
        <v>1030</v>
      </c>
      <c r="I32" t="s">
        <v>1027</v>
      </c>
      <c r="J32">
        <v>-4</v>
      </c>
      <c r="K32">
        <v>31</v>
      </c>
      <c r="L32" t="str">
        <f t="shared" si="0"/>
        <v>Kyren Williams</v>
      </c>
      <c r="M32" s="69">
        <f>IFERROR(VLOOKUP(E32,RISK!A:B,2,FALSE()),"")</f>
        <v>2.6137999999999995</v>
      </c>
      <c r="N32" s="43">
        <f t="shared" si="1"/>
        <v>194.43097058823528</v>
      </c>
      <c r="Q32" s="20" t="s">
        <v>394</v>
      </c>
      <c r="R32" s="43">
        <f>Aggregate!BG34</f>
        <v>109.78468235294118</v>
      </c>
    </row>
    <row r="33" spans="1:18" ht="14.25" customHeight="1" x14ac:dyDescent="0.3">
      <c r="A33">
        <v>32</v>
      </c>
      <c r="B33">
        <v>3</v>
      </c>
      <c r="C33" t="s">
        <v>599</v>
      </c>
      <c r="D33" t="s">
        <v>491</v>
      </c>
      <c r="E33" t="s">
        <v>121</v>
      </c>
      <c r="F33">
        <v>14</v>
      </c>
      <c r="G33" t="s">
        <v>1033</v>
      </c>
      <c r="H33" t="s">
        <v>1033</v>
      </c>
      <c r="I33" t="s">
        <v>1029</v>
      </c>
      <c r="J33">
        <v>-2</v>
      </c>
      <c r="K33">
        <v>32</v>
      </c>
      <c r="L33" t="str">
        <f t="shared" si="0"/>
        <v>Javonte Williams</v>
      </c>
      <c r="M33" s="69">
        <f>IFERROR(VLOOKUP(E33,RISK!A:B,2,FALSE()),"")</f>
        <v>2.6268000000000011</v>
      </c>
      <c r="N33" s="43">
        <f t="shared" si="1"/>
        <v>189.35422776470583</v>
      </c>
      <c r="Q33" s="20" t="s">
        <v>395</v>
      </c>
      <c r="R33" s="43">
        <f>Aggregate!BG35</f>
        <v>86.121741176470593</v>
      </c>
    </row>
    <row r="34" spans="1:18" ht="14.25" customHeight="1" x14ac:dyDescent="0.3">
      <c r="A34">
        <v>33</v>
      </c>
      <c r="B34">
        <v>3</v>
      </c>
      <c r="C34" t="s">
        <v>732</v>
      </c>
      <c r="D34" t="s">
        <v>483</v>
      </c>
      <c r="E34" t="s">
        <v>146</v>
      </c>
      <c r="F34">
        <v>6</v>
      </c>
      <c r="G34" t="s">
        <v>1025</v>
      </c>
      <c r="H34" t="s">
        <v>1030</v>
      </c>
      <c r="I34" t="s">
        <v>1029</v>
      </c>
      <c r="J34">
        <v>7</v>
      </c>
      <c r="K34">
        <v>33</v>
      </c>
      <c r="L34" t="str">
        <f t="shared" si="0"/>
        <v>Tee Higgins</v>
      </c>
      <c r="M34" s="69">
        <f>IFERROR(VLOOKUP(E34,RISK!A:B,2,FALSE()),"")</f>
        <v>2.7666000000000004</v>
      </c>
      <c r="N34" s="43">
        <f t="shared" si="1"/>
        <v>160.79456623529413</v>
      </c>
      <c r="Q34" s="20" t="s">
        <v>396</v>
      </c>
      <c r="R34" s="43">
        <f>Aggregate!BG36</f>
        <v>79.992917647058817</v>
      </c>
    </row>
    <row r="35" spans="1:18" ht="14.25" customHeight="1" x14ac:dyDescent="0.3">
      <c r="A35">
        <v>34</v>
      </c>
      <c r="B35">
        <v>3</v>
      </c>
      <c r="C35" t="s">
        <v>598</v>
      </c>
      <c r="D35" t="s">
        <v>523</v>
      </c>
      <c r="E35" t="s">
        <v>118</v>
      </c>
      <c r="F35">
        <v>13</v>
      </c>
      <c r="G35" t="s">
        <v>1033</v>
      </c>
      <c r="H35" t="s">
        <v>1033</v>
      </c>
      <c r="I35" t="s">
        <v>1032</v>
      </c>
      <c r="J35">
        <v>-2</v>
      </c>
      <c r="K35">
        <v>34</v>
      </c>
      <c r="L35" t="str">
        <f t="shared" si="0"/>
        <v>Breece Hall</v>
      </c>
      <c r="M35" s="69">
        <f>IFERROR(VLOOKUP(E35,RISK!A:B,2,FALSE()),"")</f>
        <v>2.641</v>
      </c>
      <c r="N35" s="43">
        <f t="shared" si="1"/>
        <v>187.47786117647053</v>
      </c>
      <c r="Q35" s="20" t="s">
        <v>397</v>
      </c>
      <c r="R35" s="43">
        <f>Aggregate!BG37</f>
        <v>38.211388235294123</v>
      </c>
    </row>
    <row r="36" spans="1:18" ht="14.25" customHeight="1" x14ac:dyDescent="0.3">
      <c r="A36">
        <v>35</v>
      </c>
      <c r="B36">
        <v>3</v>
      </c>
      <c r="C36" t="s">
        <v>474</v>
      </c>
      <c r="D36" t="s">
        <v>475</v>
      </c>
      <c r="E36" t="s">
        <v>364</v>
      </c>
      <c r="F36">
        <v>13</v>
      </c>
      <c r="G36" t="s">
        <v>1033</v>
      </c>
      <c r="H36" t="s">
        <v>1033</v>
      </c>
      <c r="I36" t="s">
        <v>1032</v>
      </c>
      <c r="J36">
        <v>2</v>
      </c>
      <c r="K36">
        <v>35</v>
      </c>
      <c r="L36" t="str">
        <f t="shared" si="0"/>
        <v>Lamar Jackson</v>
      </c>
      <c r="M36" s="69">
        <f>IFERROR(VLOOKUP(E36,RISK!A:B,2,FALSE()),"")</f>
        <v>2.0584000000000007</v>
      </c>
      <c r="N36" s="43">
        <f t="shared" si="1"/>
        <v>285.97043623529402</v>
      </c>
      <c r="Q36" s="20" t="s">
        <v>398</v>
      </c>
      <c r="R36" s="43">
        <f>Aggregate!BG38</f>
        <v>24.078564705882354</v>
      </c>
    </row>
    <row r="37" spans="1:18" ht="14.25" customHeight="1" x14ac:dyDescent="0.3">
      <c r="A37">
        <v>36</v>
      </c>
      <c r="B37">
        <v>3</v>
      </c>
      <c r="C37" t="s">
        <v>738</v>
      </c>
      <c r="D37" t="s">
        <v>499</v>
      </c>
      <c r="E37" t="s">
        <v>142</v>
      </c>
      <c r="F37">
        <v>10</v>
      </c>
      <c r="G37" t="s">
        <v>1033</v>
      </c>
      <c r="H37" t="s">
        <v>1034</v>
      </c>
      <c r="I37" t="s">
        <v>1028</v>
      </c>
      <c r="J37">
        <v>9</v>
      </c>
      <c r="K37">
        <v>36</v>
      </c>
      <c r="L37" t="str">
        <f t="shared" si="0"/>
        <v>Jaylen Waddle</v>
      </c>
      <c r="M37" s="69">
        <f>IFERROR(VLOOKUP(E37,RISK!A:B,2,FALSE()),"")</f>
        <v>2.8241000000000014</v>
      </c>
      <c r="N37" s="43">
        <f t="shared" si="1"/>
        <v>158.90529529411762</v>
      </c>
      <c r="Q37" s="20" t="s">
        <v>399</v>
      </c>
      <c r="R37" s="43">
        <f>Aggregate!BG39</f>
        <v>15.262800000000002</v>
      </c>
    </row>
    <row r="38" spans="1:18" ht="14.25" customHeight="1" x14ac:dyDescent="0.3">
      <c r="A38">
        <v>37</v>
      </c>
      <c r="B38">
        <v>3</v>
      </c>
      <c r="C38" t="s">
        <v>734</v>
      </c>
      <c r="D38" t="s">
        <v>497</v>
      </c>
      <c r="E38" t="s">
        <v>143</v>
      </c>
      <c r="F38">
        <v>7</v>
      </c>
      <c r="G38" t="s">
        <v>1033</v>
      </c>
      <c r="H38" t="s">
        <v>1034</v>
      </c>
      <c r="I38" t="s">
        <v>1028</v>
      </c>
      <c r="J38">
        <v>1</v>
      </c>
      <c r="K38">
        <v>37</v>
      </c>
      <c r="L38" t="str">
        <f t="shared" si="0"/>
        <v>Ladd McConkey</v>
      </c>
      <c r="M38" s="69">
        <f>IFERROR(VLOOKUP(E38,RISK!A:B,2,FALSE()),"")</f>
        <v>2.8810000000000002</v>
      </c>
      <c r="N38" s="43">
        <f t="shared" si="1"/>
        <v>157.09839400000001</v>
      </c>
      <c r="Q38" s="20" t="s">
        <v>400</v>
      </c>
      <c r="R38" s="43">
        <f>Aggregate!BG40</f>
        <v>14.567929411764705</v>
      </c>
    </row>
    <row r="39" spans="1:18" ht="14.25" customHeight="1" x14ac:dyDescent="0.3">
      <c r="A39">
        <v>38</v>
      </c>
      <c r="B39">
        <v>3</v>
      </c>
      <c r="C39" t="s">
        <v>727</v>
      </c>
      <c r="D39" t="s">
        <v>523</v>
      </c>
      <c r="E39" t="s">
        <v>153</v>
      </c>
      <c r="F39">
        <v>13</v>
      </c>
      <c r="G39" t="s">
        <v>1033</v>
      </c>
      <c r="H39" t="s">
        <v>1033</v>
      </c>
      <c r="I39" t="s">
        <v>1029</v>
      </c>
      <c r="J39">
        <v>6</v>
      </c>
      <c r="K39">
        <v>38</v>
      </c>
      <c r="L39" t="str">
        <f t="shared" si="0"/>
        <v>Garrett Wilson</v>
      </c>
      <c r="M39" s="69">
        <f>IFERROR(VLOOKUP(E39,RISK!A:B,2,FALSE()),"")</f>
        <v>2.9373000000000005</v>
      </c>
      <c r="N39" s="43">
        <f t="shared" si="1"/>
        <v>155.83898482352942</v>
      </c>
      <c r="Q39" s="20" t="s">
        <v>401</v>
      </c>
      <c r="R39" s="43">
        <f>Aggregate!BG41</f>
        <v>10.104847058823529</v>
      </c>
    </row>
    <row r="40" spans="1:18" ht="14.25" customHeight="1" x14ac:dyDescent="0.3">
      <c r="A40">
        <v>39</v>
      </c>
      <c r="B40">
        <v>3</v>
      </c>
      <c r="C40" t="s">
        <v>903</v>
      </c>
      <c r="D40" t="s">
        <v>495</v>
      </c>
      <c r="E40" t="s">
        <v>138</v>
      </c>
      <c r="F40">
        <v>10</v>
      </c>
      <c r="G40" t="s">
        <v>1025</v>
      </c>
      <c r="H40" t="s">
        <v>1030</v>
      </c>
      <c r="I40" t="s">
        <v>1028</v>
      </c>
      <c r="J40">
        <v>2</v>
      </c>
      <c r="K40">
        <v>39</v>
      </c>
      <c r="L40" t="str">
        <f t="shared" si="0"/>
        <v>Colston Loveland</v>
      </c>
      <c r="M40" s="69">
        <f>IFERROR(VLOOKUP(E40,RISK!A:B,2,FALSE()),"")</f>
        <v>2.0484999999999989</v>
      </c>
      <c r="N40" s="43">
        <f t="shared" si="1"/>
        <v>141.38614235294119</v>
      </c>
      <c r="Q40" s="20" t="s">
        <v>402</v>
      </c>
      <c r="R40" s="43">
        <f>Aggregate!BG42</f>
        <v>10.098352941176472</v>
      </c>
    </row>
    <row r="41" spans="1:18" ht="14.25" customHeight="1" x14ac:dyDescent="0.3">
      <c r="A41">
        <v>40</v>
      </c>
      <c r="B41">
        <v>3</v>
      </c>
      <c r="C41" t="s">
        <v>596</v>
      </c>
      <c r="D41" t="s">
        <v>527</v>
      </c>
      <c r="E41" t="s">
        <v>115</v>
      </c>
      <c r="F41">
        <v>14</v>
      </c>
      <c r="G41" t="s">
        <v>1025</v>
      </c>
      <c r="H41" t="s">
        <v>1033</v>
      </c>
      <c r="I41" t="s">
        <v>1028</v>
      </c>
      <c r="J41">
        <v>-12</v>
      </c>
      <c r="K41">
        <v>40</v>
      </c>
      <c r="L41" t="str">
        <f t="shared" si="0"/>
        <v>Jeremiyah Love</v>
      </c>
      <c r="M41" s="69">
        <f>IFERROR(VLOOKUP(E41,RISK!A:B,2,FALSE()),"")</f>
        <v>2.6563999999999997</v>
      </c>
      <c r="N41" s="43">
        <f t="shared" si="1"/>
        <v>184.8372825882353</v>
      </c>
      <c r="Q41" s="20" t="s">
        <v>403</v>
      </c>
      <c r="R41" s="43">
        <f>Aggregate!BG43</f>
        <v>9.887294117647059</v>
      </c>
    </row>
    <row r="42" spans="1:18" ht="14.25" customHeight="1" x14ac:dyDescent="0.3">
      <c r="A42">
        <v>41</v>
      </c>
      <c r="B42">
        <v>3</v>
      </c>
      <c r="C42" t="s">
        <v>728</v>
      </c>
      <c r="D42" t="s">
        <v>521</v>
      </c>
      <c r="E42" t="s">
        <v>161</v>
      </c>
      <c r="F42">
        <v>5</v>
      </c>
      <c r="G42" t="s">
        <v>1033</v>
      </c>
      <c r="H42" t="s">
        <v>1034</v>
      </c>
      <c r="I42" t="s">
        <v>1028</v>
      </c>
      <c r="J42">
        <v>-2</v>
      </c>
      <c r="K42">
        <v>41</v>
      </c>
      <c r="L42" t="str">
        <f t="shared" si="0"/>
        <v>Tetairoa McMillan</v>
      </c>
      <c r="M42" s="69">
        <f>IFERROR(VLOOKUP(E42,RISK!A:B,2,FALSE()),"")</f>
        <v>2.9930000000000003</v>
      </c>
      <c r="N42" s="43">
        <f t="shared" si="1"/>
        <v>152.90552911764706</v>
      </c>
      <c r="Q42" s="20" t="s">
        <v>404</v>
      </c>
      <c r="R42" s="43">
        <f>Aggregate!BG44</f>
        <v>9.3856235294117667</v>
      </c>
    </row>
    <row r="43" spans="1:18" ht="14.25" customHeight="1" x14ac:dyDescent="0.3">
      <c r="A43">
        <v>42</v>
      </c>
      <c r="B43">
        <v>3</v>
      </c>
      <c r="C43" t="s">
        <v>730</v>
      </c>
      <c r="D43" t="s">
        <v>507</v>
      </c>
      <c r="E43" t="s">
        <v>150</v>
      </c>
      <c r="F43">
        <v>10</v>
      </c>
      <c r="G43" t="s">
        <v>1033</v>
      </c>
      <c r="H43" t="s">
        <v>1034</v>
      </c>
      <c r="I43" t="s">
        <v>1029</v>
      </c>
      <c r="J43">
        <v>1</v>
      </c>
      <c r="K43">
        <v>42</v>
      </c>
      <c r="L43" t="str">
        <f t="shared" si="0"/>
        <v>Emeka Egbuka</v>
      </c>
      <c r="M43" s="69">
        <f>IFERROR(VLOOKUP(E43,RISK!A:B,2,FALSE()),"")</f>
        <v>3.0480999999999998</v>
      </c>
      <c r="N43" s="43">
        <f t="shared" si="1"/>
        <v>149.71450735294115</v>
      </c>
      <c r="Q43" s="20" t="s">
        <v>405</v>
      </c>
      <c r="R43" s="43">
        <f>Aggregate!BG45</f>
        <v>8.5624941176470593</v>
      </c>
    </row>
    <row r="44" spans="1:18" ht="14.25" customHeight="1" x14ac:dyDescent="0.3">
      <c r="A44">
        <v>43</v>
      </c>
      <c r="B44">
        <v>4</v>
      </c>
      <c r="C44" t="s">
        <v>602</v>
      </c>
      <c r="D44" t="s">
        <v>505</v>
      </c>
      <c r="E44" t="s">
        <v>112</v>
      </c>
      <c r="F44">
        <v>8</v>
      </c>
      <c r="G44" t="s">
        <v>1033</v>
      </c>
      <c r="H44" t="s">
        <v>1033</v>
      </c>
      <c r="I44" t="s">
        <v>1032</v>
      </c>
      <c r="J44">
        <v>-8</v>
      </c>
      <c r="K44">
        <v>43</v>
      </c>
      <c r="L44" t="str">
        <f t="shared" si="0"/>
        <v>Travis Etienne Jr.</v>
      </c>
      <c r="M44" s="69">
        <f>IFERROR(VLOOKUP(E44,RISK!A:B,2,FALSE()),"")</f>
        <v>2.673</v>
      </c>
      <c r="N44" s="43">
        <f t="shared" si="1"/>
        <v>180.28422588235296</v>
      </c>
      <c r="Q44" s="20" t="s">
        <v>406</v>
      </c>
      <c r="R44" s="43">
        <f>Aggregate!BG46</f>
        <v>8.5495058823529408</v>
      </c>
    </row>
    <row r="45" spans="1:18" ht="14.25" customHeight="1" x14ac:dyDescent="0.3">
      <c r="A45">
        <v>44</v>
      </c>
      <c r="B45">
        <v>4</v>
      </c>
      <c r="C45" t="s">
        <v>476</v>
      </c>
      <c r="D45" t="s">
        <v>477</v>
      </c>
      <c r="E45" t="s">
        <v>365</v>
      </c>
      <c r="F45">
        <v>11</v>
      </c>
      <c r="G45" t="s">
        <v>1025</v>
      </c>
      <c r="H45" t="s">
        <v>1026</v>
      </c>
      <c r="I45" t="s">
        <v>1028</v>
      </c>
      <c r="J45">
        <v>7</v>
      </c>
      <c r="K45">
        <v>44</v>
      </c>
      <c r="L45" t="str">
        <f t="shared" si="0"/>
        <v>Drake Maye</v>
      </c>
      <c r="M45" s="69">
        <f>IFERROR(VLOOKUP(E45,RISK!A:B,2,FALSE()),"")</f>
        <v>2.0091999999999999</v>
      </c>
      <c r="N45" s="43">
        <f t="shared" si="1"/>
        <v>285.19295595294119</v>
      </c>
      <c r="Q45" s="20" t="s">
        <v>407</v>
      </c>
      <c r="R45" s="43">
        <f>Aggregate!BG47</f>
        <v>8.4715764705882357</v>
      </c>
    </row>
    <row r="46" spans="1:18" ht="14.25" customHeight="1" x14ac:dyDescent="0.3">
      <c r="A46">
        <v>45</v>
      </c>
      <c r="B46">
        <v>4</v>
      </c>
      <c r="C46" t="s">
        <v>603</v>
      </c>
      <c r="D46" t="s">
        <v>495</v>
      </c>
      <c r="E46" t="s">
        <v>125</v>
      </c>
      <c r="F46">
        <v>10</v>
      </c>
      <c r="G46" t="s">
        <v>1034</v>
      </c>
      <c r="H46" t="s">
        <v>1030</v>
      </c>
      <c r="I46" t="s">
        <v>1028</v>
      </c>
      <c r="J46">
        <v>-3</v>
      </c>
      <c r="K46">
        <v>45</v>
      </c>
      <c r="L46" t="str">
        <f t="shared" si="0"/>
        <v>D'Andre Swift</v>
      </c>
      <c r="M46" s="69">
        <f>IFERROR(VLOOKUP(E46,RISK!A:B,2,FALSE()),"")</f>
        <v>2.6907999999999994</v>
      </c>
      <c r="N46" s="43">
        <f t="shared" si="1"/>
        <v>178.40857647058823</v>
      </c>
      <c r="Q46" s="20" t="s">
        <v>408</v>
      </c>
      <c r="R46" s="43">
        <f>Aggregate!BG48</f>
        <v>7.383811764705885</v>
      </c>
    </row>
    <row r="47" spans="1:18" ht="14.25" customHeight="1" x14ac:dyDescent="0.3">
      <c r="A47">
        <v>46</v>
      </c>
      <c r="B47">
        <v>4</v>
      </c>
      <c r="C47" t="s">
        <v>739</v>
      </c>
      <c r="D47" t="s">
        <v>495</v>
      </c>
      <c r="E47" t="s">
        <v>156</v>
      </c>
      <c r="F47">
        <v>10</v>
      </c>
      <c r="G47" t="s">
        <v>1033</v>
      </c>
      <c r="H47" t="s">
        <v>1033</v>
      </c>
      <c r="I47" t="s">
        <v>1032</v>
      </c>
      <c r="J47">
        <v>6</v>
      </c>
      <c r="K47">
        <v>46</v>
      </c>
      <c r="L47" t="str">
        <f t="shared" si="0"/>
        <v>Luther Burden III</v>
      </c>
      <c r="M47" s="69">
        <f>IFERROR(VLOOKUP(E47,RISK!A:B,2,FALSE()),"")</f>
        <v>3.1026000000000007</v>
      </c>
      <c r="N47" s="43">
        <f t="shared" si="1"/>
        <v>148.09169941176469</v>
      </c>
      <c r="Q47" s="20" t="s">
        <v>409</v>
      </c>
      <c r="R47" s="43">
        <f>Aggregate!BG49</f>
        <v>4.9842352941176475</v>
      </c>
    </row>
    <row r="48" spans="1:18" ht="14.25" customHeight="1" x14ac:dyDescent="0.3">
      <c r="A48">
        <v>47</v>
      </c>
      <c r="B48">
        <v>4</v>
      </c>
      <c r="C48" t="s">
        <v>482</v>
      </c>
      <c r="D48" t="s">
        <v>483</v>
      </c>
      <c r="E48" t="s">
        <v>366</v>
      </c>
      <c r="F48">
        <v>6</v>
      </c>
      <c r="G48" t="s">
        <v>1033</v>
      </c>
      <c r="H48" t="s">
        <v>1033</v>
      </c>
      <c r="I48" t="s">
        <v>1032</v>
      </c>
      <c r="J48">
        <v>6</v>
      </c>
      <c r="K48">
        <v>47</v>
      </c>
      <c r="L48" t="str">
        <f t="shared" si="0"/>
        <v>Joe Burrow</v>
      </c>
      <c r="M48" s="69">
        <f>IFERROR(VLOOKUP(E48,RISK!A:B,2,FALSE()),"")</f>
        <v>1.9704000000000015</v>
      </c>
      <c r="N48" s="43">
        <f t="shared" si="1"/>
        <v>283.94959176470581</v>
      </c>
      <c r="Q48" s="20" t="s">
        <v>410</v>
      </c>
      <c r="R48" s="43">
        <f>Aggregate!BG50</f>
        <v>0</v>
      </c>
    </row>
    <row r="49" spans="1:18" ht="14.25" customHeight="1" x14ac:dyDescent="0.3">
      <c r="A49">
        <v>48</v>
      </c>
      <c r="B49">
        <v>4</v>
      </c>
      <c r="C49" t="s">
        <v>731</v>
      </c>
      <c r="D49" t="s">
        <v>501</v>
      </c>
      <c r="E49" t="s">
        <v>154</v>
      </c>
      <c r="F49">
        <v>11</v>
      </c>
      <c r="G49" t="s">
        <v>1033</v>
      </c>
      <c r="H49" t="s">
        <v>1033</v>
      </c>
      <c r="I49" t="s">
        <v>1031</v>
      </c>
      <c r="J49">
        <v>8</v>
      </c>
      <c r="K49">
        <v>48</v>
      </c>
      <c r="L49" t="str">
        <f t="shared" si="0"/>
        <v>Davante Adams</v>
      </c>
      <c r="M49" s="69">
        <f>IFERROR(VLOOKUP(E49,RISK!A:B,2,FALSE()),"")</f>
        <v>3.1565000000000012</v>
      </c>
      <c r="N49" s="43">
        <f t="shared" si="1"/>
        <v>144.33567829411763</v>
      </c>
      <c r="Q49" s="20" t="s">
        <v>96</v>
      </c>
      <c r="R49" s="43">
        <f>Aggregate!BL3</f>
        <v>291.33477105882349</v>
      </c>
    </row>
    <row r="50" spans="1:18" ht="14.25" customHeight="1" x14ac:dyDescent="0.3">
      <c r="A50">
        <v>49</v>
      </c>
      <c r="B50">
        <v>4</v>
      </c>
      <c r="C50" t="s">
        <v>735</v>
      </c>
      <c r="D50" t="s">
        <v>479</v>
      </c>
      <c r="E50" t="s">
        <v>172</v>
      </c>
      <c r="F50">
        <v>7</v>
      </c>
      <c r="G50" t="s">
        <v>1033</v>
      </c>
      <c r="H50" t="s">
        <v>1030</v>
      </c>
      <c r="I50" t="s">
        <v>1028</v>
      </c>
      <c r="J50">
        <v>5</v>
      </c>
      <c r="K50">
        <v>49</v>
      </c>
      <c r="L50" t="str">
        <f t="shared" si="0"/>
        <v>Terry McLaurin</v>
      </c>
      <c r="M50" s="69">
        <f>IFERROR(VLOOKUP(E50,RISK!A:B,2,FALSE()),"")</f>
        <v>3.2098000000000013</v>
      </c>
      <c r="N50" s="43">
        <f t="shared" si="1"/>
        <v>142.15262635294116</v>
      </c>
      <c r="Q50" s="20" t="s">
        <v>97</v>
      </c>
      <c r="R50" s="43">
        <f>Aggregate!BL4</f>
        <v>270.572</v>
      </c>
    </row>
    <row r="51" spans="1:18" ht="14.25" customHeight="1" x14ac:dyDescent="0.3">
      <c r="A51">
        <v>50</v>
      </c>
      <c r="B51">
        <v>4</v>
      </c>
      <c r="C51" t="s">
        <v>733</v>
      </c>
      <c r="D51" t="s">
        <v>503</v>
      </c>
      <c r="E51" t="s">
        <v>159</v>
      </c>
      <c r="F51">
        <v>6</v>
      </c>
      <c r="G51" t="s">
        <v>1033</v>
      </c>
      <c r="H51" t="s">
        <v>1034</v>
      </c>
      <c r="I51" t="s">
        <v>1029</v>
      </c>
      <c r="J51">
        <v>9</v>
      </c>
      <c r="K51">
        <v>50</v>
      </c>
      <c r="L51" t="str">
        <f t="shared" si="0"/>
        <v>Jameson Williams</v>
      </c>
      <c r="M51" s="69">
        <f>IFERROR(VLOOKUP(E51,RISK!A:B,2,FALSE()),"")</f>
        <v>3.2625000000000011</v>
      </c>
      <c r="N51" s="43">
        <f t="shared" si="1"/>
        <v>140.39643976470586</v>
      </c>
      <c r="Q51" s="20" t="s">
        <v>103</v>
      </c>
      <c r="R51" s="43">
        <f>Aggregate!BL5</f>
        <v>251.21209129411764</v>
      </c>
    </row>
    <row r="52" spans="1:18" ht="14.25" customHeight="1" x14ac:dyDescent="0.3">
      <c r="A52">
        <v>51</v>
      </c>
      <c r="B52">
        <v>4</v>
      </c>
      <c r="C52" t="s">
        <v>604</v>
      </c>
      <c r="D52" t="s">
        <v>507</v>
      </c>
      <c r="E52" t="s">
        <v>132</v>
      </c>
      <c r="F52">
        <v>10</v>
      </c>
      <c r="G52" t="s">
        <v>1034</v>
      </c>
      <c r="H52" t="s">
        <v>1033</v>
      </c>
      <c r="I52" t="s">
        <v>1028</v>
      </c>
      <c r="J52">
        <v>-4</v>
      </c>
      <c r="K52">
        <v>51</v>
      </c>
      <c r="L52" t="str">
        <f t="shared" si="0"/>
        <v>Bucky Irving</v>
      </c>
      <c r="M52" s="69">
        <f>IFERROR(VLOOKUP(E52,RISK!A:B,2,FALSE()),"")</f>
        <v>2.7097999999999995</v>
      </c>
      <c r="N52" s="43">
        <f t="shared" si="1"/>
        <v>172.54370047058822</v>
      </c>
      <c r="Q52" s="20" t="s">
        <v>102</v>
      </c>
      <c r="R52" s="43">
        <f>Aggregate!BL6</f>
        <v>246.8264162352942</v>
      </c>
    </row>
    <row r="53" spans="1:18" ht="14.25" customHeight="1" x14ac:dyDescent="0.3">
      <c r="A53">
        <v>52</v>
      </c>
      <c r="B53">
        <v>4</v>
      </c>
      <c r="C53" t="s">
        <v>601</v>
      </c>
      <c r="D53" t="s">
        <v>485</v>
      </c>
      <c r="E53" t="s">
        <v>130</v>
      </c>
      <c r="F53">
        <v>8</v>
      </c>
      <c r="G53" t="s">
        <v>1033</v>
      </c>
      <c r="H53" t="s">
        <v>1033</v>
      </c>
      <c r="I53" t="s">
        <v>1029</v>
      </c>
      <c r="J53">
        <v>-16</v>
      </c>
      <c r="K53">
        <v>52</v>
      </c>
      <c r="L53" t="str">
        <f t="shared" si="0"/>
        <v>Cam Skattebo</v>
      </c>
      <c r="M53" s="69">
        <f>IFERROR(VLOOKUP(E53,RISK!A:B,2,FALSE()),"")</f>
        <v>2.7300000000000004</v>
      </c>
      <c r="N53" s="43">
        <f t="shared" si="1"/>
        <v>167.75854199999998</v>
      </c>
      <c r="Q53" s="20" t="s">
        <v>107</v>
      </c>
      <c r="R53" s="43">
        <f>Aggregate!BL7</f>
        <v>225.03690505882358</v>
      </c>
    </row>
    <row r="54" spans="1:18" ht="14.25" customHeight="1" x14ac:dyDescent="0.3">
      <c r="A54">
        <v>53</v>
      </c>
      <c r="B54">
        <v>4</v>
      </c>
      <c r="C54" t="s">
        <v>904</v>
      </c>
      <c r="D54" t="s">
        <v>511</v>
      </c>
      <c r="E54" t="s">
        <v>151</v>
      </c>
      <c r="F54">
        <v>13</v>
      </c>
      <c r="G54" t="s">
        <v>1025</v>
      </c>
      <c r="H54" t="s">
        <v>1030</v>
      </c>
      <c r="I54" t="s">
        <v>1032</v>
      </c>
      <c r="J54">
        <v>-3</v>
      </c>
      <c r="K54">
        <v>53</v>
      </c>
      <c r="L54" t="str">
        <f t="shared" si="0"/>
        <v>Tyler Warren</v>
      </c>
      <c r="M54" s="69">
        <f>IFERROR(VLOOKUP(E54,RISK!A:B,2,FALSE()),"")</f>
        <v>1.9908000000000001</v>
      </c>
      <c r="N54" s="43">
        <f t="shared" si="1"/>
        <v>131.54638800000001</v>
      </c>
      <c r="Q54" s="20" t="s">
        <v>108</v>
      </c>
      <c r="R54" s="43">
        <f>Aggregate!BL8</f>
        <v>220.72607858823531</v>
      </c>
    </row>
    <row r="55" spans="1:18" ht="14.25" customHeight="1" x14ac:dyDescent="0.3">
      <c r="A55">
        <v>54</v>
      </c>
      <c r="B55">
        <v>4</v>
      </c>
      <c r="C55" t="s">
        <v>737</v>
      </c>
      <c r="D55" t="s">
        <v>471</v>
      </c>
      <c r="E55" t="s">
        <v>174</v>
      </c>
      <c r="F55">
        <v>7</v>
      </c>
      <c r="G55" t="s">
        <v>1033</v>
      </c>
      <c r="H55" t="s">
        <v>1030</v>
      </c>
      <c r="I55" t="s">
        <v>1029</v>
      </c>
      <c r="J55">
        <v>-5</v>
      </c>
      <c r="K55">
        <v>54</v>
      </c>
      <c r="L55" t="str">
        <f t="shared" si="0"/>
        <v>DJ Moore</v>
      </c>
      <c r="M55" s="69">
        <f>IFERROR(VLOOKUP(E55,RISK!A:B,2,FALSE()),"")</f>
        <v>3.3146000000000004</v>
      </c>
      <c r="N55" s="43">
        <f t="shared" si="1"/>
        <v>139.92113964705882</v>
      </c>
      <c r="Q55" s="20" t="s">
        <v>109</v>
      </c>
      <c r="R55" s="43">
        <f>Aggregate!BL9</f>
        <v>215.82118352941174</v>
      </c>
    </row>
    <row r="56" spans="1:18" ht="14.25" customHeight="1" x14ac:dyDescent="0.3">
      <c r="A56">
        <v>55</v>
      </c>
      <c r="B56">
        <v>4</v>
      </c>
      <c r="C56" t="s">
        <v>607</v>
      </c>
      <c r="D56" t="s">
        <v>519</v>
      </c>
      <c r="E56" t="s">
        <v>131</v>
      </c>
      <c r="F56">
        <v>8</v>
      </c>
      <c r="G56" t="s">
        <v>1033</v>
      </c>
      <c r="H56" t="s">
        <v>1030</v>
      </c>
      <c r="I56" t="s">
        <v>1029</v>
      </c>
      <c r="J56">
        <v>-7</v>
      </c>
      <c r="K56">
        <v>55</v>
      </c>
      <c r="L56" t="str">
        <f t="shared" si="0"/>
        <v>David Montgomery</v>
      </c>
      <c r="M56" s="69">
        <f>IFERROR(VLOOKUP(E56,RISK!A:B,2,FALSE()),"")</f>
        <v>2.7514000000000003</v>
      </c>
      <c r="N56" s="43">
        <f t="shared" si="1"/>
        <v>167.21407764705882</v>
      </c>
      <c r="Q56" s="20" t="s">
        <v>106</v>
      </c>
      <c r="R56" s="43">
        <f>Aggregate!BL10</f>
        <v>209.41520752941176</v>
      </c>
    </row>
    <row r="57" spans="1:18" ht="14.25" customHeight="1" x14ac:dyDescent="0.3">
      <c r="A57">
        <v>56</v>
      </c>
      <c r="B57">
        <v>4</v>
      </c>
      <c r="C57" t="s">
        <v>605</v>
      </c>
      <c r="D57" t="s">
        <v>535</v>
      </c>
      <c r="E57" t="s">
        <v>134</v>
      </c>
      <c r="F57">
        <v>11</v>
      </c>
      <c r="G57" t="s">
        <v>1033</v>
      </c>
      <c r="H57" t="s">
        <v>1033</v>
      </c>
      <c r="I57" t="s">
        <v>1032</v>
      </c>
      <c r="J57">
        <v>-10</v>
      </c>
      <c r="K57">
        <v>56</v>
      </c>
      <c r="L57" t="str">
        <f t="shared" si="0"/>
        <v>Quinshon Judkins</v>
      </c>
      <c r="M57" s="69">
        <f>IFERROR(VLOOKUP(E57,RISK!A:B,2,FALSE()),"")</f>
        <v>2.7740000000000009</v>
      </c>
      <c r="N57" s="43">
        <f t="shared" si="1"/>
        <v>162.69873235294116</v>
      </c>
      <c r="Q57" s="20" t="s">
        <v>116</v>
      </c>
      <c r="R57" s="43">
        <f>Aggregate!BL11</f>
        <v>206.99580529411764</v>
      </c>
    </row>
    <row r="58" spans="1:18" ht="14.25" customHeight="1" x14ac:dyDescent="0.3">
      <c r="A58">
        <v>57</v>
      </c>
      <c r="B58">
        <v>4</v>
      </c>
      <c r="C58" t="s">
        <v>741</v>
      </c>
      <c r="D58" t="s">
        <v>515</v>
      </c>
      <c r="E58" t="s">
        <v>177</v>
      </c>
      <c r="F58">
        <v>11</v>
      </c>
      <c r="G58" t="s">
        <v>1033</v>
      </c>
      <c r="H58" t="s">
        <v>1033</v>
      </c>
      <c r="I58" t="s">
        <v>1027</v>
      </c>
      <c r="J58">
        <v>7</v>
      </c>
      <c r="K58">
        <v>57</v>
      </c>
      <c r="L58" t="str">
        <f t="shared" si="0"/>
        <v>Christian Watson</v>
      </c>
      <c r="M58" s="69">
        <f>IFERROR(VLOOKUP(E58,RISK!A:B,2,FALSE()),"")</f>
        <v>3.3661000000000012</v>
      </c>
      <c r="N58" s="43">
        <f t="shared" si="1"/>
        <v>139.00203000000002</v>
      </c>
      <c r="Q58" s="20" t="s">
        <v>105</v>
      </c>
      <c r="R58" s="43">
        <f>Aggregate!BL12</f>
        <v>200.64298399999998</v>
      </c>
    </row>
    <row r="59" spans="1:18" ht="14.25" customHeight="1" x14ac:dyDescent="0.3">
      <c r="A59">
        <v>58</v>
      </c>
      <c r="B59">
        <v>4</v>
      </c>
      <c r="C59" t="s">
        <v>736</v>
      </c>
      <c r="D59" t="s">
        <v>495</v>
      </c>
      <c r="E59" t="s">
        <v>179</v>
      </c>
      <c r="F59">
        <v>10</v>
      </c>
      <c r="G59" t="s">
        <v>1033</v>
      </c>
      <c r="H59" t="s">
        <v>1034</v>
      </c>
      <c r="I59" t="s">
        <v>1032</v>
      </c>
      <c r="J59">
        <v>3</v>
      </c>
      <c r="K59">
        <v>58</v>
      </c>
      <c r="L59" t="str">
        <f t="shared" si="0"/>
        <v>Rome Odunze</v>
      </c>
      <c r="M59" s="69">
        <f>IFERROR(VLOOKUP(E59,RISK!A:B,2,FALSE()),"")</f>
        <v>3.4169999999999998</v>
      </c>
      <c r="N59" s="43">
        <f t="shared" si="1"/>
        <v>134.53451323529413</v>
      </c>
      <c r="Q59" s="20" t="s">
        <v>111</v>
      </c>
      <c r="R59" s="43">
        <f>Aggregate!BL13</f>
        <v>196.13463764705884</v>
      </c>
    </row>
    <row r="60" spans="1:18" ht="14.25" customHeight="1" x14ac:dyDescent="0.3">
      <c r="A60">
        <v>59</v>
      </c>
      <c r="B60">
        <v>4</v>
      </c>
      <c r="C60" t="s">
        <v>606</v>
      </c>
      <c r="D60" t="s">
        <v>489</v>
      </c>
      <c r="E60" t="s">
        <v>140</v>
      </c>
      <c r="F60">
        <v>7</v>
      </c>
      <c r="G60" t="s">
        <v>1033</v>
      </c>
      <c r="H60" t="s">
        <v>1034</v>
      </c>
      <c r="I60" t="s">
        <v>1029</v>
      </c>
      <c r="J60">
        <v>-2</v>
      </c>
      <c r="K60">
        <v>59</v>
      </c>
      <c r="L60" t="str">
        <f t="shared" si="0"/>
        <v>Bhayshul Tuten</v>
      </c>
      <c r="M60" s="69">
        <f>IFERROR(VLOOKUP(E60,RISK!A:B,2,FALSE()),"")</f>
        <v>2.7978000000000005</v>
      </c>
      <c r="N60" s="43">
        <f t="shared" si="1"/>
        <v>162.35562649411764</v>
      </c>
      <c r="Q60" s="20" t="s">
        <v>127</v>
      </c>
      <c r="R60" s="43">
        <f>Aggregate!BL14</f>
        <v>195.77061582917648</v>
      </c>
    </row>
    <row r="61" spans="1:18" ht="14.25" customHeight="1" x14ac:dyDescent="0.3">
      <c r="A61">
        <v>60</v>
      </c>
      <c r="B61">
        <v>4</v>
      </c>
      <c r="C61" t="s">
        <v>480</v>
      </c>
      <c r="D61" t="s">
        <v>481</v>
      </c>
      <c r="E61" t="s">
        <v>367</v>
      </c>
      <c r="F61">
        <v>10</v>
      </c>
      <c r="G61" t="s">
        <v>1033</v>
      </c>
      <c r="H61" t="s">
        <v>1034</v>
      </c>
      <c r="I61" t="s">
        <v>1027</v>
      </c>
      <c r="J61">
        <v>2</v>
      </c>
      <c r="K61">
        <v>60</v>
      </c>
      <c r="L61" t="str">
        <f t="shared" si="0"/>
        <v>Jalen Hurts</v>
      </c>
      <c r="M61" s="69">
        <f>IFERROR(VLOOKUP(E61,RISK!A:B,2,FALSE()),"")</f>
        <v>1.9420000000000002</v>
      </c>
      <c r="N61" s="43">
        <f t="shared" si="1"/>
        <v>283.02630400000004</v>
      </c>
      <c r="Q61" s="20" t="s">
        <v>117</v>
      </c>
      <c r="R61" s="43">
        <f>Aggregate!BL15</f>
        <v>194.43097058823528</v>
      </c>
    </row>
    <row r="62" spans="1:18" ht="14.25" customHeight="1" x14ac:dyDescent="0.3">
      <c r="A62">
        <v>61</v>
      </c>
      <c r="B62">
        <v>4</v>
      </c>
      <c r="C62" t="s">
        <v>608</v>
      </c>
      <c r="D62" t="s">
        <v>517</v>
      </c>
      <c r="E62" t="s">
        <v>136</v>
      </c>
      <c r="F62">
        <v>11</v>
      </c>
      <c r="G62" t="s">
        <v>1033</v>
      </c>
      <c r="H62" t="s">
        <v>1033</v>
      </c>
      <c r="I62" t="s">
        <v>1029</v>
      </c>
      <c r="J62">
        <v>-6</v>
      </c>
      <c r="K62">
        <v>61</v>
      </c>
      <c r="L62" t="str">
        <f t="shared" si="0"/>
        <v>Jadarian Price</v>
      </c>
      <c r="M62" s="69">
        <f>IFERROR(VLOOKUP(E62,RISK!A:B,2,FALSE()),"")</f>
        <v>2.8228000000000009</v>
      </c>
      <c r="N62" s="43">
        <f t="shared" si="1"/>
        <v>153.33169905882355</v>
      </c>
      <c r="Q62" s="20" t="s">
        <v>121</v>
      </c>
      <c r="R62" s="43">
        <f>Aggregate!BL16</f>
        <v>189.35422776470583</v>
      </c>
    </row>
    <row r="63" spans="1:18" ht="14.25" customHeight="1" x14ac:dyDescent="0.3">
      <c r="A63">
        <v>62</v>
      </c>
      <c r="B63">
        <v>4</v>
      </c>
      <c r="C63" t="s">
        <v>740</v>
      </c>
      <c r="D63" t="s">
        <v>487</v>
      </c>
      <c r="E63" t="s">
        <v>176</v>
      </c>
      <c r="F63">
        <v>8</v>
      </c>
      <c r="G63" t="s">
        <v>1033</v>
      </c>
      <c r="H63" t="s">
        <v>1033</v>
      </c>
      <c r="I63" t="s">
        <v>1028</v>
      </c>
      <c r="J63">
        <v>4</v>
      </c>
      <c r="K63">
        <v>62</v>
      </c>
      <c r="L63" t="str">
        <f t="shared" si="0"/>
        <v>Mike Evans</v>
      </c>
      <c r="M63" s="69">
        <f>IFERROR(VLOOKUP(E63,RISK!A:B,2,FALSE()),"")</f>
        <v>3.4673000000000016</v>
      </c>
      <c r="N63" s="43">
        <f t="shared" si="1"/>
        <v>129.83431588235291</v>
      </c>
      <c r="Q63" s="20" t="s">
        <v>118</v>
      </c>
      <c r="R63" s="43">
        <f>Aggregate!BL17</f>
        <v>187.47786117647053</v>
      </c>
    </row>
    <row r="64" spans="1:18" ht="14.25" customHeight="1" x14ac:dyDescent="0.3">
      <c r="A64">
        <v>63</v>
      </c>
      <c r="B64">
        <v>4</v>
      </c>
      <c r="C64" t="s">
        <v>478</v>
      </c>
      <c r="D64" t="s">
        <v>479</v>
      </c>
      <c r="E64" t="s">
        <v>368</v>
      </c>
      <c r="F64">
        <v>7</v>
      </c>
      <c r="G64" t="s">
        <v>1033</v>
      </c>
      <c r="H64" t="s">
        <v>1033</v>
      </c>
      <c r="I64" t="s">
        <v>1028</v>
      </c>
      <c r="J64">
        <v>0</v>
      </c>
      <c r="K64">
        <v>63</v>
      </c>
      <c r="L64" t="str">
        <f t="shared" si="0"/>
        <v>Jayden Daniels</v>
      </c>
      <c r="M64" s="69">
        <f>IFERROR(VLOOKUP(E64,RISK!A:B,2,FALSE()),"")</f>
        <v>1.9240000000000013</v>
      </c>
      <c r="N64" s="43">
        <f t="shared" si="1"/>
        <v>275.04698456470578</v>
      </c>
      <c r="Q64" s="20" t="s">
        <v>115</v>
      </c>
      <c r="R64" s="43">
        <f>Aggregate!BL18</f>
        <v>184.8372825882353</v>
      </c>
    </row>
    <row r="65" spans="1:18" ht="14.25" customHeight="1" x14ac:dyDescent="0.3">
      <c r="A65">
        <v>64</v>
      </c>
      <c r="B65">
        <v>4</v>
      </c>
      <c r="C65" t="s">
        <v>746</v>
      </c>
      <c r="D65" t="s">
        <v>489</v>
      </c>
      <c r="E65" t="s">
        <v>189</v>
      </c>
      <c r="F65">
        <v>7</v>
      </c>
      <c r="G65" t="s">
        <v>1033</v>
      </c>
      <c r="H65" t="s">
        <v>1030</v>
      </c>
      <c r="I65" t="s">
        <v>1029</v>
      </c>
      <c r="J65">
        <v>3</v>
      </c>
      <c r="K65">
        <v>64</v>
      </c>
      <c r="L65" t="str">
        <f t="shared" si="0"/>
        <v>Parker Washington</v>
      </c>
      <c r="M65" s="69">
        <f>IFERROR(VLOOKUP(E65,RISK!A:B,2,FALSE()),"")</f>
        <v>3.5170000000000012</v>
      </c>
      <c r="N65" s="43">
        <f t="shared" si="1"/>
        <v>128.90222164705884</v>
      </c>
      <c r="Q65" s="20" t="s">
        <v>112</v>
      </c>
      <c r="R65" s="43">
        <f>Aggregate!BL19</f>
        <v>180.28422588235296</v>
      </c>
    </row>
    <row r="66" spans="1:18" ht="14.25" customHeight="1" x14ac:dyDescent="0.3">
      <c r="A66">
        <v>65</v>
      </c>
      <c r="B66">
        <v>4</v>
      </c>
      <c r="C66" t="s">
        <v>610</v>
      </c>
      <c r="D66" t="s">
        <v>477</v>
      </c>
      <c r="E66" t="s">
        <v>144</v>
      </c>
      <c r="F66">
        <v>11</v>
      </c>
      <c r="G66" t="s">
        <v>1033</v>
      </c>
      <c r="H66" t="s">
        <v>1033</v>
      </c>
      <c r="I66" t="s">
        <v>1028</v>
      </c>
      <c r="J66">
        <v>-7</v>
      </c>
      <c r="K66">
        <v>65</v>
      </c>
      <c r="L66" t="str">
        <f t="shared" ref="L66:L129" si="2">C66</f>
        <v>TreVeyon Henderson</v>
      </c>
      <c r="M66" s="69">
        <f>IFERROR(VLOOKUP(E66,RISK!A:B,2,FALSE()),"")</f>
        <v>2.8490000000000002</v>
      </c>
      <c r="N66" s="43">
        <f t="shared" si="1"/>
        <v>145.30579764705882</v>
      </c>
      <c r="Q66" s="20" t="s">
        <v>125</v>
      </c>
      <c r="R66" s="43">
        <f>Aggregate!BL20</f>
        <v>178.40857647058823</v>
      </c>
    </row>
    <row r="67" spans="1:18" ht="14.25" customHeight="1" x14ac:dyDescent="0.3">
      <c r="A67">
        <v>66</v>
      </c>
      <c r="B67">
        <v>5</v>
      </c>
      <c r="C67" t="s">
        <v>494</v>
      </c>
      <c r="D67" t="s">
        <v>495</v>
      </c>
      <c r="E67" t="s">
        <v>369</v>
      </c>
      <c r="F67">
        <v>10</v>
      </c>
      <c r="G67" t="s">
        <v>1025</v>
      </c>
      <c r="H67" t="s">
        <v>1030</v>
      </c>
      <c r="I67" t="s">
        <v>1032</v>
      </c>
      <c r="J67">
        <v>6</v>
      </c>
      <c r="K67">
        <v>66</v>
      </c>
      <c r="L67" t="str">
        <f t="shared" si="2"/>
        <v>Caleb Williams</v>
      </c>
      <c r="M67" s="69">
        <f>IFERROR(VLOOKUP(E67,RISK!A:B,2,FALSE()),"")</f>
        <v>1.9164000000000012</v>
      </c>
      <c r="N67" s="43">
        <f t="shared" ref="N67:N130" si="3">VLOOKUP(E67,Q:R,2,FALSE)</f>
        <v>271.69758075294118</v>
      </c>
      <c r="Q67" s="20" t="s">
        <v>132</v>
      </c>
      <c r="R67" s="43">
        <f>Aggregate!BL21</f>
        <v>172.54370047058822</v>
      </c>
    </row>
    <row r="68" spans="1:18" ht="14.25" customHeight="1" x14ac:dyDescent="0.3">
      <c r="A68">
        <v>67</v>
      </c>
      <c r="B68">
        <v>5</v>
      </c>
      <c r="C68" t="s">
        <v>612</v>
      </c>
      <c r="D68" t="s">
        <v>477</v>
      </c>
      <c r="E68" t="s">
        <v>135</v>
      </c>
      <c r="F68">
        <v>11</v>
      </c>
      <c r="G68" t="s">
        <v>1033</v>
      </c>
      <c r="H68" t="s">
        <v>1034</v>
      </c>
      <c r="I68" t="s">
        <v>1028</v>
      </c>
      <c r="J68">
        <v>2</v>
      </c>
      <c r="K68">
        <v>67</v>
      </c>
      <c r="L68" t="str">
        <f t="shared" si="2"/>
        <v>Rhamondre Stevenson</v>
      </c>
      <c r="M68" s="69">
        <f>IFERROR(VLOOKUP(E68,RISK!A:B,2,FALSE()),"")</f>
        <v>2.8764000000000003</v>
      </c>
      <c r="N68" s="43">
        <f t="shared" si="3"/>
        <v>144.99609411764706</v>
      </c>
      <c r="Q68" s="20" t="s">
        <v>130</v>
      </c>
      <c r="R68" s="43">
        <f>Aggregate!BL22</f>
        <v>167.75854199999998</v>
      </c>
    </row>
    <row r="69" spans="1:18" ht="14.25" customHeight="1" x14ac:dyDescent="0.3">
      <c r="A69">
        <v>68</v>
      </c>
      <c r="B69">
        <v>5</v>
      </c>
      <c r="C69" t="s">
        <v>907</v>
      </c>
      <c r="D69" t="s">
        <v>515</v>
      </c>
      <c r="E69" t="s">
        <v>158</v>
      </c>
      <c r="F69">
        <v>11</v>
      </c>
      <c r="G69" t="s">
        <v>1025</v>
      </c>
      <c r="H69" t="s">
        <v>1034</v>
      </c>
      <c r="I69" t="s">
        <v>1028</v>
      </c>
      <c r="J69">
        <v>-3</v>
      </c>
      <c r="K69">
        <v>68</v>
      </c>
      <c r="L69" t="str">
        <f t="shared" si="2"/>
        <v>Tucker Kraft</v>
      </c>
      <c r="M69" s="69">
        <f>IFERROR(VLOOKUP(E69,RISK!A:B,2,FALSE()),"")</f>
        <v>1.9454999999999991</v>
      </c>
      <c r="N69" s="43">
        <f t="shared" si="3"/>
        <v>130.37474364705884</v>
      </c>
      <c r="Q69" s="20" t="s">
        <v>131</v>
      </c>
      <c r="R69" s="43">
        <f>Aggregate!BL23</f>
        <v>167.21407764705882</v>
      </c>
    </row>
    <row r="70" spans="1:18" ht="14.25" customHeight="1" x14ac:dyDescent="0.3">
      <c r="A70">
        <v>69</v>
      </c>
      <c r="B70">
        <v>5</v>
      </c>
      <c r="C70" t="s">
        <v>609</v>
      </c>
      <c r="D70" t="s">
        <v>529</v>
      </c>
      <c r="E70" t="s">
        <v>141</v>
      </c>
      <c r="F70">
        <v>9</v>
      </c>
      <c r="G70" t="s">
        <v>1033</v>
      </c>
      <c r="H70" t="s">
        <v>1033</v>
      </c>
      <c r="I70" t="s">
        <v>1028</v>
      </c>
      <c r="J70">
        <v>-1</v>
      </c>
      <c r="K70">
        <v>69</v>
      </c>
      <c r="L70" t="str">
        <f t="shared" si="2"/>
        <v>Jaylen Warren</v>
      </c>
      <c r="M70" s="69">
        <f>IFERROR(VLOOKUP(E70,RISK!A:B,2,FALSE()),"")</f>
        <v>2.9050000000000011</v>
      </c>
      <c r="N70" s="43">
        <f t="shared" si="3"/>
        <v>142.37419599999998</v>
      </c>
      <c r="Q70" s="20" t="s">
        <v>134</v>
      </c>
      <c r="R70" s="43">
        <f>Aggregate!BL24</f>
        <v>162.69873235294116</v>
      </c>
    </row>
    <row r="71" spans="1:18" ht="14.25" customHeight="1" x14ac:dyDescent="0.3">
      <c r="A71">
        <v>70</v>
      </c>
      <c r="B71">
        <v>5</v>
      </c>
      <c r="C71" t="s">
        <v>744</v>
      </c>
      <c r="D71" t="s">
        <v>527</v>
      </c>
      <c r="E71" t="s">
        <v>183</v>
      </c>
      <c r="F71">
        <v>14</v>
      </c>
      <c r="G71" t="s">
        <v>1034</v>
      </c>
      <c r="H71" t="s">
        <v>1033</v>
      </c>
      <c r="I71" t="s">
        <v>1028</v>
      </c>
      <c r="J71">
        <v>5</v>
      </c>
      <c r="K71">
        <v>70</v>
      </c>
      <c r="L71" t="str">
        <f t="shared" si="2"/>
        <v>Marvin Harrison Jr.</v>
      </c>
      <c r="M71" s="69">
        <f>IFERROR(VLOOKUP(E71,RISK!A:B,2,FALSE()),"")</f>
        <v>3.5661000000000005</v>
      </c>
      <c r="N71" s="43">
        <f t="shared" si="3"/>
        <v>128.04583270588233</v>
      </c>
      <c r="Q71" s="20" t="s">
        <v>140</v>
      </c>
      <c r="R71" s="43">
        <f>Aggregate!BL25</f>
        <v>162.35562649411764</v>
      </c>
    </row>
    <row r="72" spans="1:18" ht="14.25" customHeight="1" x14ac:dyDescent="0.3">
      <c r="A72">
        <v>71</v>
      </c>
      <c r="B72">
        <v>5</v>
      </c>
      <c r="C72" t="s">
        <v>496</v>
      </c>
      <c r="D72" t="s">
        <v>497</v>
      </c>
      <c r="E72" t="s">
        <v>370</v>
      </c>
      <c r="F72">
        <v>7</v>
      </c>
      <c r="G72" t="s">
        <v>1025</v>
      </c>
      <c r="H72" t="s">
        <v>1030</v>
      </c>
      <c r="I72" t="s">
        <v>1028</v>
      </c>
      <c r="J72">
        <v>7</v>
      </c>
      <c r="K72">
        <v>71</v>
      </c>
      <c r="L72" t="str">
        <f t="shared" si="2"/>
        <v>Justin Herbert</v>
      </c>
      <c r="M72" s="69">
        <f>IFERROR(VLOOKUP(E72,RISK!A:B,2,FALSE()),"")</f>
        <v>1.9192</v>
      </c>
      <c r="N72" s="43">
        <f t="shared" si="3"/>
        <v>271.48269882352935</v>
      </c>
      <c r="Q72" s="20" t="s">
        <v>136</v>
      </c>
      <c r="R72" s="43">
        <f>Aggregate!BL26</f>
        <v>153.33169905882355</v>
      </c>
    </row>
    <row r="73" spans="1:18" ht="14.25" customHeight="1" x14ac:dyDescent="0.3">
      <c r="A73">
        <v>72</v>
      </c>
      <c r="B73">
        <v>5</v>
      </c>
      <c r="C73" t="s">
        <v>749</v>
      </c>
      <c r="D73" t="s">
        <v>525</v>
      </c>
      <c r="E73" t="s">
        <v>184</v>
      </c>
      <c r="F73">
        <v>9</v>
      </c>
      <c r="G73" t="s">
        <v>1033</v>
      </c>
      <c r="H73" t="s">
        <v>1030</v>
      </c>
      <c r="I73" t="s">
        <v>1032</v>
      </c>
      <c r="J73">
        <v>2</v>
      </c>
      <c r="K73">
        <v>72</v>
      </c>
      <c r="L73" t="str">
        <f t="shared" si="2"/>
        <v>Carnell Tate</v>
      </c>
      <c r="M73" s="69">
        <f>IFERROR(VLOOKUP(E73,RISK!A:B,2,FALSE()),"")</f>
        <v>3.6146000000000011</v>
      </c>
      <c r="N73" s="43">
        <f t="shared" si="3"/>
        <v>127.94585294117647</v>
      </c>
      <c r="Q73" s="20" t="s">
        <v>144</v>
      </c>
      <c r="R73" s="43">
        <f>Aggregate!BL27</f>
        <v>145.30579764705882</v>
      </c>
    </row>
    <row r="74" spans="1:18" ht="14.25" customHeight="1" x14ac:dyDescent="0.3">
      <c r="A74">
        <v>73</v>
      </c>
      <c r="B74">
        <v>5</v>
      </c>
      <c r="C74" t="s">
        <v>488</v>
      </c>
      <c r="D74" t="s">
        <v>489</v>
      </c>
      <c r="E74" t="s">
        <v>371</v>
      </c>
      <c r="F74">
        <v>7</v>
      </c>
      <c r="G74" t="s">
        <v>1025</v>
      </c>
      <c r="H74" t="s">
        <v>1030</v>
      </c>
      <c r="I74" t="s">
        <v>1029</v>
      </c>
      <c r="J74">
        <v>14</v>
      </c>
      <c r="K74">
        <v>73</v>
      </c>
      <c r="L74" t="str">
        <f t="shared" si="2"/>
        <v>Trevor Lawrence</v>
      </c>
      <c r="M74" s="69">
        <f>IFERROR(VLOOKUP(E74,RISK!A:B,2,FALSE()),"")</f>
        <v>1.9324000000000012</v>
      </c>
      <c r="N74" s="43">
        <f t="shared" si="3"/>
        <v>270.11059529411762</v>
      </c>
      <c r="Q74" s="20" t="s">
        <v>135</v>
      </c>
      <c r="R74" s="43">
        <f>Aggregate!BL28</f>
        <v>144.99609411764706</v>
      </c>
    </row>
    <row r="75" spans="1:18" ht="14.25" customHeight="1" x14ac:dyDescent="0.3">
      <c r="A75">
        <v>74</v>
      </c>
      <c r="B75">
        <v>5</v>
      </c>
      <c r="C75" t="s">
        <v>611</v>
      </c>
      <c r="D75" t="s">
        <v>525</v>
      </c>
      <c r="E75" t="s">
        <v>147</v>
      </c>
      <c r="F75">
        <v>9</v>
      </c>
      <c r="G75" t="s">
        <v>1033</v>
      </c>
      <c r="H75" t="s">
        <v>1034</v>
      </c>
      <c r="I75" t="s">
        <v>1032</v>
      </c>
      <c r="J75">
        <v>3</v>
      </c>
      <c r="K75">
        <v>74</v>
      </c>
      <c r="L75" t="str">
        <f t="shared" si="2"/>
        <v>Tony Pollard</v>
      </c>
      <c r="M75" s="69">
        <f>IFERROR(VLOOKUP(E75,RISK!A:B,2,FALSE()),"")</f>
        <v>2.934800000000001</v>
      </c>
      <c r="N75" s="43">
        <f t="shared" si="3"/>
        <v>142.14125647058825</v>
      </c>
      <c r="Q75" s="20" t="s">
        <v>141</v>
      </c>
      <c r="R75" s="43">
        <f>Aggregate!BL29</f>
        <v>142.37419599999998</v>
      </c>
    </row>
    <row r="76" spans="1:18" ht="14.25" customHeight="1" x14ac:dyDescent="0.3">
      <c r="A76">
        <v>75</v>
      </c>
      <c r="B76">
        <v>5</v>
      </c>
      <c r="C76" t="s">
        <v>490</v>
      </c>
      <c r="D76" t="s">
        <v>491</v>
      </c>
      <c r="E76" t="s">
        <v>372</v>
      </c>
      <c r="F76">
        <v>14</v>
      </c>
      <c r="G76" t="s">
        <v>1033</v>
      </c>
      <c r="H76" t="s">
        <v>1030</v>
      </c>
      <c r="I76" t="s">
        <v>1028</v>
      </c>
      <c r="J76">
        <v>4</v>
      </c>
      <c r="K76">
        <v>75</v>
      </c>
      <c r="L76" t="str">
        <f t="shared" si="2"/>
        <v>Dak Prescott</v>
      </c>
      <c r="M76" s="69">
        <f>IFERROR(VLOOKUP(E76,RISK!A:B,2,FALSE()),"")</f>
        <v>1.9560000000000013</v>
      </c>
      <c r="N76" s="43">
        <f t="shared" si="3"/>
        <v>269.87979999999993</v>
      </c>
      <c r="Q76" s="20" t="s">
        <v>147</v>
      </c>
      <c r="R76" s="43">
        <f>Aggregate!BL30</f>
        <v>142.14125647058825</v>
      </c>
    </row>
    <row r="77" spans="1:18" ht="14.25" customHeight="1" x14ac:dyDescent="0.3">
      <c r="A77">
        <v>76</v>
      </c>
      <c r="B77">
        <v>5</v>
      </c>
      <c r="C77" t="s">
        <v>745</v>
      </c>
      <c r="D77" t="s">
        <v>529</v>
      </c>
      <c r="E77" t="s">
        <v>193</v>
      </c>
      <c r="F77">
        <v>9</v>
      </c>
      <c r="G77" t="s">
        <v>1034</v>
      </c>
      <c r="H77" t="s">
        <v>1034</v>
      </c>
      <c r="I77" t="s">
        <v>1032</v>
      </c>
      <c r="J77">
        <v>6</v>
      </c>
      <c r="K77">
        <v>76</v>
      </c>
      <c r="L77" t="str">
        <f t="shared" si="2"/>
        <v>DK Metcalf</v>
      </c>
      <c r="M77" s="69">
        <f>IFERROR(VLOOKUP(E77,RISK!A:B,2,FALSE()),"")</f>
        <v>3.6625000000000014</v>
      </c>
      <c r="N77" s="43">
        <f t="shared" si="3"/>
        <v>127.61356904470587</v>
      </c>
      <c r="Q77" s="20" t="s">
        <v>145</v>
      </c>
      <c r="R77" s="43">
        <f>Aggregate!BL31</f>
        <v>136.84297905882354</v>
      </c>
    </row>
    <row r="78" spans="1:18" ht="14.25" customHeight="1" x14ac:dyDescent="0.3">
      <c r="A78">
        <v>77</v>
      </c>
      <c r="B78">
        <v>5</v>
      </c>
      <c r="C78" t="s">
        <v>614</v>
      </c>
      <c r="D78" t="s">
        <v>529</v>
      </c>
      <c r="E78" t="s">
        <v>145</v>
      </c>
      <c r="F78">
        <v>9</v>
      </c>
      <c r="G78" t="s">
        <v>1033</v>
      </c>
      <c r="H78" t="s">
        <v>1033</v>
      </c>
      <c r="I78" t="s">
        <v>1028</v>
      </c>
      <c r="J78">
        <v>-1</v>
      </c>
      <c r="K78">
        <v>77</v>
      </c>
      <c r="L78" t="str">
        <f t="shared" si="2"/>
        <v>Rico Dowdle</v>
      </c>
      <c r="M78" s="69">
        <f>IFERROR(VLOOKUP(E78,RISK!A:B,2,FALSE()),"")</f>
        <v>2.9657999999999998</v>
      </c>
      <c r="N78" s="43">
        <f t="shared" si="3"/>
        <v>136.84297905882354</v>
      </c>
      <c r="Q78" s="20" t="s">
        <v>149</v>
      </c>
      <c r="R78" s="43">
        <f>Aggregate!BL32</f>
        <v>136.24731576470586</v>
      </c>
    </row>
    <row r="79" spans="1:18" ht="14.25" customHeight="1" x14ac:dyDescent="0.3">
      <c r="A79">
        <v>78</v>
      </c>
      <c r="B79">
        <v>5</v>
      </c>
      <c r="C79" t="s">
        <v>747</v>
      </c>
      <c r="D79" t="s">
        <v>489</v>
      </c>
      <c r="E79" t="s">
        <v>186</v>
      </c>
      <c r="F79">
        <v>7</v>
      </c>
      <c r="G79" t="s">
        <v>1030</v>
      </c>
      <c r="H79" t="s">
        <v>1033</v>
      </c>
      <c r="I79" t="s">
        <v>1029</v>
      </c>
      <c r="J79">
        <v>2</v>
      </c>
      <c r="K79">
        <v>78</v>
      </c>
      <c r="L79" t="str">
        <f t="shared" si="2"/>
        <v>Brian Thomas Jr.</v>
      </c>
      <c r="M79" s="69">
        <f>IFERROR(VLOOKUP(E79,RISK!A:B,2,FALSE()),"")</f>
        <v>3.7098000000000013</v>
      </c>
      <c r="N79" s="43">
        <f t="shared" si="3"/>
        <v>126.59862993298584</v>
      </c>
      <c r="Q79" s="20" t="s">
        <v>160</v>
      </c>
      <c r="R79" s="43">
        <f>Aggregate!BL33</f>
        <v>128.81946988235293</v>
      </c>
    </row>
    <row r="80" spans="1:18" ht="14.25" customHeight="1" x14ac:dyDescent="0.3">
      <c r="A80">
        <v>79</v>
      </c>
      <c r="B80">
        <v>5</v>
      </c>
      <c r="C80" t="s">
        <v>906</v>
      </c>
      <c r="D80" t="s">
        <v>535</v>
      </c>
      <c r="E80" t="s">
        <v>157</v>
      </c>
      <c r="F80">
        <v>11</v>
      </c>
      <c r="G80" t="s">
        <v>1033</v>
      </c>
      <c r="H80" t="s">
        <v>1034</v>
      </c>
      <c r="I80" t="s">
        <v>1032</v>
      </c>
      <c r="J80">
        <v>-9</v>
      </c>
      <c r="K80">
        <v>79</v>
      </c>
      <c r="L80" t="str">
        <f t="shared" si="2"/>
        <v>Harold Fannin Jr.</v>
      </c>
      <c r="M80" s="69">
        <f>IFERROR(VLOOKUP(E80,RISK!A:B,2,FALSE()),"")</f>
        <v>1.9125999999999994</v>
      </c>
      <c r="N80" s="43">
        <f t="shared" si="3"/>
        <v>125.77675200000002</v>
      </c>
      <c r="Q80" s="20" t="s">
        <v>148</v>
      </c>
      <c r="R80" s="43">
        <f>Aggregate!BL34</f>
        <v>123.70215541176469</v>
      </c>
    </row>
    <row r="81" spans="1:18" ht="14.25" customHeight="1" x14ac:dyDescent="0.3">
      <c r="A81">
        <v>80</v>
      </c>
      <c r="B81">
        <v>5</v>
      </c>
      <c r="C81" t="s">
        <v>754</v>
      </c>
      <c r="D81" t="s">
        <v>507</v>
      </c>
      <c r="E81" t="s">
        <v>198</v>
      </c>
      <c r="F81">
        <v>10</v>
      </c>
      <c r="G81" t="s">
        <v>1033</v>
      </c>
      <c r="H81" t="s">
        <v>1033</v>
      </c>
      <c r="I81" t="s">
        <v>1029</v>
      </c>
      <c r="J81">
        <v>3</v>
      </c>
      <c r="K81">
        <v>80</v>
      </c>
      <c r="L81" t="str">
        <f t="shared" si="2"/>
        <v>Chris Godwin Jr.</v>
      </c>
      <c r="M81" s="69">
        <f>IFERROR(VLOOKUP(E81,RISK!A:B,2,FALSE()),"")</f>
        <v>3.7565000000000008</v>
      </c>
      <c r="N81" s="43">
        <f t="shared" si="3"/>
        <v>121.29330871183919</v>
      </c>
      <c r="Q81" s="20" t="s">
        <v>178</v>
      </c>
      <c r="R81" s="43">
        <f>Aggregate!BL35</f>
        <v>123.14347176470588</v>
      </c>
    </row>
    <row r="82" spans="1:18" ht="14.25" customHeight="1" x14ac:dyDescent="0.3">
      <c r="A82">
        <v>81</v>
      </c>
      <c r="B82">
        <v>5</v>
      </c>
      <c r="C82" t="s">
        <v>616</v>
      </c>
      <c r="D82" t="s">
        <v>521</v>
      </c>
      <c r="E82" t="s">
        <v>149</v>
      </c>
      <c r="F82">
        <v>5</v>
      </c>
      <c r="G82" t="s">
        <v>1033</v>
      </c>
      <c r="H82" t="s">
        <v>1033</v>
      </c>
      <c r="I82" t="s">
        <v>1031</v>
      </c>
      <c r="J82">
        <v>0</v>
      </c>
      <c r="K82">
        <v>81</v>
      </c>
      <c r="L82" t="str">
        <f t="shared" si="2"/>
        <v>Jonathon Brooks</v>
      </c>
      <c r="M82" s="69">
        <f>IFERROR(VLOOKUP(E82,RISK!A:B,2,FALSE()),"")</f>
        <v>2.9980000000000011</v>
      </c>
      <c r="N82" s="43">
        <f t="shared" si="3"/>
        <v>136.24731576470586</v>
      </c>
      <c r="Q82" s="20" t="s">
        <v>152</v>
      </c>
      <c r="R82" s="43">
        <f>Aggregate!BL36</f>
        <v>118.16882023529409</v>
      </c>
    </row>
    <row r="83" spans="1:18" ht="14.25" customHeight="1" x14ac:dyDescent="0.3">
      <c r="A83">
        <v>82</v>
      </c>
      <c r="B83">
        <v>5</v>
      </c>
      <c r="C83" t="s">
        <v>910</v>
      </c>
      <c r="D83" t="s">
        <v>503</v>
      </c>
      <c r="E83" t="s">
        <v>168</v>
      </c>
      <c r="F83">
        <v>6</v>
      </c>
      <c r="G83" t="s">
        <v>1033</v>
      </c>
      <c r="H83" t="s">
        <v>1034</v>
      </c>
      <c r="I83" t="s">
        <v>1032</v>
      </c>
      <c r="J83">
        <v>-11</v>
      </c>
      <c r="K83">
        <v>82</v>
      </c>
      <c r="L83" t="str">
        <f t="shared" si="2"/>
        <v>Sam LaPorta</v>
      </c>
      <c r="M83" s="69">
        <f>IFERROR(VLOOKUP(E83,RISK!A:B,2,FALSE()),"")</f>
        <v>1.8920999999999992</v>
      </c>
      <c r="N83" s="43">
        <f t="shared" si="3"/>
        <v>123.85906323529413</v>
      </c>
      <c r="Q83" s="20" t="s">
        <v>165</v>
      </c>
      <c r="R83" s="43">
        <f>Aggregate!BL37</f>
        <v>115.74119364705882</v>
      </c>
    </row>
    <row r="84" spans="1:18" ht="14.25" customHeight="1" x14ac:dyDescent="0.3">
      <c r="A84">
        <v>83</v>
      </c>
      <c r="B84">
        <v>5</v>
      </c>
      <c r="C84" t="s">
        <v>905</v>
      </c>
      <c r="D84" t="s">
        <v>533</v>
      </c>
      <c r="E84" t="s">
        <v>155</v>
      </c>
      <c r="F84">
        <v>11</v>
      </c>
      <c r="G84" t="s">
        <v>1033</v>
      </c>
      <c r="H84" t="s">
        <v>1033</v>
      </c>
      <c r="I84" t="s">
        <v>1032</v>
      </c>
      <c r="J84">
        <v>-10</v>
      </c>
      <c r="K84">
        <v>83</v>
      </c>
      <c r="L84" t="str">
        <f t="shared" si="2"/>
        <v>Kyle Pitts Sr.</v>
      </c>
      <c r="M84" s="69">
        <f>IFERROR(VLOOKUP(E84,RISK!A:B,2,FALSE()),"")</f>
        <v>1.8839999999999986</v>
      </c>
      <c r="N84" s="43">
        <f t="shared" si="3"/>
        <v>123.79732000000001</v>
      </c>
      <c r="Q84" s="20" t="s">
        <v>169</v>
      </c>
      <c r="R84" s="43">
        <f>Aggregate!BL38</f>
        <v>114.95020941176472</v>
      </c>
    </row>
    <row r="85" spans="1:18" ht="14.25" customHeight="1" x14ac:dyDescent="0.3">
      <c r="A85">
        <v>84</v>
      </c>
      <c r="B85">
        <v>5</v>
      </c>
      <c r="C85" t="s">
        <v>742</v>
      </c>
      <c r="D85" t="s">
        <v>499</v>
      </c>
      <c r="E85" t="s">
        <v>188</v>
      </c>
      <c r="F85">
        <v>10</v>
      </c>
      <c r="G85" t="s">
        <v>1030</v>
      </c>
      <c r="H85" t="s">
        <v>1033</v>
      </c>
      <c r="I85" t="s">
        <v>1028</v>
      </c>
      <c r="J85">
        <v>6</v>
      </c>
      <c r="K85">
        <v>84</v>
      </c>
      <c r="L85" t="str">
        <f t="shared" si="2"/>
        <v>Courtland Sutton</v>
      </c>
      <c r="M85" s="69">
        <f>IFERROR(VLOOKUP(E85,RISK!A:B,2,FALSE()),"")</f>
        <v>3.8026000000000018</v>
      </c>
      <c r="N85" s="43">
        <f t="shared" si="3"/>
        <v>121.28355058823527</v>
      </c>
      <c r="Q85" s="20" t="s">
        <v>175</v>
      </c>
      <c r="R85" s="43">
        <f>Aggregate!BL39</f>
        <v>113.96180647058824</v>
      </c>
    </row>
    <row r="86" spans="1:18" ht="14.25" customHeight="1" x14ac:dyDescent="0.3">
      <c r="A86">
        <v>85</v>
      </c>
      <c r="B86">
        <v>5</v>
      </c>
      <c r="C86" t="s">
        <v>752</v>
      </c>
      <c r="D86" t="s">
        <v>497</v>
      </c>
      <c r="E86" t="s">
        <v>197</v>
      </c>
      <c r="F86">
        <v>7</v>
      </c>
      <c r="G86" t="s">
        <v>1033</v>
      </c>
      <c r="H86" t="s">
        <v>1033</v>
      </c>
      <c r="I86" t="s">
        <v>1028</v>
      </c>
      <c r="J86">
        <v>19</v>
      </c>
      <c r="K86">
        <v>85</v>
      </c>
      <c r="L86" t="str">
        <f t="shared" si="2"/>
        <v>Quentin Johnston</v>
      </c>
      <c r="M86" s="69">
        <f>IFERROR(VLOOKUP(E86,RISK!A:B,2,FALSE()),"")</f>
        <v>3.8481000000000005</v>
      </c>
      <c r="N86" s="43">
        <f t="shared" si="3"/>
        <v>119.05673870588235</v>
      </c>
      <c r="Q86" s="20" t="s">
        <v>166</v>
      </c>
      <c r="R86" s="43">
        <f>Aggregate!BL40</f>
        <v>113.44617411764706</v>
      </c>
    </row>
    <row r="87" spans="1:18" ht="14.25" customHeight="1" x14ac:dyDescent="0.3">
      <c r="A87">
        <v>86</v>
      </c>
      <c r="B87">
        <v>5</v>
      </c>
      <c r="C87" t="s">
        <v>613</v>
      </c>
      <c r="D87" t="s">
        <v>499</v>
      </c>
      <c r="E87" t="s">
        <v>160</v>
      </c>
      <c r="F87">
        <v>10</v>
      </c>
      <c r="G87" t="s">
        <v>1033</v>
      </c>
      <c r="H87" t="s">
        <v>1033</v>
      </c>
      <c r="I87" t="s">
        <v>1028</v>
      </c>
      <c r="J87">
        <v>3</v>
      </c>
      <c r="K87">
        <v>86</v>
      </c>
      <c r="L87" t="str">
        <f t="shared" si="2"/>
        <v>J.K. Dobbins</v>
      </c>
      <c r="M87" s="69">
        <f>IFERROR(VLOOKUP(E87,RISK!A:B,2,FALSE()),"")</f>
        <v>3.0313999999999997</v>
      </c>
      <c r="N87" s="43">
        <f t="shared" si="3"/>
        <v>128.81946988235293</v>
      </c>
      <c r="Q87" s="20" t="s">
        <v>162</v>
      </c>
      <c r="R87" s="43">
        <f>Aggregate!BL41</f>
        <v>112.89075200000001</v>
      </c>
    </row>
    <row r="88" spans="1:18" ht="14.25" customHeight="1" x14ac:dyDescent="0.3">
      <c r="A88">
        <v>87</v>
      </c>
      <c r="B88">
        <v>5</v>
      </c>
      <c r="C88" t="s">
        <v>748</v>
      </c>
      <c r="D88" t="s">
        <v>529</v>
      </c>
      <c r="E88" t="s">
        <v>201</v>
      </c>
      <c r="F88">
        <v>9</v>
      </c>
      <c r="G88" t="s">
        <v>1034</v>
      </c>
      <c r="H88" t="s">
        <v>1034</v>
      </c>
      <c r="I88" t="s">
        <v>1032</v>
      </c>
      <c r="J88">
        <v>28</v>
      </c>
      <c r="K88">
        <v>87</v>
      </c>
      <c r="L88" t="str">
        <f t="shared" si="2"/>
        <v>Michael Pittman Jr.</v>
      </c>
      <c r="M88" s="69">
        <f>IFERROR(VLOOKUP(E88,RISK!A:B,2,FALSE()),"")</f>
        <v>3.848101265822784</v>
      </c>
      <c r="N88" s="43">
        <f t="shared" si="3"/>
        <v>118.27425167535368</v>
      </c>
      <c r="Q88" s="20" t="s">
        <v>163</v>
      </c>
      <c r="R88" s="43">
        <f>Aggregate!BL42</f>
        <v>112.344448</v>
      </c>
    </row>
    <row r="89" spans="1:18" ht="14.25" customHeight="1" x14ac:dyDescent="0.3">
      <c r="A89">
        <v>88</v>
      </c>
      <c r="B89">
        <v>5</v>
      </c>
      <c r="C89" t="s">
        <v>624</v>
      </c>
      <c r="D89" t="s">
        <v>501</v>
      </c>
      <c r="E89" t="s">
        <v>148</v>
      </c>
      <c r="F89">
        <v>11</v>
      </c>
      <c r="G89" t="s">
        <v>1033</v>
      </c>
      <c r="H89" t="s">
        <v>1033</v>
      </c>
      <c r="I89" t="s">
        <v>1027</v>
      </c>
      <c r="J89">
        <v>3</v>
      </c>
      <c r="K89">
        <v>88</v>
      </c>
      <c r="L89" t="str">
        <f t="shared" si="2"/>
        <v>Blake Corum</v>
      </c>
      <c r="M89" s="69">
        <f>IFERROR(VLOOKUP(E89,RISK!A:B,2,FALSE()),"")</f>
        <v>3.0660000000000007</v>
      </c>
      <c r="N89" s="43">
        <f t="shared" si="3"/>
        <v>123.70215541176469</v>
      </c>
      <c r="Q89" s="20" t="s">
        <v>173</v>
      </c>
      <c r="R89" s="43">
        <f>Aggregate!BL43</f>
        <v>110.24252941176468</v>
      </c>
    </row>
    <row r="90" spans="1:18" ht="14.25" customHeight="1" x14ac:dyDescent="0.3">
      <c r="A90">
        <v>89</v>
      </c>
      <c r="B90">
        <v>5</v>
      </c>
      <c r="C90" t="s">
        <v>753</v>
      </c>
      <c r="D90" t="s">
        <v>527</v>
      </c>
      <c r="E90" t="s">
        <v>202</v>
      </c>
      <c r="F90">
        <v>14</v>
      </c>
      <c r="G90" t="s">
        <v>1035</v>
      </c>
      <c r="H90" t="s">
        <v>1035</v>
      </c>
      <c r="I90" t="s">
        <v>1028</v>
      </c>
      <c r="J90">
        <v>-1</v>
      </c>
      <c r="K90">
        <v>89</v>
      </c>
      <c r="L90" t="str">
        <f t="shared" si="2"/>
        <v>Michael Wilson</v>
      </c>
      <c r="M90" s="69">
        <f>IFERROR(VLOOKUP(E90,RISK!A:B,2,FALSE()),"")</f>
        <v>3.848101265822784</v>
      </c>
      <c r="N90" s="43">
        <f t="shared" si="3"/>
        <v>116.20862993298586</v>
      </c>
      <c r="Q90" s="20" t="s">
        <v>167</v>
      </c>
      <c r="R90" s="43">
        <f>Aggregate!BL44</f>
        <v>104.46286385529412</v>
      </c>
    </row>
    <row r="91" spans="1:18" ht="14.25" customHeight="1" x14ac:dyDescent="0.3">
      <c r="A91">
        <v>90</v>
      </c>
      <c r="B91">
        <v>5</v>
      </c>
      <c r="C91" t="s">
        <v>652</v>
      </c>
      <c r="D91" t="s">
        <v>515</v>
      </c>
      <c r="E91" t="s">
        <v>178</v>
      </c>
      <c r="F91">
        <v>11</v>
      </c>
      <c r="G91" t="s">
        <v>1033</v>
      </c>
      <c r="H91" t="s">
        <v>1033</v>
      </c>
      <c r="I91" t="s">
        <v>1029</v>
      </c>
      <c r="J91">
        <v>6</v>
      </c>
      <c r="K91">
        <v>90</v>
      </c>
      <c r="L91" t="str">
        <f t="shared" si="2"/>
        <v>MarShawn Lloyd</v>
      </c>
      <c r="M91" s="69">
        <f>IFERROR(VLOOKUP(E91,RISK!A:B,2,FALSE()),"")</f>
        <v>3.1018000000000008</v>
      </c>
      <c r="N91" s="43">
        <f t="shared" si="3"/>
        <v>123.14347176470588</v>
      </c>
      <c r="Q91" s="20" t="s">
        <v>199</v>
      </c>
      <c r="R91" s="43">
        <f>Aggregate!BL45</f>
        <v>97.313763529411744</v>
      </c>
    </row>
    <row r="92" spans="1:18" ht="14.25" customHeight="1" x14ac:dyDescent="0.3">
      <c r="A92">
        <v>91</v>
      </c>
      <c r="B92">
        <v>5</v>
      </c>
      <c r="C92" t="s">
        <v>908</v>
      </c>
      <c r="D92" t="s">
        <v>487</v>
      </c>
      <c r="E92" t="s">
        <v>164</v>
      </c>
      <c r="F92">
        <v>8</v>
      </c>
      <c r="G92" t="s">
        <v>1033</v>
      </c>
      <c r="H92" t="s">
        <v>1033</v>
      </c>
      <c r="I92" t="s">
        <v>1032</v>
      </c>
      <c r="J92">
        <v>-5</v>
      </c>
      <c r="K92">
        <v>91</v>
      </c>
      <c r="L92" t="str">
        <f t="shared" si="2"/>
        <v>George Kittle</v>
      </c>
      <c r="M92" s="69">
        <f>IFERROR(VLOOKUP(E92,RISK!A:B,2,FALSE()),"")</f>
        <v>1.8882999999999992</v>
      </c>
      <c r="N92" s="43">
        <f t="shared" si="3"/>
        <v>120.77086352941177</v>
      </c>
      <c r="Q92" s="20" t="s">
        <v>211</v>
      </c>
      <c r="R92" s="43">
        <f>Aggregate!BL46</f>
        <v>96.918823529411767</v>
      </c>
    </row>
    <row r="93" spans="1:18" ht="14.25" customHeight="1" x14ac:dyDescent="0.3">
      <c r="A93">
        <v>92</v>
      </c>
      <c r="B93">
        <v>5</v>
      </c>
      <c r="C93" t="s">
        <v>743</v>
      </c>
      <c r="D93" t="s">
        <v>511</v>
      </c>
      <c r="E93" t="s">
        <v>192</v>
      </c>
      <c r="F93">
        <v>13</v>
      </c>
      <c r="G93" t="s">
        <v>1033</v>
      </c>
      <c r="H93" t="s">
        <v>1033</v>
      </c>
      <c r="I93" t="s">
        <v>1029</v>
      </c>
      <c r="J93">
        <v>0</v>
      </c>
      <c r="K93">
        <v>92</v>
      </c>
      <c r="L93" t="str">
        <f t="shared" si="2"/>
        <v>Alec Pierce</v>
      </c>
      <c r="M93" s="69">
        <f>IFERROR(VLOOKUP(E93,RISK!A:B,2,FALSE()),"")</f>
        <v>3.848101265822784</v>
      </c>
      <c r="N93" s="43">
        <f t="shared" si="3"/>
        <v>113.16636366344007</v>
      </c>
      <c r="Q93" s="20" t="s">
        <v>190</v>
      </c>
      <c r="R93" s="43">
        <f>Aggregate!BL47</f>
        <v>90.294820941176454</v>
      </c>
    </row>
    <row r="94" spans="1:18" ht="14.25" customHeight="1" x14ac:dyDescent="0.3">
      <c r="A94">
        <v>93</v>
      </c>
      <c r="B94">
        <v>5</v>
      </c>
      <c r="C94" t="s">
        <v>615</v>
      </c>
      <c r="D94" t="s">
        <v>521</v>
      </c>
      <c r="E94" t="s">
        <v>152</v>
      </c>
      <c r="F94">
        <v>5</v>
      </c>
      <c r="G94" t="s">
        <v>1030</v>
      </c>
      <c r="H94" t="s">
        <v>1033</v>
      </c>
      <c r="I94" t="s">
        <v>1031</v>
      </c>
      <c r="J94">
        <v>-8</v>
      </c>
      <c r="K94">
        <v>93</v>
      </c>
      <c r="L94" t="str">
        <f t="shared" si="2"/>
        <v>Chuba Hubbard</v>
      </c>
      <c r="M94" s="69">
        <f>IFERROR(VLOOKUP(E94,RISK!A:B,2,FALSE()),"")</f>
        <v>3.1387999999999998</v>
      </c>
      <c r="N94" s="43">
        <f t="shared" si="3"/>
        <v>118.16882023529409</v>
      </c>
      <c r="Q94" s="20" t="s">
        <v>187</v>
      </c>
      <c r="R94" s="43">
        <f>Aggregate!BL48</f>
        <v>89.948840000000004</v>
      </c>
    </row>
    <row r="95" spans="1:18" ht="14.25" customHeight="1" x14ac:dyDescent="0.3">
      <c r="A95">
        <v>94</v>
      </c>
      <c r="B95">
        <v>6</v>
      </c>
      <c r="C95" t="s">
        <v>486</v>
      </c>
      <c r="D95" t="s">
        <v>487</v>
      </c>
      <c r="E95" t="s">
        <v>373</v>
      </c>
      <c r="F95">
        <v>8</v>
      </c>
      <c r="G95" t="s">
        <v>1033</v>
      </c>
      <c r="H95" t="s">
        <v>1030</v>
      </c>
      <c r="I95" t="s">
        <v>1031</v>
      </c>
      <c r="J95">
        <v>19</v>
      </c>
      <c r="K95">
        <v>94</v>
      </c>
      <c r="L95" t="str">
        <f t="shared" si="2"/>
        <v>Brock Purdy</v>
      </c>
      <c r="M95" s="69">
        <f>IFERROR(VLOOKUP(E95,RISK!A:B,2,FALSE()),"")</f>
        <v>1.9900000000000002</v>
      </c>
      <c r="N95" s="43">
        <f t="shared" si="3"/>
        <v>267.65049656470586</v>
      </c>
      <c r="Q95" s="20" t="s">
        <v>224</v>
      </c>
      <c r="R95" s="43">
        <f>Aggregate!BL49</f>
        <v>83.316725999999989</v>
      </c>
    </row>
    <row r="96" spans="1:18" ht="14.25" customHeight="1" x14ac:dyDescent="0.3">
      <c r="A96">
        <v>95</v>
      </c>
      <c r="B96">
        <v>6</v>
      </c>
      <c r="C96" t="s">
        <v>764</v>
      </c>
      <c r="D96" t="s">
        <v>511</v>
      </c>
      <c r="E96" t="s">
        <v>220</v>
      </c>
      <c r="F96">
        <v>13</v>
      </c>
      <c r="G96" t="s">
        <v>1034</v>
      </c>
      <c r="H96" t="s">
        <v>1033</v>
      </c>
      <c r="I96" t="s">
        <v>1029</v>
      </c>
      <c r="J96">
        <v>17</v>
      </c>
      <c r="K96">
        <v>95</v>
      </c>
      <c r="L96" t="str">
        <f t="shared" si="2"/>
        <v>Josh Downs</v>
      </c>
      <c r="M96" s="69">
        <f>IFERROR(VLOOKUP(E96,RISK!A:B,2,FALSE()),"")</f>
        <v>3.848101265822784</v>
      </c>
      <c r="N96" s="43">
        <f t="shared" si="3"/>
        <v>112.53383469843629</v>
      </c>
      <c r="Q96" s="20" t="s">
        <v>204</v>
      </c>
      <c r="R96" s="43">
        <f>Aggregate!BL50</f>
        <v>77.388521029411763</v>
      </c>
    </row>
    <row r="97" spans="1:18" ht="14.25" customHeight="1" x14ac:dyDescent="0.3">
      <c r="A97">
        <v>96</v>
      </c>
      <c r="B97">
        <v>6</v>
      </c>
      <c r="C97" t="s">
        <v>498</v>
      </c>
      <c r="D97" t="s">
        <v>499</v>
      </c>
      <c r="E97" t="s">
        <v>374</v>
      </c>
      <c r="F97">
        <v>10</v>
      </c>
      <c r="G97" t="s">
        <v>1033</v>
      </c>
      <c r="H97" t="s">
        <v>1030</v>
      </c>
      <c r="I97" t="s">
        <v>1032</v>
      </c>
      <c r="J97">
        <v>7</v>
      </c>
      <c r="K97">
        <v>96</v>
      </c>
      <c r="L97" t="str">
        <f t="shared" si="2"/>
        <v>Bo Nix</v>
      </c>
      <c r="M97" s="69">
        <f>IFERROR(VLOOKUP(E97,RISK!A:B,2,FALSE()),"")</f>
        <v>2.0343999999999998</v>
      </c>
      <c r="N97" s="43">
        <f t="shared" si="3"/>
        <v>265.58530748235296</v>
      </c>
      <c r="Q97" s="20" t="s">
        <v>215</v>
      </c>
      <c r="R97" s="43">
        <f>Aggregate!BL51</f>
        <v>75.323529411764696</v>
      </c>
    </row>
    <row r="98" spans="1:18" ht="14.25" customHeight="1" x14ac:dyDescent="0.3">
      <c r="A98">
        <v>97</v>
      </c>
      <c r="B98">
        <v>6</v>
      </c>
      <c r="C98" t="s">
        <v>622</v>
      </c>
      <c r="D98" t="s">
        <v>499</v>
      </c>
      <c r="E98" t="s">
        <v>165</v>
      </c>
      <c r="F98">
        <v>10</v>
      </c>
      <c r="G98" t="s">
        <v>1030</v>
      </c>
      <c r="H98" t="s">
        <v>1033</v>
      </c>
      <c r="I98" t="s">
        <v>1028</v>
      </c>
      <c r="J98">
        <v>-13</v>
      </c>
      <c r="K98">
        <v>97</v>
      </c>
      <c r="L98" t="str">
        <f t="shared" si="2"/>
        <v>RJ Harvey</v>
      </c>
      <c r="M98" s="69">
        <f>IFERROR(VLOOKUP(E98,RISK!A:B,2,FALSE()),"")</f>
        <v>3.1769999999999996</v>
      </c>
      <c r="N98" s="43">
        <f t="shared" si="3"/>
        <v>115.74119364705882</v>
      </c>
      <c r="Q98" s="20" t="s">
        <v>191</v>
      </c>
      <c r="R98" s="43">
        <f>Aggregate!BL52</f>
        <v>74.140330588235287</v>
      </c>
    </row>
    <row r="99" spans="1:18" ht="14.25" customHeight="1" x14ac:dyDescent="0.3">
      <c r="A99">
        <v>98</v>
      </c>
      <c r="B99">
        <v>6</v>
      </c>
      <c r="C99" t="s">
        <v>760</v>
      </c>
      <c r="D99" t="s">
        <v>479</v>
      </c>
      <c r="E99" t="s">
        <v>210</v>
      </c>
      <c r="F99">
        <v>7</v>
      </c>
      <c r="G99" t="s">
        <v>1033</v>
      </c>
      <c r="H99" t="s">
        <v>1030</v>
      </c>
      <c r="I99" t="s">
        <v>1028</v>
      </c>
      <c r="J99">
        <v>7</v>
      </c>
      <c r="K99">
        <v>98</v>
      </c>
      <c r="L99" t="str">
        <f t="shared" si="2"/>
        <v>Stefon Diggs</v>
      </c>
      <c r="M99" s="69">
        <f>IFERROR(VLOOKUP(E99,RISK!A:B,2,FALSE()),"")</f>
        <v>3.848101265822784</v>
      </c>
      <c r="N99" s="43">
        <f t="shared" si="3"/>
        <v>112.29183976172749</v>
      </c>
      <c r="Q99" s="20" t="s">
        <v>236</v>
      </c>
      <c r="R99" s="43">
        <f>Aggregate!BL53</f>
        <v>72.02</v>
      </c>
    </row>
    <row r="100" spans="1:18" ht="14.25" customHeight="1" x14ac:dyDescent="0.3">
      <c r="A100">
        <v>99</v>
      </c>
      <c r="B100">
        <v>6</v>
      </c>
      <c r="C100" t="s">
        <v>484</v>
      </c>
      <c r="D100" t="s">
        <v>485</v>
      </c>
      <c r="E100" t="s">
        <v>375</v>
      </c>
      <c r="F100">
        <v>8</v>
      </c>
      <c r="G100" t="s">
        <v>1025</v>
      </c>
      <c r="H100" t="s">
        <v>1033</v>
      </c>
      <c r="I100" t="s">
        <v>1029</v>
      </c>
      <c r="J100">
        <v>-4</v>
      </c>
      <c r="K100">
        <v>99</v>
      </c>
      <c r="L100" t="str">
        <f t="shared" si="2"/>
        <v>Jaxson Dart</v>
      </c>
      <c r="M100" s="69">
        <f>IFERROR(VLOOKUP(E100,RISK!A:B,2,FALSE()),"")</f>
        <v>2.0891999999999999</v>
      </c>
      <c r="N100" s="43">
        <f t="shared" si="3"/>
        <v>264.00541769411757</v>
      </c>
      <c r="Q100" s="20" t="s">
        <v>247</v>
      </c>
      <c r="R100" s="43">
        <f>Aggregate!BL54</f>
        <v>70.915303176470573</v>
      </c>
    </row>
    <row r="101" spans="1:18" ht="14.25" customHeight="1" x14ac:dyDescent="0.3">
      <c r="A101">
        <v>100</v>
      </c>
      <c r="B101">
        <v>6</v>
      </c>
      <c r="C101" t="s">
        <v>623</v>
      </c>
      <c r="D101" t="s">
        <v>509</v>
      </c>
      <c r="E101" t="s">
        <v>169</v>
      </c>
      <c r="F101">
        <v>6</v>
      </c>
      <c r="G101" t="s">
        <v>1033</v>
      </c>
      <c r="H101" t="s">
        <v>1034</v>
      </c>
      <c r="I101" t="s">
        <v>1029</v>
      </c>
      <c r="J101">
        <v>-6</v>
      </c>
      <c r="K101">
        <v>100</v>
      </c>
      <c r="L101" t="str">
        <f t="shared" si="2"/>
        <v>Jordan Mason</v>
      </c>
      <c r="M101" s="69">
        <f>IFERROR(VLOOKUP(E101,RISK!A:B,2,FALSE()),"")</f>
        <v>3.2164000000000001</v>
      </c>
      <c r="N101" s="43">
        <f t="shared" si="3"/>
        <v>114.95020941176472</v>
      </c>
      <c r="Q101" s="20" t="s">
        <v>233</v>
      </c>
      <c r="R101" s="43">
        <f>Aggregate!BL55</f>
        <v>70.356030588235299</v>
      </c>
    </row>
    <row r="102" spans="1:18" ht="14.25" customHeight="1" x14ac:dyDescent="0.3">
      <c r="A102">
        <v>101</v>
      </c>
      <c r="B102">
        <v>6</v>
      </c>
      <c r="C102" t="s">
        <v>620</v>
      </c>
      <c r="D102" t="s">
        <v>479</v>
      </c>
      <c r="E102" t="s">
        <v>175</v>
      </c>
      <c r="F102">
        <v>7</v>
      </c>
      <c r="G102" t="s">
        <v>1033</v>
      </c>
      <c r="H102" t="s">
        <v>1033</v>
      </c>
      <c r="I102" t="s">
        <v>1029</v>
      </c>
      <c r="J102">
        <v>-3</v>
      </c>
      <c r="K102">
        <v>101</v>
      </c>
      <c r="L102" t="str">
        <f t="shared" si="2"/>
        <v>Jacory Croskey-Merritt</v>
      </c>
      <c r="M102" s="69">
        <f>IFERROR(VLOOKUP(E102,RISK!A:B,2,FALSE()),"")</f>
        <v>3.2569999999999997</v>
      </c>
      <c r="N102" s="43">
        <f t="shared" si="3"/>
        <v>113.96180647058824</v>
      </c>
      <c r="Q102" s="20" t="s">
        <v>250</v>
      </c>
      <c r="R102" s="43">
        <f>Aggregate!BL56</f>
        <v>69.975864705882358</v>
      </c>
    </row>
    <row r="103" spans="1:18" ht="14.25" customHeight="1" x14ac:dyDescent="0.3">
      <c r="A103">
        <v>102</v>
      </c>
      <c r="B103">
        <v>6</v>
      </c>
      <c r="C103" t="s">
        <v>758</v>
      </c>
      <c r="D103" t="s">
        <v>525</v>
      </c>
      <c r="E103" t="s">
        <v>218</v>
      </c>
      <c r="F103">
        <v>9</v>
      </c>
      <c r="G103" t="s">
        <v>1033</v>
      </c>
      <c r="H103" t="s">
        <v>1034</v>
      </c>
      <c r="I103" t="s">
        <v>1032</v>
      </c>
      <c r="J103">
        <v>26</v>
      </c>
      <c r="K103">
        <v>102</v>
      </c>
      <c r="L103" t="str">
        <f t="shared" si="2"/>
        <v>Wan'Dale Robinson</v>
      </c>
      <c r="M103" s="69">
        <f>IFERROR(VLOOKUP(E103,RISK!A:B,2,FALSE()),"")</f>
        <v>3.848101265822784</v>
      </c>
      <c r="N103" s="43">
        <f t="shared" si="3"/>
        <v>111.70603871928517</v>
      </c>
      <c r="Q103" s="20" t="s">
        <v>234</v>
      </c>
      <c r="R103" s="43">
        <f>Aggregate!BL57</f>
        <v>68.609411764705882</v>
      </c>
    </row>
    <row r="104" spans="1:18" ht="14.25" customHeight="1" x14ac:dyDescent="0.3">
      <c r="A104">
        <v>103</v>
      </c>
      <c r="B104">
        <v>6</v>
      </c>
      <c r="C104" t="s">
        <v>492</v>
      </c>
      <c r="D104" t="s">
        <v>493</v>
      </c>
      <c r="E104" t="s">
        <v>376</v>
      </c>
      <c r="F104">
        <v>5</v>
      </c>
      <c r="G104" t="s">
        <v>1034</v>
      </c>
      <c r="H104" t="s">
        <v>1033</v>
      </c>
      <c r="I104" t="s">
        <v>1028</v>
      </c>
      <c r="J104">
        <v>11</v>
      </c>
      <c r="K104">
        <v>103</v>
      </c>
      <c r="L104" t="str">
        <f t="shared" si="2"/>
        <v>Patrick Mahomes II</v>
      </c>
      <c r="M104" s="69">
        <f>IFERROR(VLOOKUP(E104,RISK!A:B,2,FALSE()),"")</f>
        <v>2.1544000000000008</v>
      </c>
      <c r="N104" s="43">
        <f t="shared" si="3"/>
        <v>262.6145881411764</v>
      </c>
      <c r="Q104" s="20" t="s">
        <v>249</v>
      </c>
      <c r="R104" s="43">
        <f>Aggregate!BL58</f>
        <v>67.496275294117638</v>
      </c>
    </row>
    <row r="105" spans="1:18" ht="14.25" customHeight="1" x14ac:dyDescent="0.3">
      <c r="A105">
        <v>104</v>
      </c>
      <c r="B105">
        <v>6</v>
      </c>
      <c r="C105" t="s">
        <v>911</v>
      </c>
      <c r="D105" t="s">
        <v>493</v>
      </c>
      <c r="E105" t="s">
        <v>171</v>
      </c>
      <c r="F105">
        <v>5</v>
      </c>
      <c r="G105" t="s">
        <v>1034</v>
      </c>
      <c r="H105" t="s">
        <v>1034</v>
      </c>
      <c r="I105" t="s">
        <v>1029</v>
      </c>
      <c r="J105">
        <v>-11</v>
      </c>
      <c r="K105">
        <v>104</v>
      </c>
      <c r="L105" t="str">
        <f t="shared" si="2"/>
        <v>Travis Kelce</v>
      </c>
      <c r="M105" s="69">
        <f>IFERROR(VLOOKUP(E105,RISK!A:B,2,FALSE()),"")</f>
        <v>1.9049999999999994</v>
      </c>
      <c r="N105" s="43">
        <f t="shared" si="3"/>
        <v>119.50072647058825</v>
      </c>
      <c r="Q105" s="20" t="s">
        <v>296</v>
      </c>
      <c r="R105" s="43">
        <f>Aggregate!BL59</f>
        <v>66.865882352941199</v>
      </c>
    </row>
    <row r="106" spans="1:18" ht="14.25" customHeight="1" x14ac:dyDescent="0.3">
      <c r="A106">
        <v>105</v>
      </c>
      <c r="B106">
        <v>6</v>
      </c>
      <c r="C106" t="s">
        <v>750</v>
      </c>
      <c r="D106" t="s">
        <v>515</v>
      </c>
      <c r="E106" t="s">
        <v>208</v>
      </c>
      <c r="F106">
        <v>11</v>
      </c>
      <c r="G106" t="s">
        <v>1033</v>
      </c>
      <c r="H106" t="s">
        <v>1033</v>
      </c>
      <c r="I106" t="s">
        <v>1027</v>
      </c>
      <c r="J106">
        <v>4</v>
      </c>
      <c r="K106">
        <v>105</v>
      </c>
      <c r="L106" t="str">
        <f t="shared" si="2"/>
        <v>Jayden Reed</v>
      </c>
      <c r="M106" s="69">
        <f>IFERROR(VLOOKUP(E106,RISK!A:B,2,FALSE()),"")</f>
        <v>3.848101265822784</v>
      </c>
      <c r="N106" s="43">
        <f t="shared" si="3"/>
        <v>111.27281041176468</v>
      </c>
      <c r="Q106" s="20" t="s">
        <v>318</v>
      </c>
      <c r="R106" s="43">
        <f>Aggregate!BL60</f>
        <v>66.055283999999986</v>
      </c>
    </row>
    <row r="107" spans="1:18" ht="14.25" customHeight="1" x14ac:dyDescent="0.3">
      <c r="A107">
        <v>106</v>
      </c>
      <c r="B107">
        <v>6</v>
      </c>
      <c r="C107" t="s">
        <v>619</v>
      </c>
      <c r="D107" t="s">
        <v>507</v>
      </c>
      <c r="E107" t="s">
        <v>166</v>
      </c>
      <c r="F107">
        <v>10</v>
      </c>
      <c r="G107" t="s">
        <v>1033</v>
      </c>
      <c r="H107" t="s">
        <v>1034</v>
      </c>
      <c r="I107" t="s">
        <v>1028</v>
      </c>
      <c r="J107">
        <v>2</v>
      </c>
      <c r="K107">
        <v>106</v>
      </c>
      <c r="L107" t="str">
        <f t="shared" si="2"/>
        <v>Kenny Gainwell</v>
      </c>
      <c r="M107" s="69">
        <f>IFERROR(VLOOKUP(E107,RISK!A:B,2,FALSE()),"")</f>
        <v>3.2988</v>
      </c>
      <c r="N107" s="43">
        <f t="shared" si="3"/>
        <v>113.44617411764706</v>
      </c>
      <c r="Q107" s="20" t="s">
        <v>238</v>
      </c>
      <c r="R107" s="43">
        <f>Aggregate!BL61</f>
        <v>63.822352941176469</v>
      </c>
    </row>
    <row r="108" spans="1:18" ht="14.25" customHeight="1" x14ac:dyDescent="0.3">
      <c r="A108">
        <v>107</v>
      </c>
      <c r="B108">
        <v>6</v>
      </c>
      <c r="C108" t="s">
        <v>755</v>
      </c>
      <c r="D108" t="s">
        <v>509</v>
      </c>
      <c r="E108" t="s">
        <v>205</v>
      </c>
      <c r="F108">
        <v>6</v>
      </c>
      <c r="G108" t="s">
        <v>1033</v>
      </c>
      <c r="H108" t="s">
        <v>1034</v>
      </c>
      <c r="I108" t="s">
        <v>1027</v>
      </c>
      <c r="J108">
        <v>0</v>
      </c>
      <c r="K108">
        <v>107</v>
      </c>
      <c r="L108" t="str">
        <f t="shared" si="2"/>
        <v>Jordan Addison</v>
      </c>
      <c r="M108" s="69">
        <f>IFERROR(VLOOKUP(E108,RISK!A:B,2,FALSE()),"")</f>
        <v>3.848101265822784</v>
      </c>
      <c r="N108" s="43">
        <f t="shared" si="3"/>
        <v>110.52090264705882</v>
      </c>
      <c r="Q108" s="20" t="s">
        <v>321</v>
      </c>
      <c r="R108" s="43">
        <f>Aggregate!BL62</f>
        <v>63.187647058823529</v>
      </c>
    </row>
    <row r="109" spans="1:18" ht="14.25" customHeight="1" x14ac:dyDescent="0.3">
      <c r="A109">
        <v>108</v>
      </c>
      <c r="B109">
        <v>6</v>
      </c>
      <c r="C109" t="s">
        <v>502</v>
      </c>
      <c r="D109" t="s">
        <v>503</v>
      </c>
      <c r="E109" t="s">
        <v>377</v>
      </c>
      <c r="F109">
        <v>6</v>
      </c>
      <c r="G109" t="s">
        <v>1033</v>
      </c>
      <c r="H109" t="s">
        <v>1030</v>
      </c>
      <c r="I109" t="s">
        <v>1027</v>
      </c>
      <c r="J109">
        <v>15</v>
      </c>
      <c r="K109">
        <v>108</v>
      </c>
      <c r="L109" t="str">
        <f t="shared" si="2"/>
        <v>Jared Goff</v>
      </c>
      <c r="M109" s="69">
        <f>IFERROR(VLOOKUP(E109,RISK!A:B,2,FALSE()),"")</f>
        <v>2.2300000000000004</v>
      </c>
      <c r="N109" s="43">
        <f t="shared" si="3"/>
        <v>253.88635999999991</v>
      </c>
      <c r="Q109" s="20" t="s">
        <v>292</v>
      </c>
      <c r="R109" s="43">
        <f>Aggregate!BL63</f>
        <v>62.099311764705895</v>
      </c>
    </row>
    <row r="110" spans="1:18" ht="14.25" customHeight="1" x14ac:dyDescent="0.3">
      <c r="A110">
        <v>109</v>
      </c>
      <c r="B110">
        <v>6</v>
      </c>
      <c r="C110" t="s">
        <v>500</v>
      </c>
      <c r="D110" t="s">
        <v>501</v>
      </c>
      <c r="E110" t="s">
        <v>378</v>
      </c>
      <c r="F110">
        <v>11</v>
      </c>
      <c r="G110" t="s">
        <v>1033</v>
      </c>
      <c r="H110" t="s">
        <v>1030</v>
      </c>
      <c r="I110" t="s">
        <v>1032</v>
      </c>
      <c r="J110">
        <v>-8</v>
      </c>
      <c r="K110">
        <v>109</v>
      </c>
      <c r="L110" t="str">
        <f t="shared" si="2"/>
        <v>Matthew Stafford</v>
      </c>
      <c r="M110" s="69">
        <f>IFERROR(VLOOKUP(E110,RISK!A:B,2,FALSE()),"")</f>
        <v>2.3160000000000007</v>
      </c>
      <c r="N110" s="43">
        <f t="shared" si="3"/>
        <v>250.36612070588231</v>
      </c>
      <c r="Q110" s="20" t="s">
        <v>266</v>
      </c>
      <c r="R110" s="43">
        <f>Aggregate!BL64</f>
        <v>61.288790588235294</v>
      </c>
    </row>
    <row r="111" spans="1:18" ht="14.25" customHeight="1" x14ac:dyDescent="0.3">
      <c r="A111">
        <v>110</v>
      </c>
      <c r="B111">
        <v>6</v>
      </c>
      <c r="C111" t="s">
        <v>914</v>
      </c>
      <c r="D111" t="s">
        <v>471</v>
      </c>
      <c r="E111" t="s">
        <v>182</v>
      </c>
      <c r="F111">
        <v>7</v>
      </c>
      <c r="G111" t="s">
        <v>1034</v>
      </c>
      <c r="H111" t="s">
        <v>1033</v>
      </c>
      <c r="I111" t="s">
        <v>1032</v>
      </c>
      <c r="J111">
        <v>-11</v>
      </c>
      <c r="K111">
        <v>110</v>
      </c>
      <c r="L111" t="str">
        <f t="shared" si="2"/>
        <v>Dalton Kincaid</v>
      </c>
      <c r="M111" s="69">
        <f>IFERROR(VLOOKUP(E111,RISK!A:B,2,FALSE()),"")</f>
        <v>1.934099999999999</v>
      </c>
      <c r="N111" s="43">
        <f t="shared" si="3"/>
        <v>119.11602117647061</v>
      </c>
      <c r="Q111" s="20" t="s">
        <v>265</v>
      </c>
      <c r="R111" s="43">
        <f>Aggregate!BL65</f>
        <v>60.579525882352939</v>
      </c>
    </row>
    <row r="112" spans="1:18" ht="14.25" customHeight="1" x14ac:dyDescent="0.3">
      <c r="A112">
        <v>111</v>
      </c>
      <c r="B112">
        <v>6</v>
      </c>
      <c r="C112" t="s">
        <v>617</v>
      </c>
      <c r="D112" t="s">
        <v>495</v>
      </c>
      <c r="E112" t="s">
        <v>162</v>
      </c>
      <c r="F112">
        <v>10</v>
      </c>
      <c r="G112" t="s">
        <v>1033</v>
      </c>
      <c r="H112" t="s">
        <v>1034</v>
      </c>
      <c r="I112" t="s">
        <v>1028</v>
      </c>
      <c r="J112">
        <v>-14</v>
      </c>
      <c r="K112">
        <v>111</v>
      </c>
      <c r="L112" t="str">
        <f t="shared" si="2"/>
        <v>Kyle Monangai</v>
      </c>
      <c r="M112" s="69">
        <f>IFERROR(VLOOKUP(E112,RISK!A:B,2,FALSE()),"")</f>
        <v>3.341800000000001</v>
      </c>
      <c r="N112" s="43">
        <f t="shared" si="3"/>
        <v>112.89075200000001</v>
      </c>
      <c r="Q112" s="20" t="s">
        <v>295</v>
      </c>
      <c r="R112" s="43">
        <f>Aggregate!BL66</f>
        <v>60.551155294117649</v>
      </c>
    </row>
    <row r="113" spans="1:18" ht="14.25" customHeight="1" x14ac:dyDescent="0.3">
      <c r="A113">
        <v>112</v>
      </c>
      <c r="B113">
        <v>6</v>
      </c>
      <c r="C113" t="s">
        <v>769</v>
      </c>
      <c r="D113" t="s">
        <v>481</v>
      </c>
      <c r="E113" t="s">
        <v>207</v>
      </c>
      <c r="F113">
        <v>10</v>
      </c>
      <c r="G113" t="s">
        <v>1033</v>
      </c>
      <c r="H113" t="s">
        <v>1030</v>
      </c>
      <c r="I113" t="s">
        <v>1029</v>
      </c>
      <c r="J113">
        <v>-2</v>
      </c>
      <c r="K113">
        <v>112</v>
      </c>
      <c r="L113" t="str">
        <f t="shared" si="2"/>
        <v>Makai Lemon</v>
      </c>
      <c r="M113" s="69">
        <f>IFERROR(VLOOKUP(E113,RISK!A:B,2,FALSE()),"")</f>
        <v>3.848101265822784</v>
      </c>
      <c r="N113" s="43">
        <f t="shared" si="3"/>
        <v>110.15102010424425</v>
      </c>
      <c r="Q113" s="20" t="s">
        <v>300</v>
      </c>
      <c r="R113" s="43">
        <f>Aggregate!BL67</f>
        <v>59.69509505882354</v>
      </c>
    </row>
    <row r="114" spans="1:18" ht="14.25" customHeight="1" x14ac:dyDescent="0.3">
      <c r="A114">
        <v>113</v>
      </c>
      <c r="B114">
        <v>6</v>
      </c>
      <c r="C114" t="s">
        <v>618</v>
      </c>
      <c r="D114" t="s">
        <v>479</v>
      </c>
      <c r="E114" t="s">
        <v>163</v>
      </c>
      <c r="F114">
        <v>7</v>
      </c>
      <c r="G114" t="s">
        <v>1033</v>
      </c>
      <c r="H114" t="s">
        <v>1030</v>
      </c>
      <c r="I114" t="s">
        <v>1029</v>
      </c>
      <c r="J114">
        <v>6</v>
      </c>
      <c r="K114">
        <v>113</v>
      </c>
      <c r="L114" t="str">
        <f t="shared" si="2"/>
        <v>Rachaad White</v>
      </c>
      <c r="M114" s="69">
        <f>IFERROR(VLOOKUP(E114,RISK!A:B,2,FALSE()),"")</f>
        <v>3.386000000000001</v>
      </c>
      <c r="N114" s="43">
        <f t="shared" si="3"/>
        <v>112.344448</v>
      </c>
      <c r="Q114" s="20" t="s">
        <v>304</v>
      </c>
      <c r="R114" s="43">
        <f>Aggregate!BL68</f>
        <v>57.75823529411764</v>
      </c>
    </row>
    <row r="115" spans="1:18" ht="14.25" customHeight="1" x14ac:dyDescent="0.3">
      <c r="A115">
        <v>114</v>
      </c>
      <c r="B115">
        <v>6</v>
      </c>
      <c r="C115" t="s">
        <v>751</v>
      </c>
      <c r="D115" t="s">
        <v>489</v>
      </c>
      <c r="E115" t="s">
        <v>206</v>
      </c>
      <c r="F115">
        <v>7</v>
      </c>
      <c r="G115" t="s">
        <v>1030</v>
      </c>
      <c r="H115" t="s">
        <v>1034</v>
      </c>
      <c r="I115" t="s">
        <v>1029</v>
      </c>
      <c r="J115">
        <v>20</v>
      </c>
      <c r="K115">
        <v>114</v>
      </c>
      <c r="L115" t="str">
        <f t="shared" si="2"/>
        <v>Jakobi Meyers</v>
      </c>
      <c r="M115" s="69">
        <f>IFERROR(VLOOKUP(E115,RISK!A:B,2,FALSE()),"")</f>
        <v>3.848101265822784</v>
      </c>
      <c r="N115" s="43">
        <f t="shared" si="3"/>
        <v>109.57852568875653</v>
      </c>
      <c r="Q115" s="20" t="s">
        <v>307</v>
      </c>
      <c r="R115" s="43">
        <f>Aggregate!BL69</f>
        <v>54.921176470588243</v>
      </c>
    </row>
    <row r="116" spans="1:18" ht="14.25" customHeight="1" x14ac:dyDescent="0.3">
      <c r="A116">
        <v>115</v>
      </c>
      <c r="B116">
        <v>6</v>
      </c>
      <c r="C116" t="s">
        <v>913</v>
      </c>
      <c r="D116" t="s">
        <v>485</v>
      </c>
      <c r="E116" t="s">
        <v>170</v>
      </c>
      <c r="F116">
        <v>8</v>
      </c>
      <c r="G116" t="s">
        <v>1033</v>
      </c>
      <c r="H116" t="s">
        <v>1034</v>
      </c>
      <c r="I116" t="s">
        <v>1032</v>
      </c>
      <c r="J116">
        <v>-15</v>
      </c>
      <c r="K116">
        <v>115</v>
      </c>
      <c r="L116" t="str">
        <f t="shared" si="2"/>
        <v>Isaiah Likely</v>
      </c>
      <c r="M116" s="69">
        <f>IFERROR(VLOOKUP(E116,RISK!A:B,2,FALSE()),"")</f>
        <v>1.9756</v>
      </c>
      <c r="N116" s="43">
        <f t="shared" si="3"/>
        <v>110.8608451764706</v>
      </c>
      <c r="Q116" s="20" t="s">
        <v>320</v>
      </c>
      <c r="R116" s="43">
        <f>Aggregate!BL70</f>
        <v>53.957647058823525</v>
      </c>
    </row>
    <row r="117" spans="1:18" ht="14.25" customHeight="1" x14ac:dyDescent="0.3">
      <c r="A117">
        <v>116</v>
      </c>
      <c r="B117">
        <v>6</v>
      </c>
      <c r="C117" t="s">
        <v>762</v>
      </c>
      <c r="D117" t="s">
        <v>535</v>
      </c>
      <c r="E117" t="s">
        <v>203</v>
      </c>
      <c r="F117">
        <v>11</v>
      </c>
      <c r="G117" t="s">
        <v>1033</v>
      </c>
      <c r="H117" t="s">
        <v>1034</v>
      </c>
      <c r="I117" t="s">
        <v>1032</v>
      </c>
      <c r="J117">
        <v>5</v>
      </c>
      <c r="K117">
        <v>116</v>
      </c>
      <c r="L117" t="str">
        <f t="shared" si="2"/>
        <v>KC Concepcion</v>
      </c>
      <c r="M117" s="69">
        <f>IFERROR(VLOOKUP(E117,RISK!A:B,2,FALSE()),"")</f>
        <v>3.848101265822784</v>
      </c>
      <c r="N117" s="43">
        <f t="shared" si="3"/>
        <v>107.85330603127328</v>
      </c>
      <c r="Q117" s="20" t="s">
        <v>327</v>
      </c>
      <c r="R117" s="43">
        <f>Aggregate!BL71</f>
        <v>52.72647058823528</v>
      </c>
    </row>
    <row r="118" spans="1:18" ht="14.25" customHeight="1" x14ac:dyDescent="0.3">
      <c r="A118">
        <v>117</v>
      </c>
      <c r="B118">
        <v>6</v>
      </c>
      <c r="C118" t="s">
        <v>909</v>
      </c>
      <c r="D118" t="s">
        <v>481</v>
      </c>
      <c r="E118" t="s">
        <v>181</v>
      </c>
      <c r="F118">
        <v>10</v>
      </c>
      <c r="G118" t="s">
        <v>1033</v>
      </c>
      <c r="H118" t="s">
        <v>1034</v>
      </c>
      <c r="I118" t="s">
        <v>1029</v>
      </c>
      <c r="J118">
        <v>3</v>
      </c>
      <c r="K118">
        <v>117</v>
      </c>
      <c r="L118" t="str">
        <f t="shared" si="2"/>
        <v>Dallas Goedert</v>
      </c>
      <c r="M118" s="69">
        <f>IFERROR(VLOOKUP(E118,RISK!A:B,2,FALSE()),"")</f>
        <v>2.0294999999999987</v>
      </c>
      <c r="N118" s="43">
        <f t="shared" si="3"/>
        <v>110.28953152941176</v>
      </c>
      <c r="Q118" s="20" t="s">
        <v>252</v>
      </c>
      <c r="R118" s="43">
        <f>Aggregate!BL72</f>
        <v>52.558235294117651</v>
      </c>
    </row>
    <row r="119" spans="1:18" ht="14.25" customHeight="1" x14ac:dyDescent="0.3">
      <c r="A119">
        <v>118</v>
      </c>
      <c r="B119">
        <v>6</v>
      </c>
      <c r="C119" t="s">
        <v>767</v>
      </c>
      <c r="D119" t="s">
        <v>487</v>
      </c>
      <c r="E119" t="s">
        <v>213</v>
      </c>
      <c r="F119">
        <v>8</v>
      </c>
      <c r="G119" t="s">
        <v>1033</v>
      </c>
      <c r="H119" t="s">
        <v>1033</v>
      </c>
      <c r="I119" t="s">
        <v>1028</v>
      </c>
      <c r="J119">
        <v>-12</v>
      </c>
      <c r="K119">
        <v>118</v>
      </c>
      <c r="L119" t="str">
        <f t="shared" si="2"/>
        <v>De'Zhaun Stribling</v>
      </c>
      <c r="M119" s="69">
        <f>IFERROR(VLOOKUP(E119,RISK!A:B,2,FALSE()),"")</f>
        <v>3.848101265822784</v>
      </c>
      <c r="N119" s="43">
        <f t="shared" si="3"/>
        <v>107.76820551005214</v>
      </c>
      <c r="Q119" s="20" t="s">
        <v>279</v>
      </c>
      <c r="R119" s="43">
        <f>Aggregate!BL73</f>
        <v>48.658235294117652</v>
      </c>
    </row>
    <row r="120" spans="1:18" ht="14.25" customHeight="1" x14ac:dyDescent="0.3">
      <c r="A120">
        <v>119</v>
      </c>
      <c r="B120">
        <v>6</v>
      </c>
      <c r="C120" t="s">
        <v>508</v>
      </c>
      <c r="D120" t="s">
        <v>509</v>
      </c>
      <c r="E120" t="s">
        <v>379</v>
      </c>
      <c r="F120">
        <v>6</v>
      </c>
      <c r="G120" t="s">
        <v>1033</v>
      </c>
      <c r="H120" t="s">
        <v>1034</v>
      </c>
      <c r="I120" t="s">
        <v>1027</v>
      </c>
      <c r="J120">
        <v>10</v>
      </c>
      <c r="K120">
        <v>119</v>
      </c>
      <c r="L120" t="str">
        <f t="shared" si="2"/>
        <v>Kyler Murray</v>
      </c>
      <c r="M120" s="69">
        <f>IFERROR(VLOOKUP(E120,RISK!A:B,2,FALSE()),"")</f>
        <v>2.4123999999999999</v>
      </c>
      <c r="N120" s="43">
        <f t="shared" si="3"/>
        <v>250.07868941176471</v>
      </c>
      <c r="Q120" s="20" t="s">
        <v>324</v>
      </c>
      <c r="R120" s="43">
        <f>Aggregate!BL74</f>
        <v>40.888823529411759</v>
      </c>
    </row>
    <row r="121" spans="1:18" ht="14.25" customHeight="1" x14ac:dyDescent="0.3">
      <c r="A121">
        <v>120</v>
      </c>
      <c r="B121">
        <v>6</v>
      </c>
      <c r="C121" t="s">
        <v>621</v>
      </c>
      <c r="D121" t="s">
        <v>509</v>
      </c>
      <c r="E121" t="s">
        <v>173</v>
      </c>
      <c r="F121">
        <v>6</v>
      </c>
      <c r="G121" t="s">
        <v>1026</v>
      </c>
      <c r="H121" t="s">
        <v>1033</v>
      </c>
      <c r="I121" t="s">
        <v>1029</v>
      </c>
      <c r="J121">
        <v>5</v>
      </c>
      <c r="K121">
        <v>120</v>
      </c>
      <c r="L121" t="str">
        <f t="shared" si="2"/>
        <v>Aaron Jones Sr.</v>
      </c>
      <c r="M121" s="69">
        <f>IFERROR(VLOOKUP(E121,RISK!A:B,2,FALSE()),"")</f>
        <v>3.4314</v>
      </c>
      <c r="N121" s="43">
        <f t="shared" si="3"/>
        <v>110.24252941176468</v>
      </c>
      <c r="Q121" s="20" t="s">
        <v>267</v>
      </c>
      <c r="R121" s="43">
        <f>Aggregate!BL75</f>
        <v>40.498823529411759</v>
      </c>
    </row>
    <row r="122" spans="1:18" ht="14.25" customHeight="1" x14ac:dyDescent="0.3">
      <c r="A122">
        <v>121</v>
      </c>
      <c r="B122">
        <v>6</v>
      </c>
      <c r="C122" t="s">
        <v>514</v>
      </c>
      <c r="D122" t="s">
        <v>515</v>
      </c>
      <c r="E122" t="s">
        <v>380</v>
      </c>
      <c r="F122">
        <v>11</v>
      </c>
      <c r="G122" t="s">
        <v>1033</v>
      </c>
      <c r="H122" t="s">
        <v>1034</v>
      </c>
      <c r="I122" t="s">
        <v>1029</v>
      </c>
      <c r="J122">
        <v>16</v>
      </c>
      <c r="K122">
        <v>121</v>
      </c>
      <c r="L122" t="str">
        <f t="shared" si="2"/>
        <v>Jordan Love</v>
      </c>
      <c r="M122" s="69">
        <f>IFERROR(VLOOKUP(E122,RISK!A:B,2,FALSE()),"")</f>
        <v>2.5191999999999997</v>
      </c>
      <c r="N122" s="43">
        <f t="shared" si="3"/>
        <v>238.93534917647057</v>
      </c>
      <c r="Q122" s="20" t="s">
        <v>219</v>
      </c>
      <c r="R122" s="43">
        <f>Aggregate!BL76</f>
        <v>36.912352941176479</v>
      </c>
    </row>
    <row r="123" spans="1:18" ht="14.25" customHeight="1" x14ac:dyDescent="0.3">
      <c r="A123">
        <v>122</v>
      </c>
      <c r="B123">
        <v>6</v>
      </c>
      <c r="C123" t="s">
        <v>506</v>
      </c>
      <c r="D123" t="s">
        <v>507</v>
      </c>
      <c r="E123" t="s">
        <v>381</v>
      </c>
      <c r="F123">
        <v>10</v>
      </c>
      <c r="G123" t="s">
        <v>1034</v>
      </c>
      <c r="H123" t="s">
        <v>1033</v>
      </c>
      <c r="I123" t="s">
        <v>1028</v>
      </c>
      <c r="J123">
        <v>16</v>
      </c>
      <c r="K123">
        <v>122</v>
      </c>
      <c r="L123" t="str">
        <f t="shared" si="2"/>
        <v>Baker Mayfield</v>
      </c>
      <c r="M123" s="69">
        <f>IFERROR(VLOOKUP(E123,RISK!A:B,2,FALSE()),"")</f>
        <v>2.6364000000000001</v>
      </c>
      <c r="N123" s="43">
        <f t="shared" si="3"/>
        <v>238.40027345882356</v>
      </c>
      <c r="Q123" s="20" t="s">
        <v>303</v>
      </c>
      <c r="R123" s="43">
        <f>Aggregate!BL77</f>
        <v>35.987058823529416</v>
      </c>
    </row>
    <row r="124" spans="1:18" ht="14.25" customHeight="1" x14ac:dyDescent="0.3">
      <c r="A124">
        <v>123</v>
      </c>
      <c r="B124">
        <v>6</v>
      </c>
      <c r="C124" t="s">
        <v>759</v>
      </c>
      <c r="D124" t="s">
        <v>515</v>
      </c>
      <c r="E124" t="s">
        <v>223</v>
      </c>
      <c r="F124">
        <v>11</v>
      </c>
      <c r="G124" t="s">
        <v>1034</v>
      </c>
      <c r="H124" t="s">
        <v>1033</v>
      </c>
      <c r="I124" t="s">
        <v>1027</v>
      </c>
      <c r="J124">
        <v>7</v>
      </c>
      <c r="K124">
        <v>123</v>
      </c>
      <c r="L124" t="str">
        <f t="shared" si="2"/>
        <v>Matthew Golden</v>
      </c>
      <c r="M124" s="69">
        <f>IFERROR(VLOOKUP(E124,RISK!A:B,2,FALSE()),"")</f>
        <v>3.848101265822784</v>
      </c>
      <c r="N124" s="43">
        <f t="shared" si="3"/>
        <v>106.31376023827249</v>
      </c>
      <c r="Q124" s="20" t="s">
        <v>306</v>
      </c>
      <c r="R124" s="43">
        <f>Aggregate!BL78</f>
        <v>30.970588235294116</v>
      </c>
    </row>
    <row r="125" spans="1:18" ht="14.25" customHeight="1" x14ac:dyDescent="0.3">
      <c r="A125">
        <v>124</v>
      </c>
      <c r="B125">
        <v>6</v>
      </c>
      <c r="C125" t="s">
        <v>632</v>
      </c>
      <c r="D125" t="s">
        <v>489</v>
      </c>
      <c r="E125" t="s">
        <v>167</v>
      </c>
      <c r="F125">
        <v>7</v>
      </c>
      <c r="G125" t="s">
        <v>1034</v>
      </c>
      <c r="H125" t="s">
        <v>1033</v>
      </c>
      <c r="I125" t="s">
        <v>1029</v>
      </c>
      <c r="J125">
        <v>16</v>
      </c>
      <c r="K125">
        <v>124</v>
      </c>
      <c r="L125" t="str">
        <f t="shared" si="2"/>
        <v>Chris Rodriguez Jr.</v>
      </c>
      <c r="M125" s="69">
        <f>IFERROR(VLOOKUP(E125,RISK!A:B,2,FALSE()),"")</f>
        <v>3.4779999999999998</v>
      </c>
      <c r="N125" s="43">
        <f t="shared" si="3"/>
        <v>104.46286385529412</v>
      </c>
      <c r="Q125" s="20" t="s">
        <v>286</v>
      </c>
      <c r="R125" s="43">
        <f>Aggregate!BL79</f>
        <v>29.464117647058824</v>
      </c>
    </row>
    <row r="126" spans="1:18" ht="14.25" customHeight="1" x14ac:dyDescent="0.3">
      <c r="A126">
        <v>125</v>
      </c>
      <c r="B126">
        <v>6</v>
      </c>
      <c r="C126" t="s">
        <v>915</v>
      </c>
      <c r="D126" t="s">
        <v>491</v>
      </c>
      <c r="E126" t="s">
        <v>180</v>
      </c>
      <c r="F126">
        <v>14</v>
      </c>
      <c r="G126" t="s">
        <v>1030</v>
      </c>
      <c r="H126" t="s">
        <v>1033</v>
      </c>
      <c r="I126" t="s">
        <v>1028</v>
      </c>
      <c r="J126">
        <v>-7</v>
      </c>
      <c r="K126">
        <v>125</v>
      </c>
      <c r="L126" t="str">
        <f t="shared" si="2"/>
        <v>Jake Ferguson</v>
      </c>
      <c r="M126" s="69">
        <f>IFERROR(VLOOKUP(E126,RISK!A:B,2,FALSE()),"")</f>
        <v>2.0957999999999988</v>
      </c>
      <c r="N126" s="43">
        <f t="shared" si="3"/>
        <v>108.91143629411765</v>
      </c>
      <c r="Q126" s="20" t="s">
        <v>328</v>
      </c>
      <c r="R126" s="43">
        <f>Aggregate!BL80</f>
        <v>26.879411764705878</v>
      </c>
    </row>
    <row r="127" spans="1:18" ht="14.25" customHeight="1" x14ac:dyDescent="0.3">
      <c r="A127">
        <v>126</v>
      </c>
      <c r="B127">
        <v>6</v>
      </c>
      <c r="C127" t="s">
        <v>765</v>
      </c>
      <c r="D127" t="s">
        <v>477</v>
      </c>
      <c r="E127" t="s">
        <v>230</v>
      </c>
      <c r="F127">
        <v>11</v>
      </c>
      <c r="G127" t="s">
        <v>1033</v>
      </c>
      <c r="H127" t="s">
        <v>1034</v>
      </c>
      <c r="I127" t="s">
        <v>1028</v>
      </c>
      <c r="J127">
        <v>21</v>
      </c>
      <c r="K127">
        <v>126</v>
      </c>
      <c r="L127" t="str">
        <f t="shared" si="2"/>
        <v>Romeo Doubs</v>
      </c>
      <c r="M127" s="69">
        <f>IFERROR(VLOOKUP(E127,RISK!A:B,2,FALSE()),"")</f>
        <v>3.848101265822784</v>
      </c>
      <c r="N127" s="43">
        <f t="shared" si="3"/>
        <v>105.80253819806404</v>
      </c>
      <c r="Q127" s="20" t="s">
        <v>277</v>
      </c>
      <c r="R127" s="43">
        <f>Aggregate!BL81</f>
        <v>24.722941176470592</v>
      </c>
    </row>
    <row r="128" spans="1:18" ht="14.25" customHeight="1" x14ac:dyDescent="0.3">
      <c r="A128">
        <v>127</v>
      </c>
      <c r="B128">
        <v>6</v>
      </c>
      <c r="C128" t="s">
        <v>917</v>
      </c>
      <c r="D128" t="s">
        <v>505</v>
      </c>
      <c r="E128" t="s">
        <v>185</v>
      </c>
      <c r="F128">
        <v>8</v>
      </c>
      <c r="G128" t="s">
        <v>1033</v>
      </c>
      <c r="H128" t="s">
        <v>1030</v>
      </c>
      <c r="I128" t="s">
        <v>1028</v>
      </c>
      <c r="J128">
        <v>4</v>
      </c>
      <c r="K128">
        <v>127</v>
      </c>
      <c r="L128" t="str">
        <f t="shared" si="2"/>
        <v>Juwan Johnson</v>
      </c>
      <c r="M128" s="69">
        <f>IFERROR(VLOOKUP(E128,RISK!A:B,2,FALSE()),"")</f>
        <v>2.1745000000000001</v>
      </c>
      <c r="N128" s="43">
        <f t="shared" si="3"/>
        <v>106.45709835294119</v>
      </c>
      <c r="Q128" s="20" t="s">
        <v>323</v>
      </c>
      <c r="R128" s="43">
        <f>Aggregate!BL82</f>
        <v>23.805294117647062</v>
      </c>
    </row>
    <row r="129" spans="1:18" ht="14.25" customHeight="1" x14ac:dyDescent="0.3">
      <c r="A129">
        <v>128</v>
      </c>
      <c r="B129">
        <v>6</v>
      </c>
      <c r="C129" t="s">
        <v>912</v>
      </c>
      <c r="D129" t="s">
        <v>475</v>
      </c>
      <c r="E129" t="s">
        <v>194</v>
      </c>
      <c r="F129">
        <v>13</v>
      </c>
      <c r="G129" t="s">
        <v>1033</v>
      </c>
      <c r="H129" t="s">
        <v>1033</v>
      </c>
      <c r="I129" t="s">
        <v>1029</v>
      </c>
      <c r="J129">
        <v>-6</v>
      </c>
      <c r="K129">
        <v>128</v>
      </c>
      <c r="L129" t="str">
        <f t="shared" si="2"/>
        <v>Mark Andrews</v>
      </c>
      <c r="M129" s="69">
        <f>IFERROR(VLOOKUP(E129,RISK!A:B,2,FALSE()),"")</f>
        <v>2.2655999999999992</v>
      </c>
      <c r="N129" s="43">
        <f t="shared" si="3"/>
        <v>100.48378752941177</v>
      </c>
      <c r="Q129" s="20" t="s">
        <v>329</v>
      </c>
      <c r="R129" s="43">
        <f>Aggregate!BL83</f>
        <v>22.88</v>
      </c>
    </row>
    <row r="130" spans="1:18" ht="14.25" customHeight="1" x14ac:dyDescent="0.3">
      <c r="A130">
        <v>129</v>
      </c>
      <c r="B130">
        <v>6</v>
      </c>
      <c r="C130" t="s">
        <v>756</v>
      </c>
      <c r="D130" t="s">
        <v>493</v>
      </c>
      <c r="E130" t="s">
        <v>229</v>
      </c>
      <c r="F130">
        <v>5</v>
      </c>
      <c r="G130" t="s">
        <v>1033</v>
      </c>
      <c r="H130" t="s">
        <v>1033</v>
      </c>
      <c r="I130" t="s">
        <v>1028</v>
      </c>
      <c r="J130">
        <v>12</v>
      </c>
      <c r="K130">
        <v>129</v>
      </c>
      <c r="L130" t="str">
        <f t="shared" ref="L130:L193" si="4">C130</f>
        <v>Xavier Worthy</v>
      </c>
      <c r="M130" s="69">
        <f>IFERROR(VLOOKUP(E130,RISK!A:B,2,FALSE()),"")</f>
        <v>3.848101265822784</v>
      </c>
      <c r="N130" s="43">
        <f t="shared" si="3"/>
        <v>104.87478778853314</v>
      </c>
      <c r="Q130" s="20" t="s">
        <v>342</v>
      </c>
      <c r="R130" s="43">
        <f>Aggregate!BL84</f>
        <v>19.194117647058821</v>
      </c>
    </row>
    <row r="131" spans="1:18" ht="14.25" customHeight="1" x14ac:dyDescent="0.3">
      <c r="A131">
        <v>130</v>
      </c>
      <c r="B131">
        <v>6</v>
      </c>
      <c r="C131" t="s">
        <v>639</v>
      </c>
      <c r="D131" t="s">
        <v>527</v>
      </c>
      <c r="E131" t="s">
        <v>199</v>
      </c>
      <c r="F131">
        <v>14</v>
      </c>
      <c r="G131" t="s">
        <v>1034</v>
      </c>
      <c r="H131" t="s">
        <v>1033</v>
      </c>
      <c r="I131" t="s">
        <v>1028</v>
      </c>
      <c r="J131">
        <v>6</v>
      </c>
      <c r="K131">
        <v>130</v>
      </c>
      <c r="L131" t="str">
        <f t="shared" si="4"/>
        <v>Tyler Allgeier</v>
      </c>
      <c r="M131" s="69">
        <f>IFERROR(VLOOKUP(E131,RISK!A:B,2,FALSE()),"")</f>
        <v>3.5258000000000003</v>
      </c>
      <c r="N131" s="43">
        <f t="shared" ref="N131:N194" si="5">VLOOKUP(E131,Q:R,2,FALSE)</f>
        <v>97.313763529411744</v>
      </c>
      <c r="Q131" s="20" t="s">
        <v>241</v>
      </c>
      <c r="R131" s="43">
        <f>Aggregate!BL85</f>
        <v>18.047058823529415</v>
      </c>
    </row>
    <row r="132" spans="1:18" ht="14.25" customHeight="1" x14ac:dyDescent="0.3">
      <c r="A132">
        <v>131</v>
      </c>
      <c r="B132">
        <v>6</v>
      </c>
      <c r="C132" t="s">
        <v>504</v>
      </c>
      <c r="D132" t="s">
        <v>505</v>
      </c>
      <c r="E132" t="s">
        <v>382</v>
      </c>
      <c r="F132">
        <v>8</v>
      </c>
      <c r="G132" t="s">
        <v>1033</v>
      </c>
      <c r="H132" t="s">
        <v>1030</v>
      </c>
      <c r="I132" t="s">
        <v>1032</v>
      </c>
      <c r="J132">
        <v>37</v>
      </c>
      <c r="K132">
        <v>131</v>
      </c>
      <c r="L132" t="str">
        <f t="shared" si="4"/>
        <v>Tyler Shough</v>
      </c>
      <c r="M132" s="69">
        <f>IFERROR(VLOOKUP(E132,RISK!A:B,2,FALSE()),"")</f>
        <v>2.7640000000000011</v>
      </c>
      <c r="N132" s="43">
        <f t="shared" si="5"/>
        <v>234.68095567058822</v>
      </c>
      <c r="Q132" s="20" t="s">
        <v>282</v>
      </c>
      <c r="R132" s="43">
        <f>Aggregate!BL86</f>
        <v>17.374117647058824</v>
      </c>
    </row>
    <row r="133" spans="1:18" ht="14.25" customHeight="1" x14ac:dyDescent="0.3">
      <c r="A133">
        <v>132</v>
      </c>
      <c r="B133">
        <v>6</v>
      </c>
      <c r="C133" t="s">
        <v>627</v>
      </c>
      <c r="D133" t="s">
        <v>519</v>
      </c>
      <c r="E133" t="s">
        <v>211</v>
      </c>
      <c r="F133">
        <v>8</v>
      </c>
      <c r="G133" t="s">
        <v>1034</v>
      </c>
      <c r="H133" t="s">
        <v>1033</v>
      </c>
      <c r="I133" t="s">
        <v>1029</v>
      </c>
      <c r="J133">
        <v>7</v>
      </c>
      <c r="K133">
        <v>132</v>
      </c>
      <c r="L133" t="str">
        <f t="shared" si="4"/>
        <v>Woody Marks</v>
      </c>
      <c r="M133" s="69">
        <f>IFERROR(VLOOKUP(E133,RISK!A:B,2,FALSE()),"")</f>
        <v>3.5747999999999998</v>
      </c>
      <c r="N133" s="43">
        <f t="shared" si="5"/>
        <v>96.918823529411767</v>
      </c>
      <c r="Q133" s="20" t="s">
        <v>333</v>
      </c>
      <c r="R133" s="43">
        <f>Aggregate!BL87</f>
        <v>16.899999999999999</v>
      </c>
    </row>
    <row r="134" spans="1:18" ht="14.25" customHeight="1" x14ac:dyDescent="0.3">
      <c r="A134">
        <v>133</v>
      </c>
      <c r="B134">
        <v>6</v>
      </c>
      <c r="C134" t="s">
        <v>766</v>
      </c>
      <c r="D134" t="s">
        <v>521</v>
      </c>
      <c r="E134" t="s">
        <v>235</v>
      </c>
      <c r="F134">
        <v>5</v>
      </c>
      <c r="G134" t="s">
        <v>1033</v>
      </c>
      <c r="H134" t="s">
        <v>1034</v>
      </c>
      <c r="I134" t="s">
        <v>1028</v>
      </c>
      <c r="J134">
        <v>21</v>
      </c>
      <c r="K134">
        <v>133</v>
      </c>
      <c r="L134" t="str">
        <f t="shared" si="4"/>
        <v>Jalen Coker</v>
      </c>
      <c r="M134" s="69">
        <f>IFERROR(VLOOKUP(E134,RISK!A:B,2,FALSE()),"")</f>
        <v>3.848101265822784</v>
      </c>
      <c r="N134" s="43">
        <f t="shared" si="5"/>
        <v>104.38739389426655</v>
      </c>
      <c r="Q134" s="20" t="s">
        <v>331</v>
      </c>
      <c r="R134" s="43">
        <f>Aggregate!BL88</f>
        <v>16.777647058823533</v>
      </c>
    </row>
    <row r="135" spans="1:18" ht="14.25" customHeight="1" x14ac:dyDescent="0.3">
      <c r="A135">
        <v>134</v>
      </c>
      <c r="B135">
        <v>6</v>
      </c>
      <c r="C135" t="s">
        <v>763</v>
      </c>
      <c r="D135" t="s">
        <v>471</v>
      </c>
      <c r="E135" t="s">
        <v>232</v>
      </c>
      <c r="F135">
        <v>7</v>
      </c>
      <c r="G135" t="s">
        <v>1030</v>
      </c>
      <c r="H135" t="s">
        <v>1033</v>
      </c>
      <c r="I135" t="s">
        <v>1029</v>
      </c>
      <c r="J135">
        <v>25</v>
      </c>
      <c r="K135">
        <v>134</v>
      </c>
      <c r="L135" t="str">
        <f t="shared" si="4"/>
        <v>Khalil Shakir</v>
      </c>
      <c r="M135" s="69">
        <f>IFERROR(VLOOKUP(E135,RISK!A:B,2,FALSE()),"")</f>
        <v>3.848101265822784</v>
      </c>
      <c r="N135" s="43">
        <f t="shared" si="5"/>
        <v>104.24040208488458</v>
      </c>
      <c r="Q135" s="20" t="s">
        <v>332</v>
      </c>
      <c r="R135" s="43">
        <f>Aggregate!BL89</f>
        <v>13.772352941176472</v>
      </c>
    </row>
    <row r="136" spans="1:18" ht="14.25" customHeight="1" x14ac:dyDescent="0.3">
      <c r="A136">
        <v>135</v>
      </c>
      <c r="B136">
        <v>6</v>
      </c>
      <c r="C136" t="s">
        <v>512</v>
      </c>
      <c r="D136" t="s">
        <v>513</v>
      </c>
      <c r="E136" t="s">
        <v>383</v>
      </c>
      <c r="F136">
        <v>6</v>
      </c>
      <c r="G136" t="s">
        <v>1033</v>
      </c>
      <c r="H136" t="s">
        <v>1033</v>
      </c>
      <c r="I136" t="s">
        <v>1032</v>
      </c>
      <c r="J136">
        <v>18</v>
      </c>
      <c r="K136">
        <v>135</v>
      </c>
      <c r="L136" t="str">
        <f t="shared" si="4"/>
        <v>Malik Willis</v>
      </c>
      <c r="M136" s="69">
        <f>IFERROR(VLOOKUP(E136,RISK!A:B,2,FALSE()),"")</f>
        <v>2.902000000000001</v>
      </c>
      <c r="N136" s="43">
        <f t="shared" si="5"/>
        <v>225.17491458823534</v>
      </c>
      <c r="Q136" s="20" t="s">
        <v>287</v>
      </c>
      <c r="R136" s="43">
        <f>Aggregate!BL90</f>
        <v>13.298235294117648</v>
      </c>
    </row>
    <row r="137" spans="1:18" ht="14.25" customHeight="1" x14ac:dyDescent="0.3">
      <c r="A137">
        <v>136</v>
      </c>
      <c r="B137">
        <v>6</v>
      </c>
      <c r="C137" t="s">
        <v>757</v>
      </c>
      <c r="D137" t="s">
        <v>487</v>
      </c>
      <c r="E137" t="s">
        <v>226</v>
      </c>
      <c r="F137">
        <v>8</v>
      </c>
      <c r="G137" t="s">
        <v>1033</v>
      </c>
      <c r="H137" t="s">
        <v>1034</v>
      </c>
      <c r="I137" t="s">
        <v>1028</v>
      </c>
      <c r="J137">
        <v>6</v>
      </c>
      <c r="K137">
        <v>136</v>
      </c>
      <c r="L137" t="str">
        <f t="shared" si="4"/>
        <v>Deebo Samuel Sr.</v>
      </c>
      <c r="M137" s="69">
        <f>IFERROR(VLOOKUP(E137,RISK!A:B,2,FALSE()),"")</f>
        <v>3.848101265822784</v>
      </c>
      <c r="N137" s="43">
        <f t="shared" si="5"/>
        <v>102.24440804169771</v>
      </c>
      <c r="Q137" s="20" t="s">
        <v>343</v>
      </c>
      <c r="R137" s="43">
        <f>Aggregate!BL91</f>
        <v>8.6411764705882348</v>
      </c>
    </row>
    <row r="138" spans="1:18" ht="14.25" customHeight="1" x14ac:dyDescent="0.3">
      <c r="A138">
        <v>137</v>
      </c>
      <c r="B138">
        <v>7</v>
      </c>
      <c r="C138" t="s">
        <v>657</v>
      </c>
      <c r="D138" t="s">
        <v>499</v>
      </c>
      <c r="E138" t="s">
        <v>190</v>
      </c>
      <c r="F138">
        <v>10</v>
      </c>
      <c r="G138" t="s">
        <v>1033</v>
      </c>
      <c r="H138" t="s">
        <v>1033</v>
      </c>
      <c r="I138" t="s">
        <v>1028</v>
      </c>
      <c r="J138">
        <v>7</v>
      </c>
      <c r="K138">
        <v>137</v>
      </c>
      <c r="L138" t="str">
        <f t="shared" si="4"/>
        <v>Jonah Coleman</v>
      </c>
      <c r="M138" s="69">
        <f>IFERROR(VLOOKUP(E138,RISK!A:B,2,FALSE()),"")</f>
        <v>3.625</v>
      </c>
      <c r="N138" s="43">
        <f t="shared" si="5"/>
        <v>90.294820941176454</v>
      </c>
      <c r="Q138" s="20" t="s">
        <v>339</v>
      </c>
      <c r="R138" s="43">
        <f>Aggregate!BL92</f>
        <v>7.8382352941176467</v>
      </c>
    </row>
    <row r="139" spans="1:18" ht="14.25" customHeight="1" x14ac:dyDescent="0.3">
      <c r="A139">
        <v>138</v>
      </c>
      <c r="B139">
        <v>7</v>
      </c>
      <c r="C139" t="s">
        <v>625</v>
      </c>
      <c r="D139" t="s">
        <v>525</v>
      </c>
      <c r="E139" t="s">
        <v>187</v>
      </c>
      <c r="F139">
        <v>9</v>
      </c>
      <c r="G139" t="s">
        <v>1033</v>
      </c>
      <c r="H139" t="s">
        <v>1033</v>
      </c>
      <c r="I139" t="s">
        <v>1032</v>
      </c>
      <c r="J139">
        <v>20</v>
      </c>
      <c r="K139">
        <v>138</v>
      </c>
      <c r="L139" t="str">
        <f t="shared" si="4"/>
        <v>Tyjae Spears</v>
      </c>
      <c r="M139" s="69">
        <f>IFERROR(VLOOKUP(E139,RISK!A:B,2,FALSE()),"")</f>
        <v>3.676400000000001</v>
      </c>
      <c r="N139" s="43">
        <f t="shared" si="5"/>
        <v>89.948840000000004</v>
      </c>
      <c r="Q139" s="20" t="s">
        <v>341</v>
      </c>
      <c r="R139" s="43">
        <f>Aggregate!BL93</f>
        <v>6.9205882352941179</v>
      </c>
    </row>
    <row r="140" spans="1:18" ht="14.25" customHeight="1" x14ac:dyDescent="0.3">
      <c r="A140">
        <v>139</v>
      </c>
      <c r="B140">
        <v>7</v>
      </c>
      <c r="C140" t="s">
        <v>790</v>
      </c>
      <c r="D140" t="s">
        <v>505</v>
      </c>
      <c r="E140" t="s">
        <v>212</v>
      </c>
      <c r="F140">
        <v>8</v>
      </c>
      <c r="G140" t="s">
        <v>1034</v>
      </c>
      <c r="H140" t="s">
        <v>1025</v>
      </c>
      <c r="I140" t="s">
        <v>1032</v>
      </c>
      <c r="J140">
        <v>-22</v>
      </c>
      <c r="K140">
        <v>139</v>
      </c>
      <c r="L140" t="str">
        <f t="shared" si="4"/>
        <v>Jordyn Tyson</v>
      </c>
      <c r="M140" s="69">
        <f>IFERROR(VLOOKUP(E140,RISK!A:B,2,FALSE()),"")</f>
        <v>3.848101265822784</v>
      </c>
      <c r="N140" s="43">
        <f t="shared" si="5"/>
        <v>100.4031422189129</v>
      </c>
      <c r="Q140" s="20" t="s">
        <v>336</v>
      </c>
      <c r="R140" s="43">
        <f>Aggregate!BL94</f>
        <v>5.6970588235294128</v>
      </c>
    </row>
    <row r="141" spans="1:18" ht="14.25" customHeight="1" x14ac:dyDescent="0.3">
      <c r="A141">
        <v>140</v>
      </c>
      <c r="B141">
        <v>7</v>
      </c>
      <c r="C141" t="s">
        <v>761</v>
      </c>
      <c r="D141" t="s">
        <v>517</v>
      </c>
      <c r="E141" t="s">
        <v>216</v>
      </c>
      <c r="F141">
        <v>11</v>
      </c>
      <c r="G141" t="s">
        <v>1034</v>
      </c>
      <c r="H141" t="s">
        <v>1033</v>
      </c>
      <c r="I141" t="s">
        <v>1032</v>
      </c>
      <c r="J141">
        <v>3</v>
      </c>
      <c r="K141">
        <v>140</v>
      </c>
      <c r="L141" t="str">
        <f t="shared" si="4"/>
        <v>Rashid Shaheed</v>
      </c>
      <c r="M141" s="69">
        <f>IFERROR(VLOOKUP(E141,RISK!A:B,2,FALSE()),"")</f>
        <v>3.848101265822784</v>
      </c>
      <c r="N141" s="43">
        <f t="shared" si="5"/>
        <v>99.761020104244238</v>
      </c>
      <c r="Q141" s="20" t="s">
        <v>340</v>
      </c>
      <c r="R141" s="43">
        <f>Aggregate!BL95</f>
        <v>0</v>
      </c>
    </row>
    <row r="142" spans="1:18" ht="14.25" customHeight="1" x14ac:dyDescent="0.3">
      <c r="A142">
        <v>141</v>
      </c>
      <c r="B142">
        <v>7</v>
      </c>
      <c r="C142" t="s">
        <v>516</v>
      </c>
      <c r="D142" t="s">
        <v>517</v>
      </c>
      <c r="E142" t="s">
        <v>384</v>
      </c>
      <c r="F142">
        <v>11</v>
      </c>
      <c r="G142" t="s">
        <v>1030</v>
      </c>
      <c r="H142" t="s">
        <v>1033</v>
      </c>
      <c r="I142" t="s">
        <v>1029</v>
      </c>
      <c r="J142">
        <v>7</v>
      </c>
      <c r="K142">
        <v>141</v>
      </c>
      <c r="L142" t="str">
        <f t="shared" si="4"/>
        <v>Sam Darnold</v>
      </c>
      <c r="M142" s="69">
        <f>IFERROR(VLOOKUP(E142,RISK!A:B,2,FALSE()),"")</f>
        <v>3.0503999999999998</v>
      </c>
      <c r="N142" s="43">
        <f t="shared" si="5"/>
        <v>221.55494117647061</v>
      </c>
      <c r="Q142" s="20" t="s">
        <v>344</v>
      </c>
      <c r="R142" s="43">
        <f>Aggregate!BL96</f>
        <v>0</v>
      </c>
    </row>
    <row r="143" spans="1:18" ht="14.25" customHeight="1" x14ac:dyDescent="0.3">
      <c r="A143">
        <v>142</v>
      </c>
      <c r="B143">
        <v>7</v>
      </c>
      <c r="C143" t="s">
        <v>630</v>
      </c>
      <c r="D143" t="s">
        <v>531</v>
      </c>
      <c r="E143" t="s">
        <v>224</v>
      </c>
      <c r="F143">
        <v>13</v>
      </c>
      <c r="G143" t="s">
        <v>1033</v>
      </c>
      <c r="H143" t="s">
        <v>1033</v>
      </c>
      <c r="I143" t="s">
        <v>1028</v>
      </c>
      <c r="J143">
        <v>-15</v>
      </c>
      <c r="K143">
        <v>142</v>
      </c>
      <c r="L143" t="str">
        <f t="shared" si="4"/>
        <v>Mike Washington Jr.</v>
      </c>
      <c r="M143" s="69">
        <f>IFERROR(VLOOKUP(E143,RISK!A:B,2,FALSE()),"")</f>
        <v>3.7289999999999992</v>
      </c>
      <c r="N143" s="43">
        <f t="shared" si="5"/>
        <v>83.316725999999989</v>
      </c>
      <c r="Q143" s="20" t="s">
        <v>334</v>
      </c>
      <c r="R143" s="43">
        <f>Aggregate!BL97</f>
        <v>0</v>
      </c>
    </row>
    <row r="144" spans="1:18" ht="14.25" customHeight="1" x14ac:dyDescent="0.3">
      <c r="A144">
        <v>143</v>
      </c>
      <c r="B144">
        <v>7</v>
      </c>
      <c r="C144" t="s">
        <v>643</v>
      </c>
      <c r="D144" t="s">
        <v>497</v>
      </c>
      <c r="E144" t="s">
        <v>204</v>
      </c>
      <c r="F144">
        <v>7</v>
      </c>
      <c r="G144" t="s">
        <v>1033</v>
      </c>
      <c r="H144" t="s">
        <v>1033</v>
      </c>
      <c r="I144" t="s">
        <v>1032</v>
      </c>
      <c r="J144">
        <v>19</v>
      </c>
      <c r="K144">
        <v>143</v>
      </c>
      <c r="L144" t="str">
        <f t="shared" si="4"/>
        <v>Keaton Mitchell</v>
      </c>
      <c r="M144" s="69">
        <f>IFERROR(VLOOKUP(E144,RISK!A:B,2,FALSE()),"")</f>
        <v>3.7827999999999999</v>
      </c>
      <c r="N144" s="43">
        <f t="shared" si="5"/>
        <v>77.388521029411763</v>
      </c>
      <c r="Q144" s="20" t="s">
        <v>345</v>
      </c>
      <c r="R144" s="43">
        <f>Aggregate!BL98</f>
        <v>0</v>
      </c>
    </row>
    <row r="145" spans="1:18" ht="14.25" customHeight="1" x14ac:dyDescent="0.3">
      <c r="A145">
        <v>144</v>
      </c>
      <c r="B145">
        <v>7</v>
      </c>
      <c r="C145" t="s">
        <v>626</v>
      </c>
      <c r="D145" t="s">
        <v>517</v>
      </c>
      <c r="E145" t="s">
        <v>215</v>
      </c>
      <c r="F145">
        <v>11</v>
      </c>
      <c r="G145" t="s">
        <v>1034</v>
      </c>
      <c r="H145" t="s">
        <v>1033</v>
      </c>
      <c r="I145" t="s">
        <v>1029</v>
      </c>
      <c r="J145">
        <v>5</v>
      </c>
      <c r="K145">
        <v>144</v>
      </c>
      <c r="L145" t="str">
        <f t="shared" si="4"/>
        <v>Zach Charbonnet</v>
      </c>
      <c r="M145" s="69">
        <f>IFERROR(VLOOKUP(E145,RISK!A:B,2,FALSE()),"")</f>
        <v>3.8377999999999997</v>
      </c>
      <c r="N145" s="43">
        <f t="shared" si="5"/>
        <v>75.323529411764696</v>
      </c>
      <c r="Q145" s="20" t="s">
        <v>337</v>
      </c>
      <c r="R145" s="43">
        <f>Aggregate!BL99</f>
        <v>0</v>
      </c>
    </row>
    <row r="146" spans="1:18" ht="14.25" customHeight="1" x14ac:dyDescent="0.3">
      <c r="A146">
        <v>145</v>
      </c>
      <c r="B146">
        <v>7</v>
      </c>
      <c r="C146" t="s">
        <v>642</v>
      </c>
      <c r="D146" t="s">
        <v>481</v>
      </c>
      <c r="E146" t="s">
        <v>191</v>
      </c>
      <c r="F146">
        <v>10</v>
      </c>
      <c r="G146" t="s">
        <v>1033</v>
      </c>
      <c r="H146" t="s">
        <v>1034</v>
      </c>
      <c r="I146" t="s">
        <v>1029</v>
      </c>
      <c r="J146">
        <v>11</v>
      </c>
      <c r="K146">
        <v>145</v>
      </c>
      <c r="L146" t="str">
        <f t="shared" si="4"/>
        <v>Tank Bigsby</v>
      </c>
      <c r="M146" s="69">
        <f>IFERROR(VLOOKUP(E146,RISK!A:B,2,FALSE()),"")</f>
        <v>3.8940000000000001</v>
      </c>
      <c r="N146" s="43">
        <f t="shared" si="5"/>
        <v>74.140330588235287</v>
      </c>
      <c r="Q146" s="20" t="s">
        <v>338</v>
      </c>
      <c r="R146" s="43">
        <f>Aggregate!BL100</f>
        <v>0</v>
      </c>
    </row>
    <row r="147" spans="1:18" ht="14.25" customHeight="1" x14ac:dyDescent="0.3">
      <c r="A147">
        <v>146</v>
      </c>
      <c r="B147">
        <v>7</v>
      </c>
      <c r="C147" t="s">
        <v>635</v>
      </c>
      <c r="D147" t="s">
        <v>535</v>
      </c>
      <c r="E147" t="s">
        <v>236</v>
      </c>
      <c r="F147">
        <v>11</v>
      </c>
      <c r="G147" t="s">
        <v>1033</v>
      </c>
      <c r="H147" t="s">
        <v>1030</v>
      </c>
      <c r="I147" t="s">
        <v>1032</v>
      </c>
      <c r="J147">
        <v>60</v>
      </c>
      <c r="K147">
        <v>146</v>
      </c>
      <c r="L147" t="str">
        <f t="shared" si="4"/>
        <v>Dylan Sampson</v>
      </c>
      <c r="M147" s="69">
        <f>IFERROR(VLOOKUP(E147,RISK!A:B,2,FALSE()),"")</f>
        <v>3.9513999999999996</v>
      </c>
      <c r="N147" s="43">
        <f t="shared" si="5"/>
        <v>72.02</v>
      </c>
      <c r="Q147" s="20" t="s">
        <v>346</v>
      </c>
      <c r="R147" s="43">
        <f>Aggregate!BL101</f>
        <v>0</v>
      </c>
    </row>
    <row r="148" spans="1:18" ht="14.25" customHeight="1" x14ac:dyDescent="0.3">
      <c r="A148">
        <v>147</v>
      </c>
      <c r="B148">
        <v>7</v>
      </c>
      <c r="C148" t="s">
        <v>916</v>
      </c>
      <c r="D148" t="s">
        <v>477</v>
      </c>
      <c r="E148" t="s">
        <v>195</v>
      </c>
      <c r="F148">
        <v>11</v>
      </c>
      <c r="G148" t="s">
        <v>1030</v>
      </c>
      <c r="H148" t="s">
        <v>1033</v>
      </c>
      <c r="I148" t="s">
        <v>1029</v>
      </c>
      <c r="J148">
        <v>4</v>
      </c>
      <c r="K148">
        <v>147</v>
      </c>
      <c r="L148" t="str">
        <f t="shared" si="4"/>
        <v>Hunter Henry</v>
      </c>
      <c r="M148" s="69">
        <f>IFERROR(VLOOKUP(E148,RISK!A:B,2,FALSE()),"")</f>
        <v>2.3690999999999995</v>
      </c>
      <c r="N148" s="43">
        <f t="shared" si="5"/>
        <v>100.38126264705882</v>
      </c>
      <c r="Q148" s="20" t="s">
        <v>347</v>
      </c>
      <c r="R148" s="43">
        <f>Aggregate!BL102</f>
        <v>0</v>
      </c>
    </row>
    <row r="149" spans="1:18" ht="14.25" customHeight="1" x14ac:dyDescent="0.3">
      <c r="A149">
        <v>148</v>
      </c>
      <c r="B149">
        <v>7</v>
      </c>
      <c r="C149" t="s">
        <v>771</v>
      </c>
      <c r="D149" t="s">
        <v>535</v>
      </c>
      <c r="E149" t="s">
        <v>231</v>
      </c>
      <c r="F149">
        <v>11</v>
      </c>
      <c r="G149" t="s">
        <v>1033</v>
      </c>
      <c r="H149" t="s">
        <v>1033</v>
      </c>
      <c r="I149" t="s">
        <v>1032</v>
      </c>
      <c r="J149">
        <v>35</v>
      </c>
      <c r="K149">
        <v>148</v>
      </c>
      <c r="L149" t="str">
        <f t="shared" si="4"/>
        <v>Denzel Boston</v>
      </c>
      <c r="M149" s="69">
        <f>IFERROR(VLOOKUP(E149,RISK!A:B,2,FALSE()),"")</f>
        <v>3.848101265822784</v>
      </c>
      <c r="N149" s="43">
        <f t="shared" si="5"/>
        <v>98.352993298585261</v>
      </c>
      <c r="Q149" s="20" t="s">
        <v>100</v>
      </c>
      <c r="R149" s="43">
        <f>Aggregate!BQ3</f>
        <v>249.35076352941175</v>
      </c>
    </row>
    <row r="150" spans="1:18" ht="14.25" customHeight="1" x14ac:dyDescent="0.3">
      <c r="A150">
        <v>149</v>
      </c>
      <c r="B150">
        <v>7</v>
      </c>
      <c r="C150" t="s">
        <v>518</v>
      </c>
      <c r="D150" t="s">
        <v>519</v>
      </c>
      <c r="E150" t="s">
        <v>385</v>
      </c>
      <c r="F150">
        <v>8</v>
      </c>
      <c r="G150" t="s">
        <v>1034</v>
      </c>
      <c r="H150" t="s">
        <v>1033</v>
      </c>
      <c r="I150" t="s">
        <v>1029</v>
      </c>
      <c r="J150">
        <v>16</v>
      </c>
      <c r="K150">
        <v>149</v>
      </c>
      <c r="L150" t="str">
        <f t="shared" si="4"/>
        <v>C.J. Stroud</v>
      </c>
      <c r="M150" s="69">
        <f>IFERROR(VLOOKUP(E150,RISK!A:B,2,FALSE()),"")</f>
        <v>3.2</v>
      </c>
      <c r="N150" s="43">
        <f t="shared" si="5"/>
        <v>218.14712705882351</v>
      </c>
      <c r="Q150" s="20" t="s">
        <v>99</v>
      </c>
      <c r="R150" s="43">
        <f>Aggregate!BQ4</f>
        <v>245.44338888235291</v>
      </c>
    </row>
    <row r="151" spans="1:18" ht="14.25" customHeight="1" x14ac:dyDescent="0.3">
      <c r="A151">
        <v>150</v>
      </c>
      <c r="B151">
        <v>7</v>
      </c>
      <c r="C151" t="s">
        <v>773</v>
      </c>
      <c r="D151" t="s">
        <v>531</v>
      </c>
      <c r="E151" t="s">
        <v>269</v>
      </c>
      <c r="F151">
        <v>13</v>
      </c>
      <c r="G151" t="s">
        <v>1033</v>
      </c>
      <c r="H151" t="s">
        <v>1030</v>
      </c>
      <c r="I151" t="s">
        <v>1028</v>
      </c>
      <c r="J151">
        <v>17</v>
      </c>
      <c r="K151">
        <v>150</v>
      </c>
      <c r="L151" t="str">
        <f t="shared" si="4"/>
        <v>Tre Tucker</v>
      </c>
      <c r="M151" s="69">
        <f>IFERROR(VLOOKUP(E151,RISK!A:B,2,FALSE()),"")</f>
        <v>3.848101265822784</v>
      </c>
      <c r="N151" s="43">
        <f t="shared" si="5"/>
        <v>97.664452717795982</v>
      </c>
      <c r="Q151" s="20" t="s">
        <v>101</v>
      </c>
      <c r="R151" s="43">
        <f>Aggregate!BQ5</f>
        <v>239.22364941176477</v>
      </c>
    </row>
    <row r="152" spans="1:18" ht="14.25" customHeight="1" x14ac:dyDescent="0.3">
      <c r="A152">
        <v>151</v>
      </c>
      <c r="B152">
        <v>7</v>
      </c>
      <c r="C152" t="s">
        <v>918</v>
      </c>
      <c r="D152" t="s">
        <v>489</v>
      </c>
      <c r="E152" t="s">
        <v>214</v>
      </c>
      <c r="F152">
        <v>7</v>
      </c>
      <c r="G152" t="s">
        <v>1033</v>
      </c>
      <c r="H152" t="s">
        <v>1034</v>
      </c>
      <c r="I152" t="s">
        <v>1032</v>
      </c>
      <c r="J152">
        <v>23</v>
      </c>
      <c r="K152">
        <v>151</v>
      </c>
      <c r="L152" t="str">
        <f t="shared" si="4"/>
        <v>Brenton Strange</v>
      </c>
      <c r="M152" s="69">
        <f>IFERROR(VLOOKUP(E152,RISK!A:B,2,FALSE()),"")</f>
        <v>2.4849999999999994</v>
      </c>
      <c r="N152" s="43">
        <f t="shared" si="5"/>
        <v>96.616349999999997</v>
      </c>
      <c r="Q152" s="20" t="s">
        <v>104</v>
      </c>
      <c r="R152" s="43">
        <f>Aggregate!BQ6</f>
        <v>230.047944</v>
      </c>
    </row>
    <row r="153" spans="1:18" ht="14.25" customHeight="1" x14ac:dyDescent="0.3">
      <c r="A153">
        <v>152</v>
      </c>
      <c r="B153">
        <v>7</v>
      </c>
      <c r="C153" t="s">
        <v>927</v>
      </c>
      <c r="D153" t="s">
        <v>479</v>
      </c>
      <c r="E153" t="s">
        <v>196</v>
      </c>
      <c r="F153">
        <v>7</v>
      </c>
      <c r="G153" t="s">
        <v>1033</v>
      </c>
      <c r="H153" t="s">
        <v>1034</v>
      </c>
      <c r="I153" t="s">
        <v>1031</v>
      </c>
      <c r="J153">
        <v>17</v>
      </c>
      <c r="K153">
        <v>152</v>
      </c>
      <c r="L153" t="str">
        <f t="shared" si="4"/>
        <v>Chig Okonkwo</v>
      </c>
      <c r="M153" s="69">
        <f>IFERROR(VLOOKUP(E153,RISK!A:B,2,FALSE()),"")</f>
        <v>2.6132999999999988</v>
      </c>
      <c r="N153" s="43">
        <f t="shared" si="5"/>
        <v>90.244218823529408</v>
      </c>
      <c r="Q153" s="20" t="s">
        <v>113</v>
      </c>
      <c r="R153" s="43">
        <f>Aggregate!BQ7</f>
        <v>196.15637999999998</v>
      </c>
    </row>
    <row r="154" spans="1:18" ht="14.25" customHeight="1" x14ac:dyDescent="0.3">
      <c r="A154">
        <v>153</v>
      </c>
      <c r="B154">
        <v>7</v>
      </c>
      <c r="C154" t="s">
        <v>510</v>
      </c>
      <c r="D154" t="s">
        <v>511</v>
      </c>
      <c r="E154" t="s">
        <v>386</v>
      </c>
      <c r="F154">
        <v>13</v>
      </c>
      <c r="G154" t="s">
        <v>1033</v>
      </c>
      <c r="H154" t="s">
        <v>1033</v>
      </c>
      <c r="I154" t="s">
        <v>1029</v>
      </c>
      <c r="J154">
        <v>26</v>
      </c>
      <c r="K154">
        <v>153</v>
      </c>
      <c r="L154" t="str">
        <f t="shared" si="4"/>
        <v>Daniel Jones</v>
      </c>
      <c r="M154" s="69">
        <f>IFERROR(VLOOKUP(E154,RISK!A:B,2,FALSE()),"")</f>
        <v>3.2</v>
      </c>
      <c r="N154" s="43">
        <f t="shared" si="5"/>
        <v>211.45334117647059</v>
      </c>
      <c r="Q154" s="20" t="s">
        <v>114</v>
      </c>
      <c r="R154" s="43">
        <f>Aggregate!BQ8</f>
        <v>194.98107505882354</v>
      </c>
    </row>
    <row r="155" spans="1:18" ht="14.25" customHeight="1" x14ac:dyDescent="0.3">
      <c r="A155">
        <v>154</v>
      </c>
      <c r="B155">
        <v>7</v>
      </c>
      <c r="C155" t="s">
        <v>919</v>
      </c>
      <c r="D155" t="s">
        <v>519</v>
      </c>
      <c r="E155" t="s">
        <v>200</v>
      </c>
      <c r="F155">
        <v>8</v>
      </c>
      <c r="G155" t="s">
        <v>1034</v>
      </c>
      <c r="H155" t="s">
        <v>1030</v>
      </c>
      <c r="I155" t="s">
        <v>1029</v>
      </c>
      <c r="J155">
        <v>28</v>
      </c>
      <c r="K155">
        <v>154</v>
      </c>
      <c r="L155" t="str">
        <f t="shared" si="4"/>
        <v>Dalton Schultz</v>
      </c>
      <c r="M155" s="69">
        <f>IFERROR(VLOOKUP(E155,RISK!A:B,2,FALSE()),"")</f>
        <v>2.7539999999999996</v>
      </c>
      <c r="N155" s="43">
        <f t="shared" si="5"/>
        <v>83.329999999999984</v>
      </c>
      <c r="Q155" s="20" t="s">
        <v>110</v>
      </c>
      <c r="R155" s="43">
        <f>Aggregate!BQ9</f>
        <v>192.58472647058824</v>
      </c>
    </row>
    <row r="156" spans="1:18" ht="14.25" customHeight="1" x14ac:dyDescent="0.3">
      <c r="A156">
        <v>155</v>
      </c>
      <c r="B156">
        <v>7</v>
      </c>
      <c r="C156" t="s">
        <v>782</v>
      </c>
      <c r="D156" t="s">
        <v>523</v>
      </c>
      <c r="E156" t="s">
        <v>244</v>
      </c>
      <c r="F156">
        <v>13</v>
      </c>
      <c r="G156" t="s">
        <v>1033</v>
      </c>
      <c r="H156" t="s">
        <v>1033</v>
      </c>
      <c r="I156" t="s">
        <v>1029</v>
      </c>
      <c r="J156">
        <v>77</v>
      </c>
      <c r="K156">
        <v>155</v>
      </c>
      <c r="L156" t="str">
        <f t="shared" si="4"/>
        <v>Adonai Mitchell</v>
      </c>
      <c r="M156" s="69">
        <f>IFERROR(VLOOKUP(E156,RISK!A:B,2,FALSE()),"")</f>
        <v>3.848101265822784</v>
      </c>
      <c r="N156" s="43">
        <f t="shared" si="5"/>
        <v>96.449836187639619</v>
      </c>
      <c r="Q156" s="20" t="s">
        <v>123</v>
      </c>
      <c r="R156" s="43">
        <f>Aggregate!BQ10</f>
        <v>185.33705364705884</v>
      </c>
    </row>
    <row r="157" spans="1:18" ht="14.25" customHeight="1" x14ac:dyDescent="0.3">
      <c r="A157">
        <v>156</v>
      </c>
      <c r="B157">
        <v>7</v>
      </c>
      <c r="C157" t="s">
        <v>524</v>
      </c>
      <c r="D157" t="s">
        <v>525</v>
      </c>
      <c r="E157" t="s">
        <v>387</v>
      </c>
      <c r="F157">
        <v>9</v>
      </c>
      <c r="G157" t="s">
        <v>1033</v>
      </c>
      <c r="H157" t="s">
        <v>1033</v>
      </c>
      <c r="I157" t="s">
        <v>1032</v>
      </c>
      <c r="J157">
        <v>21</v>
      </c>
      <c r="K157">
        <v>156</v>
      </c>
      <c r="L157" t="str">
        <f t="shared" si="4"/>
        <v>Cam Ward</v>
      </c>
      <c r="M157" s="69">
        <f>IFERROR(VLOOKUP(E157,RISK!A:B,2,FALSE()),"")</f>
        <v>3.2</v>
      </c>
      <c r="N157" s="43">
        <f t="shared" si="5"/>
        <v>207.50816470588234</v>
      </c>
      <c r="Q157" s="20" t="s">
        <v>126</v>
      </c>
      <c r="R157" s="43">
        <f>Aggregate!BQ11</f>
        <v>185.09754394117644</v>
      </c>
    </row>
    <row r="158" spans="1:18" ht="14.25" customHeight="1" x14ac:dyDescent="0.3">
      <c r="A158">
        <v>157</v>
      </c>
      <c r="B158">
        <v>7</v>
      </c>
      <c r="C158" t="s">
        <v>637</v>
      </c>
      <c r="D158" t="s">
        <v>523</v>
      </c>
      <c r="E158" t="s">
        <v>247</v>
      </c>
      <c r="F158">
        <v>13</v>
      </c>
      <c r="G158" t="s">
        <v>1026</v>
      </c>
      <c r="H158" t="s">
        <v>1033</v>
      </c>
      <c r="I158" t="s">
        <v>1032</v>
      </c>
      <c r="J158">
        <v>14</v>
      </c>
      <c r="K158">
        <v>157</v>
      </c>
      <c r="L158" t="str">
        <f t="shared" si="4"/>
        <v>Braelon Allen</v>
      </c>
      <c r="M158" s="69">
        <f>IFERROR(VLOOKUP(E158,RISK!A:B,2,FALSE()),"")</f>
        <v>4</v>
      </c>
      <c r="N158" s="43">
        <f t="shared" si="5"/>
        <v>70.915303176470573</v>
      </c>
      <c r="Q158" s="20" t="s">
        <v>128</v>
      </c>
      <c r="R158" s="43">
        <f>Aggregate!BQ12</f>
        <v>184.632294</v>
      </c>
    </row>
    <row r="159" spans="1:18" ht="14.25" customHeight="1" x14ac:dyDescent="0.3">
      <c r="A159">
        <v>158</v>
      </c>
      <c r="B159">
        <v>7</v>
      </c>
      <c r="C159" t="s">
        <v>784</v>
      </c>
      <c r="D159" t="s">
        <v>519</v>
      </c>
      <c r="E159" t="s">
        <v>254</v>
      </c>
      <c r="F159">
        <v>8</v>
      </c>
      <c r="G159" t="s">
        <v>1034</v>
      </c>
      <c r="H159" t="s">
        <v>1033</v>
      </c>
      <c r="I159" t="s">
        <v>1032</v>
      </c>
      <c r="J159">
        <v>41</v>
      </c>
      <c r="K159">
        <v>158</v>
      </c>
      <c r="L159" t="str">
        <f t="shared" si="4"/>
        <v>Kayshon Boutte</v>
      </c>
      <c r="M159" s="69">
        <f>IFERROR(VLOOKUP(E159,RISK!A:B,2,FALSE()),"")</f>
        <v>3.848101265822784</v>
      </c>
      <c r="N159" s="43">
        <f t="shared" si="5"/>
        <v>94.132935815338797</v>
      </c>
      <c r="Q159" s="20" t="s">
        <v>129</v>
      </c>
      <c r="R159" s="43">
        <f>Aggregate!BQ13</f>
        <v>180.8940682352941</v>
      </c>
    </row>
    <row r="160" spans="1:18" ht="14.25" customHeight="1" x14ac:dyDescent="0.3">
      <c r="A160">
        <v>159</v>
      </c>
      <c r="B160">
        <v>7</v>
      </c>
      <c r="C160" t="s">
        <v>629</v>
      </c>
      <c r="D160" t="s">
        <v>505</v>
      </c>
      <c r="E160" t="s">
        <v>233</v>
      </c>
      <c r="F160">
        <v>8</v>
      </c>
      <c r="G160" t="s">
        <v>1030</v>
      </c>
      <c r="H160" t="s">
        <v>1033</v>
      </c>
      <c r="I160" t="s">
        <v>1032</v>
      </c>
      <c r="J160">
        <v>-7</v>
      </c>
      <c r="K160">
        <v>159</v>
      </c>
      <c r="L160" t="str">
        <f t="shared" si="4"/>
        <v>Alvin Kamara</v>
      </c>
      <c r="M160" s="69">
        <f>IFERROR(VLOOKUP(E160,RISK!A:B,2,FALSE()),"")</f>
        <v>4</v>
      </c>
      <c r="N160" s="43">
        <f t="shared" si="5"/>
        <v>70.356030588235299</v>
      </c>
      <c r="Q160" s="20" t="s">
        <v>133</v>
      </c>
      <c r="R160" s="43">
        <f>Aggregate!BQ14</f>
        <v>180.57297941176472</v>
      </c>
    </row>
    <row r="161" spans="1:18" ht="14.25" customHeight="1" x14ac:dyDescent="0.3">
      <c r="A161">
        <v>160</v>
      </c>
      <c r="B161">
        <v>7</v>
      </c>
      <c r="C161" t="s">
        <v>776</v>
      </c>
      <c r="D161" t="s">
        <v>507</v>
      </c>
      <c r="E161" t="s">
        <v>253</v>
      </c>
      <c r="F161">
        <v>10</v>
      </c>
      <c r="G161" t="s">
        <v>1033</v>
      </c>
      <c r="H161" t="s">
        <v>1034</v>
      </c>
      <c r="I161" t="s">
        <v>1029</v>
      </c>
      <c r="J161">
        <v>66</v>
      </c>
      <c r="K161">
        <v>160</v>
      </c>
      <c r="L161" t="str">
        <f t="shared" si="4"/>
        <v>Jalen McMillan</v>
      </c>
      <c r="M161" s="69">
        <f>IFERROR(VLOOKUP(E161,RISK!A:B,2,FALSE()),"")</f>
        <v>3.848101265822784</v>
      </c>
      <c r="N161" s="43">
        <f t="shared" si="5"/>
        <v>93.453369471332863</v>
      </c>
      <c r="Q161" s="20" t="s">
        <v>124</v>
      </c>
      <c r="R161" s="43">
        <f>Aggregate!BQ15</f>
        <v>170.26228094117644</v>
      </c>
    </row>
    <row r="162" spans="1:18" ht="14.25" customHeight="1" x14ac:dyDescent="0.3">
      <c r="A162">
        <v>161</v>
      </c>
      <c r="B162">
        <v>7</v>
      </c>
      <c r="C162" t="s">
        <v>789</v>
      </c>
      <c r="D162" t="s">
        <v>481</v>
      </c>
      <c r="E162" t="s">
        <v>245</v>
      </c>
      <c r="F162">
        <v>10</v>
      </c>
      <c r="G162" t="s">
        <v>1033</v>
      </c>
      <c r="H162" t="s">
        <v>1033</v>
      </c>
      <c r="I162" t="s">
        <v>1029</v>
      </c>
      <c r="J162">
        <v>47</v>
      </c>
      <c r="K162">
        <v>161</v>
      </c>
      <c r="L162" t="str">
        <f t="shared" si="4"/>
        <v>Dontayvion Wicks</v>
      </c>
      <c r="M162" s="69">
        <f>IFERROR(VLOOKUP(E162,RISK!A:B,2,FALSE()),"")</f>
        <v>3.848101265822784</v>
      </c>
      <c r="N162" s="43">
        <f t="shared" si="5"/>
        <v>93.130296947133289</v>
      </c>
      <c r="Q162" s="20" t="s">
        <v>139</v>
      </c>
      <c r="R162" s="43">
        <f>Aggregate!BQ16</f>
        <v>169.09366529411761</v>
      </c>
    </row>
    <row r="163" spans="1:18" ht="14.25" customHeight="1" x14ac:dyDescent="0.3">
      <c r="A163">
        <v>162</v>
      </c>
      <c r="B163">
        <v>7</v>
      </c>
      <c r="C163" t="s">
        <v>633</v>
      </c>
      <c r="D163" t="s">
        <v>485</v>
      </c>
      <c r="E163" t="s">
        <v>250</v>
      </c>
      <c r="F163">
        <v>8</v>
      </c>
      <c r="G163" t="s">
        <v>1026</v>
      </c>
      <c r="H163" t="s">
        <v>1033</v>
      </c>
      <c r="I163" t="s">
        <v>1029</v>
      </c>
      <c r="J163">
        <v>-7</v>
      </c>
      <c r="K163">
        <v>162</v>
      </c>
      <c r="L163" t="str">
        <f t="shared" si="4"/>
        <v>Tyrone Tracy Jr.</v>
      </c>
      <c r="M163" s="69">
        <f>IFERROR(VLOOKUP(E163,RISK!A:B,2,FALSE()),"")</f>
        <v>4</v>
      </c>
      <c r="N163" s="43">
        <f t="shared" si="5"/>
        <v>69.975864705882358</v>
      </c>
      <c r="Q163" s="20" t="s">
        <v>137</v>
      </c>
      <c r="R163" s="43">
        <f>Aggregate!BQ17</f>
        <v>163.54782500000002</v>
      </c>
    </row>
    <row r="164" spans="1:18" ht="14.25" customHeight="1" x14ac:dyDescent="0.3">
      <c r="A164">
        <v>163</v>
      </c>
      <c r="B164">
        <v>7</v>
      </c>
      <c r="C164" t="s">
        <v>659</v>
      </c>
      <c r="D164" t="s">
        <v>493</v>
      </c>
      <c r="E164" t="s">
        <v>234</v>
      </c>
      <c r="F164">
        <v>5</v>
      </c>
      <c r="G164" t="s">
        <v>1033</v>
      </c>
      <c r="H164" t="s">
        <v>1033</v>
      </c>
      <c r="I164" t="s">
        <v>1032</v>
      </c>
      <c r="J164">
        <v>-2</v>
      </c>
      <c r="K164">
        <v>163</v>
      </c>
      <c r="L164" t="str">
        <f t="shared" si="4"/>
        <v>Emmett Johnson</v>
      </c>
      <c r="M164" s="69">
        <f>IFERROR(VLOOKUP(E164,RISK!A:B,2,FALSE()),"")</f>
        <v>4</v>
      </c>
      <c r="N164" s="43">
        <f t="shared" si="5"/>
        <v>68.609411764705882</v>
      </c>
      <c r="Q164" s="20" t="s">
        <v>146</v>
      </c>
      <c r="R164" s="43">
        <f>Aggregate!BQ18</f>
        <v>160.79456623529413</v>
      </c>
    </row>
    <row r="165" spans="1:18" ht="14.25" customHeight="1" x14ac:dyDescent="0.3">
      <c r="A165">
        <v>164</v>
      </c>
      <c r="B165">
        <v>7</v>
      </c>
      <c r="C165" t="s">
        <v>636</v>
      </c>
      <c r="D165" t="s">
        <v>533</v>
      </c>
      <c r="E165" t="s">
        <v>249</v>
      </c>
      <c r="F165">
        <v>11</v>
      </c>
      <c r="G165" t="s">
        <v>1026</v>
      </c>
      <c r="H165" t="s">
        <v>1033</v>
      </c>
      <c r="I165" t="s">
        <v>1028</v>
      </c>
      <c r="J165">
        <v>-19</v>
      </c>
      <c r="K165">
        <v>164</v>
      </c>
      <c r="L165" t="str">
        <f t="shared" si="4"/>
        <v>Brian Robinson Jr.</v>
      </c>
      <c r="M165" s="69">
        <f>IFERROR(VLOOKUP(E165,RISK!A:B,2,FALSE()),"")</f>
        <v>4</v>
      </c>
      <c r="N165" s="43">
        <f t="shared" si="5"/>
        <v>67.496275294117638</v>
      </c>
      <c r="Q165" s="20" t="s">
        <v>142</v>
      </c>
      <c r="R165" s="43">
        <f>Aggregate!BQ19</f>
        <v>158.90529529411762</v>
      </c>
    </row>
    <row r="166" spans="1:18" ht="14.25" customHeight="1" x14ac:dyDescent="0.3">
      <c r="A166">
        <v>165</v>
      </c>
      <c r="B166">
        <v>7</v>
      </c>
      <c r="C166" t="s">
        <v>594</v>
      </c>
      <c r="D166" t="s">
        <v>515</v>
      </c>
      <c r="E166" t="s">
        <v>296</v>
      </c>
      <c r="F166">
        <v>11</v>
      </c>
      <c r="G166" t="s">
        <v>1033</v>
      </c>
      <c r="H166" t="s">
        <v>1025</v>
      </c>
      <c r="I166" t="s">
        <v>1029</v>
      </c>
      <c r="J166">
        <v>-105</v>
      </c>
      <c r="K166">
        <v>165</v>
      </c>
      <c r="L166" t="str">
        <f t="shared" si="4"/>
        <v>Josh Jacobs</v>
      </c>
      <c r="M166" s="69">
        <f>IFERROR(VLOOKUP(E166,RISK!A:B,2,FALSE()),"")</f>
        <v>4</v>
      </c>
      <c r="N166" s="43">
        <f t="shared" si="5"/>
        <v>66.865882352941199</v>
      </c>
      <c r="Q166" s="20" t="s">
        <v>143</v>
      </c>
      <c r="R166" s="43">
        <f>Aggregate!BQ20</f>
        <v>157.09839400000001</v>
      </c>
    </row>
    <row r="167" spans="1:18" ht="14.25" customHeight="1" x14ac:dyDescent="0.3">
      <c r="A167">
        <v>166</v>
      </c>
      <c r="B167">
        <v>7</v>
      </c>
      <c r="C167" t="s">
        <v>772</v>
      </c>
      <c r="D167" t="s">
        <v>535</v>
      </c>
      <c r="E167" t="s">
        <v>263</v>
      </c>
      <c r="F167">
        <v>11</v>
      </c>
      <c r="G167" t="s">
        <v>1026</v>
      </c>
      <c r="H167" t="s">
        <v>1033</v>
      </c>
      <c r="I167" t="s">
        <v>1032</v>
      </c>
      <c r="J167">
        <v>54</v>
      </c>
      <c r="K167">
        <v>166</v>
      </c>
      <c r="L167" t="str">
        <f t="shared" si="4"/>
        <v>Jerry Jeudy</v>
      </c>
      <c r="M167" s="69">
        <f>IFERROR(VLOOKUP(E167,RISK!A:B,2,FALSE()),"")</f>
        <v>3.848101265822784</v>
      </c>
      <c r="N167" s="43">
        <f t="shared" si="5"/>
        <v>92.071955919583019</v>
      </c>
      <c r="Q167" s="20" t="s">
        <v>153</v>
      </c>
      <c r="R167" s="43">
        <f>Aggregate!BQ21</f>
        <v>155.83898482352942</v>
      </c>
    </row>
    <row r="168" spans="1:18" ht="14.25" customHeight="1" x14ac:dyDescent="0.3">
      <c r="A168">
        <v>167</v>
      </c>
      <c r="B168">
        <v>7</v>
      </c>
      <c r="C168" t="s">
        <v>667</v>
      </c>
      <c r="D168" t="s">
        <v>471</v>
      </c>
      <c r="E168" t="s">
        <v>318</v>
      </c>
      <c r="F168">
        <v>7</v>
      </c>
      <c r="G168" t="s">
        <v>1035</v>
      </c>
      <c r="H168" t="s">
        <v>1035</v>
      </c>
      <c r="I168" t="s">
        <v>1028</v>
      </c>
      <c r="J168">
        <v>11</v>
      </c>
      <c r="K168">
        <v>167</v>
      </c>
      <c r="L168" t="str">
        <f t="shared" si="4"/>
        <v>Ray Davis</v>
      </c>
      <c r="M168" s="69">
        <f>IFERROR(VLOOKUP(E168,RISK!A:B,2,FALSE()),"")</f>
        <v>4</v>
      </c>
      <c r="N168" s="43">
        <f t="shared" si="5"/>
        <v>66.055283999999986</v>
      </c>
      <c r="Q168" s="20" t="s">
        <v>161</v>
      </c>
      <c r="R168" s="43">
        <f>Aggregate!BQ22</f>
        <v>152.90552911764706</v>
      </c>
    </row>
    <row r="169" spans="1:18" ht="14.25" customHeight="1" x14ac:dyDescent="0.3">
      <c r="A169">
        <v>168</v>
      </c>
      <c r="B169">
        <v>7</v>
      </c>
      <c r="C169" t="s">
        <v>777</v>
      </c>
      <c r="D169" t="s">
        <v>509</v>
      </c>
      <c r="E169" t="s">
        <v>275</v>
      </c>
      <c r="F169">
        <v>6</v>
      </c>
      <c r="G169" t="s">
        <v>1030</v>
      </c>
      <c r="H169" t="s">
        <v>1033</v>
      </c>
      <c r="I169" t="s">
        <v>1027</v>
      </c>
      <c r="J169">
        <v>16</v>
      </c>
      <c r="K169">
        <v>168</v>
      </c>
      <c r="L169" t="str">
        <f t="shared" si="4"/>
        <v>Jauan Jennings</v>
      </c>
      <c r="M169" s="69">
        <f>IFERROR(VLOOKUP(E169,RISK!A:B,2,FALSE()),"")</f>
        <v>3.848101265822784</v>
      </c>
      <c r="N169" s="43">
        <f t="shared" si="5"/>
        <v>91.253134177215188</v>
      </c>
      <c r="Q169" s="20" t="s">
        <v>150</v>
      </c>
      <c r="R169" s="43">
        <f>Aggregate!BQ23</f>
        <v>149.71450735294115</v>
      </c>
    </row>
    <row r="170" spans="1:18" ht="14.25" customHeight="1" x14ac:dyDescent="0.3">
      <c r="A170">
        <v>169</v>
      </c>
      <c r="B170">
        <v>7</v>
      </c>
      <c r="C170" t="s">
        <v>805</v>
      </c>
      <c r="D170" t="s">
        <v>491</v>
      </c>
      <c r="E170" t="s">
        <v>289</v>
      </c>
      <c r="F170">
        <v>14</v>
      </c>
      <c r="G170" t="s">
        <v>1033</v>
      </c>
      <c r="H170" t="s">
        <v>1034</v>
      </c>
      <c r="I170" t="s">
        <v>1028</v>
      </c>
      <c r="J170">
        <v>82</v>
      </c>
      <c r="K170">
        <v>169</v>
      </c>
      <c r="L170" t="str">
        <f t="shared" si="4"/>
        <v>Ryan Flournoy</v>
      </c>
      <c r="M170" s="69">
        <f>IFERROR(VLOOKUP(E170,RISK!A:B,2,FALSE()),"")</f>
        <v>3.848101265822784</v>
      </c>
      <c r="N170" s="43">
        <f t="shared" si="5"/>
        <v>91.035895755770667</v>
      </c>
      <c r="Q170" s="20" t="s">
        <v>156</v>
      </c>
      <c r="R170" s="43">
        <f>Aggregate!BQ24</f>
        <v>148.09169941176469</v>
      </c>
    </row>
    <row r="171" spans="1:18" ht="14.25" customHeight="1" x14ac:dyDescent="0.3">
      <c r="A171">
        <v>170</v>
      </c>
      <c r="B171">
        <v>7</v>
      </c>
      <c r="C171" t="s">
        <v>924</v>
      </c>
      <c r="D171" t="s">
        <v>501</v>
      </c>
      <c r="E171" t="s">
        <v>209</v>
      </c>
      <c r="F171">
        <v>11</v>
      </c>
      <c r="G171" t="s">
        <v>1033</v>
      </c>
      <c r="H171" t="s">
        <v>1033</v>
      </c>
      <c r="I171" t="s">
        <v>1029</v>
      </c>
      <c r="J171">
        <v>11</v>
      </c>
      <c r="K171">
        <v>170</v>
      </c>
      <c r="L171" t="str">
        <f t="shared" si="4"/>
        <v>Terrance Ferguson</v>
      </c>
      <c r="M171" s="69">
        <f>IFERROR(VLOOKUP(E171,RISK!A:B,2,FALSE()),"")</f>
        <v>2.9070999999999998</v>
      </c>
      <c r="N171" s="43">
        <f t="shared" si="5"/>
        <v>82.481176470588238</v>
      </c>
      <c r="Q171" s="20" t="s">
        <v>154</v>
      </c>
      <c r="R171" s="43">
        <f>Aggregate!BQ25</f>
        <v>144.33567829411763</v>
      </c>
    </row>
    <row r="172" spans="1:18" ht="14.25" customHeight="1" x14ac:dyDescent="0.3">
      <c r="A172">
        <v>171</v>
      </c>
      <c r="B172">
        <v>7</v>
      </c>
      <c r="C172" t="s">
        <v>815</v>
      </c>
      <c r="D172" t="s">
        <v>499</v>
      </c>
      <c r="E172" t="s">
        <v>259</v>
      </c>
      <c r="F172">
        <v>10</v>
      </c>
      <c r="G172" t="s">
        <v>1034</v>
      </c>
      <c r="H172" t="s">
        <v>1033</v>
      </c>
      <c r="I172" t="s">
        <v>1028</v>
      </c>
      <c r="J172">
        <v>77</v>
      </c>
      <c r="K172">
        <v>171</v>
      </c>
      <c r="L172" t="str">
        <f t="shared" si="4"/>
        <v>Pat Bryant</v>
      </c>
      <c r="M172" s="69">
        <f>IFERROR(VLOOKUP(E172,RISK!A:B,2,FALSE()),"")</f>
        <v>3.848101265822784</v>
      </c>
      <c r="N172" s="43">
        <f t="shared" si="5"/>
        <v>90.941511541325383</v>
      </c>
      <c r="Q172" s="20" t="s">
        <v>172</v>
      </c>
      <c r="R172" s="43">
        <f>Aggregate!BQ26</f>
        <v>142.15262635294116</v>
      </c>
    </row>
    <row r="173" spans="1:18" ht="14.25" customHeight="1" x14ac:dyDescent="0.3">
      <c r="A173">
        <v>172</v>
      </c>
      <c r="B173">
        <v>7</v>
      </c>
      <c r="C173" t="s">
        <v>803</v>
      </c>
      <c r="D173" t="s">
        <v>497</v>
      </c>
      <c r="E173" t="s">
        <v>291</v>
      </c>
      <c r="F173">
        <v>7</v>
      </c>
      <c r="G173" t="s">
        <v>1033</v>
      </c>
      <c r="H173" t="s">
        <v>1030</v>
      </c>
      <c r="I173" t="s">
        <v>1028</v>
      </c>
      <c r="J173">
        <v>62</v>
      </c>
      <c r="K173">
        <v>172</v>
      </c>
      <c r="L173" t="str">
        <f t="shared" si="4"/>
        <v>Tre' Harris</v>
      </c>
      <c r="M173" s="69">
        <f>IFERROR(VLOOKUP(E173,RISK!A:B,2,FALSE()),"")</f>
        <v>3.848101265822784</v>
      </c>
      <c r="N173" s="43">
        <f t="shared" si="5"/>
        <v>88.829471332836931</v>
      </c>
      <c r="Q173" s="20" t="s">
        <v>159</v>
      </c>
      <c r="R173" s="43">
        <f>Aggregate!BQ27</f>
        <v>140.39643976470586</v>
      </c>
    </row>
    <row r="174" spans="1:18" ht="14.25" customHeight="1" x14ac:dyDescent="0.3">
      <c r="A174">
        <v>173</v>
      </c>
      <c r="B174">
        <v>7</v>
      </c>
      <c r="C174" t="s">
        <v>801</v>
      </c>
      <c r="D174" t="s">
        <v>523</v>
      </c>
      <c r="E174" t="s">
        <v>310</v>
      </c>
      <c r="F174">
        <v>13</v>
      </c>
      <c r="G174" t="s">
        <v>1033</v>
      </c>
      <c r="H174" t="s">
        <v>1033</v>
      </c>
      <c r="I174" t="s">
        <v>1029</v>
      </c>
      <c r="J174">
        <v>54</v>
      </c>
      <c r="K174">
        <v>173</v>
      </c>
      <c r="L174" t="str">
        <f t="shared" si="4"/>
        <v>Omar Cooper Jr.</v>
      </c>
      <c r="M174" s="69">
        <f>IFERROR(VLOOKUP(E174,RISK!A:B,2,FALSE()),"")</f>
        <v>3.848101265822784</v>
      </c>
      <c r="N174" s="43">
        <f t="shared" si="5"/>
        <v>88.017148175725993</v>
      </c>
      <c r="Q174" s="20" t="s">
        <v>174</v>
      </c>
      <c r="R174" s="43">
        <f>Aggregate!BQ28</f>
        <v>139.92113964705882</v>
      </c>
    </row>
    <row r="175" spans="1:18" ht="14.25" customHeight="1" x14ac:dyDescent="0.3">
      <c r="A175">
        <v>174</v>
      </c>
      <c r="B175">
        <v>7</v>
      </c>
      <c r="C175" t="s">
        <v>779</v>
      </c>
      <c r="D175" t="s">
        <v>531</v>
      </c>
      <c r="E175" t="s">
        <v>280</v>
      </c>
      <c r="F175">
        <v>13</v>
      </c>
      <c r="G175" t="s">
        <v>1035</v>
      </c>
      <c r="H175" t="s">
        <v>1035</v>
      </c>
      <c r="I175" t="s">
        <v>1028</v>
      </c>
      <c r="J175">
        <v>-2</v>
      </c>
      <c r="K175">
        <v>174</v>
      </c>
      <c r="L175" t="str">
        <f t="shared" si="4"/>
        <v>Jalen Nailor</v>
      </c>
      <c r="M175" s="69">
        <f>IFERROR(VLOOKUP(E175,RISK!A:B,2,FALSE()),"")</f>
        <v>3.848101265822784</v>
      </c>
      <c r="N175" s="43">
        <f t="shared" si="5"/>
        <v>87.18161578555474</v>
      </c>
      <c r="Q175" s="20" t="s">
        <v>177</v>
      </c>
      <c r="R175" s="43">
        <f>Aggregate!BQ29</f>
        <v>139.00203000000002</v>
      </c>
    </row>
    <row r="176" spans="1:18" ht="14.25" customHeight="1" x14ac:dyDescent="0.3">
      <c r="A176">
        <v>175</v>
      </c>
      <c r="B176">
        <v>7</v>
      </c>
      <c r="C176" t="s">
        <v>926</v>
      </c>
      <c r="D176" t="s">
        <v>517</v>
      </c>
      <c r="E176" t="s">
        <v>222</v>
      </c>
      <c r="F176">
        <v>11</v>
      </c>
      <c r="G176" t="s">
        <v>1033</v>
      </c>
      <c r="H176" t="s">
        <v>1030</v>
      </c>
      <c r="I176" t="s">
        <v>1032</v>
      </c>
      <c r="J176">
        <v>18</v>
      </c>
      <c r="K176">
        <v>175</v>
      </c>
      <c r="L176" t="str">
        <f t="shared" si="4"/>
        <v>AJ Barner</v>
      </c>
      <c r="M176" s="69">
        <f>IFERROR(VLOOKUP(E176,RISK!A:B,2,FALSE()),"")</f>
        <v>3</v>
      </c>
      <c r="N176" s="43">
        <f t="shared" si="5"/>
        <v>81.311176470588236</v>
      </c>
      <c r="Q176" s="20" t="s">
        <v>179</v>
      </c>
      <c r="R176" s="43">
        <f>Aggregate!BQ30</f>
        <v>134.53451323529413</v>
      </c>
    </row>
    <row r="177" spans="1:18" ht="14.25" customHeight="1" x14ac:dyDescent="0.3">
      <c r="A177">
        <v>176</v>
      </c>
      <c r="B177">
        <v>7</v>
      </c>
      <c r="C177" t="s">
        <v>920</v>
      </c>
      <c r="D177" t="s">
        <v>509</v>
      </c>
      <c r="E177" t="s">
        <v>239</v>
      </c>
      <c r="F177">
        <v>6</v>
      </c>
      <c r="G177" t="s">
        <v>1030</v>
      </c>
      <c r="H177" t="s">
        <v>1033</v>
      </c>
      <c r="I177" t="s">
        <v>1029</v>
      </c>
      <c r="J177">
        <v>-3</v>
      </c>
      <c r="K177">
        <v>176</v>
      </c>
      <c r="L177" t="str">
        <f t="shared" si="4"/>
        <v>T.J. Hockenson</v>
      </c>
      <c r="M177" s="69">
        <f>IFERROR(VLOOKUP(E177,RISK!A:B,2,FALSE()),"")</f>
        <v>3</v>
      </c>
      <c r="N177" s="43">
        <f t="shared" si="5"/>
        <v>80.783529411764704</v>
      </c>
      <c r="Q177" s="20" t="s">
        <v>176</v>
      </c>
      <c r="R177" s="43">
        <f>Aggregate!BQ31</f>
        <v>129.83431588235291</v>
      </c>
    </row>
    <row r="178" spans="1:18" ht="14.25" customHeight="1" x14ac:dyDescent="0.3">
      <c r="A178">
        <v>177</v>
      </c>
      <c r="B178">
        <v>7</v>
      </c>
      <c r="C178" t="s">
        <v>520</v>
      </c>
      <c r="D178" t="s">
        <v>521</v>
      </c>
      <c r="E178" t="s">
        <v>388</v>
      </c>
      <c r="F178">
        <v>5</v>
      </c>
      <c r="G178" t="s">
        <v>1030</v>
      </c>
      <c r="H178" t="s">
        <v>1033</v>
      </c>
      <c r="I178" t="s">
        <v>1028</v>
      </c>
      <c r="J178">
        <v>-2</v>
      </c>
      <c r="K178">
        <v>177</v>
      </c>
      <c r="L178" t="str">
        <f t="shared" si="4"/>
        <v>Bryce Young</v>
      </c>
      <c r="M178" s="69">
        <f>IFERROR(VLOOKUP(E178,RISK!A:B,2,FALSE()),"")</f>
        <v>3.2</v>
      </c>
      <c r="N178" s="43">
        <f t="shared" si="5"/>
        <v>189.58277647058824</v>
      </c>
      <c r="Q178" s="20" t="s">
        <v>189</v>
      </c>
      <c r="R178" s="43">
        <f>Aggregate!BQ32</f>
        <v>128.90222164705884</v>
      </c>
    </row>
    <row r="179" spans="1:18" ht="14.25" customHeight="1" x14ac:dyDescent="0.3">
      <c r="A179">
        <v>178</v>
      </c>
      <c r="B179">
        <v>8</v>
      </c>
      <c r="C179" t="s">
        <v>775</v>
      </c>
      <c r="D179" t="s">
        <v>511</v>
      </c>
      <c r="E179" t="s">
        <v>258</v>
      </c>
      <c r="F179">
        <v>13</v>
      </c>
      <c r="G179" t="s">
        <v>1034</v>
      </c>
      <c r="H179" t="s">
        <v>1034</v>
      </c>
      <c r="I179" t="s">
        <v>1029</v>
      </c>
      <c r="J179">
        <v>-12</v>
      </c>
      <c r="K179">
        <v>178</v>
      </c>
      <c r="L179" t="str">
        <f t="shared" si="4"/>
        <v>Keenan Allen</v>
      </c>
      <c r="M179" s="69">
        <f>IFERROR(VLOOKUP(E179,RISK!A:B,2,FALSE()),"")</f>
        <v>3.848101265822784</v>
      </c>
      <c r="N179" s="43">
        <f t="shared" si="5"/>
        <v>85.247513030528665</v>
      </c>
      <c r="Q179" s="20" t="s">
        <v>183</v>
      </c>
      <c r="R179" s="43">
        <f>Aggregate!BQ33</f>
        <v>128.04583270588233</v>
      </c>
    </row>
    <row r="180" spans="1:18" ht="14.25" customHeight="1" x14ac:dyDescent="0.3">
      <c r="A180">
        <v>179</v>
      </c>
      <c r="B180">
        <v>8</v>
      </c>
      <c r="C180" t="s">
        <v>787</v>
      </c>
      <c r="D180" t="s">
        <v>513</v>
      </c>
      <c r="E180" t="s">
        <v>278</v>
      </c>
      <c r="F180">
        <v>6</v>
      </c>
      <c r="G180" t="s">
        <v>1034</v>
      </c>
      <c r="H180" t="s">
        <v>1033</v>
      </c>
      <c r="I180" t="s">
        <v>1032</v>
      </c>
      <c r="J180">
        <v>37</v>
      </c>
      <c r="K180">
        <v>179</v>
      </c>
      <c r="L180" t="str">
        <f t="shared" si="4"/>
        <v>Malik Washington</v>
      </c>
      <c r="M180" s="69">
        <f>IFERROR(VLOOKUP(E180,RISK!A:B,2,FALSE()),"")</f>
        <v>3.848101265822784</v>
      </c>
      <c r="N180" s="43">
        <f t="shared" si="5"/>
        <v>85.154676098287439</v>
      </c>
      <c r="Q180" s="20" t="s">
        <v>184</v>
      </c>
      <c r="R180" s="43">
        <f>Aggregate!BQ34</f>
        <v>127.94585294117647</v>
      </c>
    </row>
    <row r="181" spans="1:18" ht="14.25" customHeight="1" x14ac:dyDescent="0.3">
      <c r="A181">
        <v>180</v>
      </c>
      <c r="B181">
        <v>8</v>
      </c>
      <c r="C181" t="s">
        <v>923</v>
      </c>
      <c r="D181" t="s">
        <v>523</v>
      </c>
      <c r="E181" t="s">
        <v>225</v>
      </c>
      <c r="F181">
        <v>13</v>
      </c>
      <c r="G181" t="s">
        <v>1034</v>
      </c>
      <c r="H181" t="s">
        <v>1033</v>
      </c>
      <c r="I181" t="s">
        <v>1029</v>
      </c>
      <c r="J181">
        <v>9</v>
      </c>
      <c r="K181">
        <v>180</v>
      </c>
      <c r="L181" t="str">
        <f t="shared" si="4"/>
        <v>Kenyon Sadiq</v>
      </c>
      <c r="M181" s="69">
        <f>IFERROR(VLOOKUP(E181,RISK!A:B,2,FALSE()),"")</f>
        <v>3</v>
      </c>
      <c r="N181" s="43">
        <f t="shared" si="5"/>
        <v>79.312167176470581</v>
      </c>
      <c r="Q181" s="20" t="s">
        <v>193</v>
      </c>
      <c r="R181" s="43">
        <f>Aggregate!BQ35</f>
        <v>127.61356904470587</v>
      </c>
    </row>
    <row r="182" spans="1:18" ht="14.25" customHeight="1" x14ac:dyDescent="0.3">
      <c r="A182">
        <v>181</v>
      </c>
      <c r="B182">
        <v>8</v>
      </c>
      <c r="C182" t="s">
        <v>768</v>
      </c>
      <c r="D182" t="s">
        <v>525</v>
      </c>
      <c r="E182" t="s">
        <v>276</v>
      </c>
      <c r="F182">
        <v>9</v>
      </c>
      <c r="G182" t="s">
        <v>1030</v>
      </c>
      <c r="H182" t="s">
        <v>1033</v>
      </c>
      <c r="I182" t="s">
        <v>1032</v>
      </c>
      <c r="J182">
        <v>47</v>
      </c>
      <c r="K182">
        <v>181</v>
      </c>
      <c r="L182" t="str">
        <f t="shared" si="4"/>
        <v>Calvin Ridley</v>
      </c>
      <c r="M182" s="69">
        <f>IFERROR(VLOOKUP(E182,RISK!A:B,2,FALSE()),"")</f>
        <v>3.848101265822784</v>
      </c>
      <c r="N182" s="43">
        <f t="shared" si="5"/>
        <v>83.042635889798973</v>
      </c>
      <c r="Q182" s="20" t="s">
        <v>186</v>
      </c>
      <c r="R182" s="43">
        <f>Aggregate!BQ36</f>
        <v>126.59862993298584</v>
      </c>
    </row>
    <row r="183" spans="1:18" ht="14.25" customHeight="1" x14ac:dyDescent="0.3">
      <c r="A183">
        <v>182</v>
      </c>
      <c r="B183">
        <v>8</v>
      </c>
      <c r="C183" t="s">
        <v>785</v>
      </c>
      <c r="D183" t="s">
        <v>519</v>
      </c>
      <c r="E183" t="s">
        <v>248</v>
      </c>
      <c r="F183">
        <v>8</v>
      </c>
      <c r="G183" t="s">
        <v>1033</v>
      </c>
      <c r="H183" t="s">
        <v>1034</v>
      </c>
      <c r="I183" t="s">
        <v>1032</v>
      </c>
      <c r="J183">
        <v>130</v>
      </c>
      <c r="K183">
        <v>182</v>
      </c>
      <c r="L183" t="str">
        <f t="shared" si="4"/>
        <v>Jaylin Noel</v>
      </c>
      <c r="M183" s="69">
        <f>IFERROR(VLOOKUP(E183,RISK!A:B,2,FALSE()),"")</f>
        <v>3.848101265822784</v>
      </c>
      <c r="N183" s="43">
        <f t="shared" si="5"/>
        <v>82.307367386448263</v>
      </c>
      <c r="Q183" s="20" t="s">
        <v>198</v>
      </c>
      <c r="R183" s="43">
        <f>Aggregate!BQ37</f>
        <v>121.29330871183919</v>
      </c>
    </row>
    <row r="184" spans="1:18" ht="14.25" customHeight="1" x14ac:dyDescent="0.3">
      <c r="A184">
        <v>183</v>
      </c>
      <c r="B184">
        <v>8</v>
      </c>
      <c r="C184" t="s">
        <v>649</v>
      </c>
      <c r="D184" t="s">
        <v>497</v>
      </c>
      <c r="E184" t="s">
        <v>238</v>
      </c>
      <c r="F184">
        <v>7</v>
      </c>
      <c r="G184" t="s">
        <v>1026</v>
      </c>
      <c r="H184" t="s">
        <v>1033</v>
      </c>
      <c r="I184" t="s">
        <v>1032</v>
      </c>
      <c r="J184">
        <v>54</v>
      </c>
      <c r="K184">
        <v>183</v>
      </c>
      <c r="L184" t="str">
        <f t="shared" si="4"/>
        <v>Kimani Vidal</v>
      </c>
      <c r="M184" s="69">
        <f>IFERROR(VLOOKUP(E184,RISK!A:B,2,FALSE()),"")</f>
        <v>4</v>
      </c>
      <c r="N184" s="43">
        <f t="shared" si="5"/>
        <v>63.822352941176469</v>
      </c>
      <c r="Q184" s="20" t="s">
        <v>188</v>
      </c>
      <c r="R184" s="43">
        <f>Aggregate!BQ38</f>
        <v>121.28355058823527</v>
      </c>
    </row>
    <row r="185" spans="1:18" ht="14.25" customHeight="1" x14ac:dyDescent="0.3">
      <c r="A185">
        <v>184</v>
      </c>
      <c r="B185">
        <v>8</v>
      </c>
      <c r="C185" t="s">
        <v>1036</v>
      </c>
      <c r="D185" t="s">
        <v>519</v>
      </c>
      <c r="E185" t="s">
        <v>1037</v>
      </c>
      <c r="F185">
        <v>8</v>
      </c>
      <c r="G185" t="s">
        <v>1035</v>
      </c>
      <c r="H185" t="s">
        <v>1035</v>
      </c>
      <c r="I185" t="s">
        <v>1028</v>
      </c>
      <c r="J185">
        <v>-73</v>
      </c>
      <c r="K185">
        <v>184</v>
      </c>
      <c r="L185" t="str">
        <f t="shared" si="4"/>
        <v>Houston Texans</v>
      </c>
      <c r="M185" s="69" t="str">
        <f>IFERROR(VLOOKUP(E185,RISK!A:B,2,FALSE()),"")</f>
        <v/>
      </c>
      <c r="N185" s="43" t="e">
        <f t="shared" si="5"/>
        <v>#N/A</v>
      </c>
      <c r="Q185" s="20" t="s">
        <v>197</v>
      </c>
      <c r="R185" s="43">
        <f>Aggregate!BQ39</f>
        <v>119.05673870588235</v>
      </c>
    </row>
    <row r="186" spans="1:18" ht="14.25" customHeight="1" x14ac:dyDescent="0.3">
      <c r="A186">
        <v>185</v>
      </c>
      <c r="B186">
        <v>8</v>
      </c>
      <c r="C186" t="s">
        <v>628</v>
      </c>
      <c r="D186" t="s">
        <v>503</v>
      </c>
      <c r="E186" t="s">
        <v>321</v>
      </c>
      <c r="F186">
        <v>6</v>
      </c>
      <c r="G186" t="s">
        <v>1034</v>
      </c>
      <c r="H186" t="s">
        <v>1033</v>
      </c>
      <c r="I186" t="s">
        <v>1027</v>
      </c>
      <c r="J186">
        <v>-28</v>
      </c>
      <c r="K186">
        <v>185</v>
      </c>
      <c r="L186" t="str">
        <f t="shared" si="4"/>
        <v>Isiah Pacheco</v>
      </c>
      <c r="M186" s="69">
        <f>IFERROR(VLOOKUP(E186,RISK!A:B,2,FALSE()),"")</f>
        <v>4</v>
      </c>
      <c r="N186" s="43">
        <f t="shared" si="5"/>
        <v>63.187647058823529</v>
      </c>
      <c r="Q186" s="20" t="s">
        <v>201</v>
      </c>
      <c r="R186" s="43">
        <f>Aggregate!BQ40</f>
        <v>118.27425167535368</v>
      </c>
    </row>
    <row r="187" spans="1:18" ht="14.25" customHeight="1" x14ac:dyDescent="0.3">
      <c r="A187">
        <v>186</v>
      </c>
      <c r="B187">
        <v>8</v>
      </c>
      <c r="C187" t="s">
        <v>526</v>
      </c>
      <c r="D187" t="s">
        <v>527</v>
      </c>
      <c r="E187" t="s">
        <v>389</v>
      </c>
      <c r="F187">
        <v>14</v>
      </c>
      <c r="G187" t="s">
        <v>1030</v>
      </c>
      <c r="H187" t="s">
        <v>1033</v>
      </c>
      <c r="I187" t="s">
        <v>1028</v>
      </c>
      <c r="J187">
        <v>47</v>
      </c>
      <c r="K187">
        <v>186</v>
      </c>
      <c r="L187" t="str">
        <f t="shared" si="4"/>
        <v>Jacoby Brissett</v>
      </c>
      <c r="M187" s="69">
        <f>IFERROR(VLOOKUP(E187,RISK!A:B,2,FALSE()),"")</f>
        <v>3.2</v>
      </c>
      <c r="N187" s="43">
        <f t="shared" si="5"/>
        <v>188.28070588235295</v>
      </c>
      <c r="Q187" s="20" t="s">
        <v>202</v>
      </c>
      <c r="R187" s="43">
        <f>Aggregate!BQ41</f>
        <v>116.20862993298586</v>
      </c>
    </row>
    <row r="188" spans="1:18" ht="14.25" customHeight="1" x14ac:dyDescent="0.3">
      <c r="A188">
        <v>187</v>
      </c>
      <c r="B188">
        <v>8</v>
      </c>
      <c r="C188" t="s">
        <v>930</v>
      </c>
      <c r="D188" t="s">
        <v>525</v>
      </c>
      <c r="E188" t="s">
        <v>221</v>
      </c>
      <c r="F188">
        <v>9</v>
      </c>
      <c r="G188" t="s">
        <v>1034</v>
      </c>
      <c r="H188" t="s">
        <v>1033</v>
      </c>
      <c r="I188" t="s">
        <v>1032</v>
      </c>
      <c r="J188">
        <v>67</v>
      </c>
      <c r="K188">
        <v>187</v>
      </c>
      <c r="L188" t="str">
        <f t="shared" si="4"/>
        <v>Gunnar Helm</v>
      </c>
      <c r="M188" s="69">
        <f>IFERROR(VLOOKUP(E188,RISK!A:B,2,FALSE()),"")</f>
        <v>3</v>
      </c>
      <c r="N188" s="43">
        <f t="shared" si="5"/>
        <v>78.603552588235289</v>
      </c>
      <c r="Q188" s="20" t="s">
        <v>192</v>
      </c>
      <c r="R188" s="43">
        <f>Aggregate!BQ42</f>
        <v>113.16636366344007</v>
      </c>
    </row>
    <row r="189" spans="1:18" ht="14.25" customHeight="1" x14ac:dyDescent="0.3">
      <c r="A189">
        <v>188</v>
      </c>
      <c r="B189">
        <v>8</v>
      </c>
      <c r="C189" t="s">
        <v>786</v>
      </c>
      <c r="D189" t="s">
        <v>489</v>
      </c>
      <c r="E189" t="s">
        <v>246</v>
      </c>
      <c r="F189">
        <v>7</v>
      </c>
      <c r="G189" t="s">
        <v>1034</v>
      </c>
      <c r="H189" t="s">
        <v>1033</v>
      </c>
      <c r="I189" t="s">
        <v>1029</v>
      </c>
      <c r="J189">
        <v>6</v>
      </c>
      <c r="K189">
        <v>188</v>
      </c>
      <c r="L189" t="str">
        <f t="shared" si="4"/>
        <v>Travis Hunter</v>
      </c>
      <c r="M189" s="69">
        <f>IFERROR(VLOOKUP(E189,RISK!A:B,2,FALSE()),"")</f>
        <v>3.848101265822784</v>
      </c>
      <c r="N189" s="43">
        <f t="shared" si="5"/>
        <v>81.294206999255394</v>
      </c>
      <c r="Q189" s="20" t="s">
        <v>220</v>
      </c>
      <c r="R189" s="43">
        <f>Aggregate!BQ43</f>
        <v>112.53383469843629</v>
      </c>
    </row>
    <row r="190" spans="1:18" ht="14.25" customHeight="1" x14ac:dyDescent="0.3">
      <c r="A190">
        <v>189</v>
      </c>
      <c r="B190">
        <v>8</v>
      </c>
      <c r="C190" t="s">
        <v>933</v>
      </c>
      <c r="D190" t="s">
        <v>497</v>
      </c>
      <c r="E190" t="s">
        <v>237</v>
      </c>
      <c r="F190">
        <v>7</v>
      </c>
      <c r="G190" t="s">
        <v>1034</v>
      </c>
      <c r="H190" t="s">
        <v>1033</v>
      </c>
      <c r="I190" t="s">
        <v>1029</v>
      </c>
      <c r="J190">
        <v>-2</v>
      </c>
      <c r="K190">
        <v>189</v>
      </c>
      <c r="L190" t="str">
        <f t="shared" si="4"/>
        <v>Oronde Gadsden II</v>
      </c>
      <c r="M190" s="69">
        <f>IFERROR(VLOOKUP(E190,RISK!A:B,2,FALSE()),"")</f>
        <v>3</v>
      </c>
      <c r="N190" s="43">
        <f t="shared" si="5"/>
        <v>77.625294117647059</v>
      </c>
      <c r="Q190" s="20" t="s">
        <v>210</v>
      </c>
      <c r="R190" s="43">
        <f>Aggregate!BQ44</f>
        <v>112.29183976172749</v>
      </c>
    </row>
    <row r="191" spans="1:18" ht="14.25" customHeight="1" x14ac:dyDescent="0.3">
      <c r="A191">
        <v>190</v>
      </c>
      <c r="B191">
        <v>8</v>
      </c>
      <c r="C191" t="s">
        <v>1042</v>
      </c>
      <c r="D191" t="s">
        <v>501</v>
      </c>
      <c r="E191" t="s">
        <v>1039</v>
      </c>
      <c r="F191">
        <v>11</v>
      </c>
      <c r="G191" t="s">
        <v>1035</v>
      </c>
      <c r="H191" t="s">
        <v>1035</v>
      </c>
      <c r="I191" t="s">
        <v>1028</v>
      </c>
      <c r="J191">
        <v>-88</v>
      </c>
      <c r="K191">
        <v>190</v>
      </c>
      <c r="L191" t="str">
        <f t="shared" si="4"/>
        <v>Los Angeles Rams</v>
      </c>
      <c r="M191" s="69" t="str">
        <f>IFERROR(VLOOKUP(E191,RISK!A:B,2,FALSE()),"")</f>
        <v/>
      </c>
      <c r="N191" s="43" t="e">
        <f t="shared" si="5"/>
        <v>#N/A</v>
      </c>
      <c r="Q191" s="20" t="s">
        <v>218</v>
      </c>
      <c r="R191" s="43">
        <f>Aggregate!BQ45</f>
        <v>111.70603871928517</v>
      </c>
    </row>
    <row r="192" spans="1:18" ht="14.25" customHeight="1" x14ac:dyDescent="0.3">
      <c r="A192">
        <v>191</v>
      </c>
      <c r="B192">
        <v>8</v>
      </c>
      <c r="C192" t="s">
        <v>1038</v>
      </c>
      <c r="D192" t="s">
        <v>499</v>
      </c>
      <c r="E192" t="s">
        <v>1041</v>
      </c>
      <c r="F192">
        <v>10</v>
      </c>
      <c r="G192" t="s">
        <v>1035</v>
      </c>
      <c r="H192" t="s">
        <v>1035</v>
      </c>
      <c r="I192" t="s">
        <v>1029</v>
      </c>
      <c r="J192">
        <v>-67</v>
      </c>
      <c r="K192">
        <v>191</v>
      </c>
      <c r="L192" t="str">
        <f t="shared" si="4"/>
        <v>Denver Broncos</v>
      </c>
      <c r="M192" s="69" t="str">
        <f>IFERROR(VLOOKUP(E192,RISK!A:B,2,FALSE()),"")</f>
        <v/>
      </c>
      <c r="N192" s="43" t="e">
        <f t="shared" si="5"/>
        <v>#N/A</v>
      </c>
      <c r="Q192" s="20" t="s">
        <v>208</v>
      </c>
      <c r="R192" s="43">
        <f>Aggregate!BQ46</f>
        <v>111.27281041176468</v>
      </c>
    </row>
    <row r="193" spans="1:18" ht="14.25" customHeight="1" x14ac:dyDescent="0.3">
      <c r="A193">
        <v>192</v>
      </c>
      <c r="B193">
        <v>8</v>
      </c>
      <c r="C193" t="s">
        <v>774</v>
      </c>
      <c r="D193" t="s">
        <v>475</v>
      </c>
      <c r="E193" t="s">
        <v>283</v>
      </c>
      <c r="F193">
        <v>13</v>
      </c>
      <c r="G193" t="s">
        <v>1034</v>
      </c>
      <c r="H193" t="s">
        <v>1033</v>
      </c>
      <c r="I193" t="s">
        <v>1029</v>
      </c>
      <c r="J193" t="s">
        <v>1035</v>
      </c>
      <c r="K193">
        <v>192</v>
      </c>
      <c r="L193" t="str">
        <f t="shared" si="4"/>
        <v>Rashod Bateman</v>
      </c>
      <c r="M193" s="69">
        <f>IFERROR(VLOOKUP(E193,RISK!A:B,2,FALSE()),"")</f>
        <v>3.848101265822784</v>
      </c>
      <c r="N193" s="43">
        <f t="shared" si="5"/>
        <v>80.212966195085642</v>
      </c>
      <c r="Q193" s="20" t="s">
        <v>205</v>
      </c>
      <c r="R193" s="43">
        <f>Aggregate!BQ47</f>
        <v>110.52090264705882</v>
      </c>
    </row>
    <row r="194" spans="1:18" ht="14.25" customHeight="1" x14ac:dyDescent="0.3">
      <c r="A194">
        <v>193</v>
      </c>
      <c r="B194">
        <v>8</v>
      </c>
      <c r="C194" t="s">
        <v>656</v>
      </c>
      <c r="D194" t="s">
        <v>491</v>
      </c>
      <c r="E194" t="s">
        <v>292</v>
      </c>
      <c r="F194">
        <v>14</v>
      </c>
      <c r="G194" t="s">
        <v>1035</v>
      </c>
      <c r="H194" t="s">
        <v>1035</v>
      </c>
      <c r="I194" t="s">
        <v>1029</v>
      </c>
      <c r="J194">
        <v>76</v>
      </c>
      <c r="K194">
        <v>193</v>
      </c>
      <c r="L194" t="str">
        <f t="shared" ref="L194:L257" si="6">C194</f>
        <v>Malik Davis</v>
      </c>
      <c r="M194" s="69">
        <f>IFERROR(VLOOKUP(E194,RISK!A:B,2,FALSE()),"")</f>
        <v>4</v>
      </c>
      <c r="N194" s="43">
        <f t="shared" si="5"/>
        <v>62.099311764705895</v>
      </c>
      <c r="Q194" s="20" t="s">
        <v>207</v>
      </c>
      <c r="R194" s="43">
        <f>Aggregate!BQ48</f>
        <v>110.15102010424425</v>
      </c>
    </row>
    <row r="195" spans="1:18" ht="14.25" customHeight="1" x14ac:dyDescent="0.3">
      <c r="A195">
        <v>194</v>
      </c>
      <c r="B195">
        <v>8</v>
      </c>
      <c r="C195" t="s">
        <v>1040</v>
      </c>
      <c r="D195" t="s">
        <v>517</v>
      </c>
      <c r="E195" t="s">
        <v>1043</v>
      </c>
      <c r="F195">
        <v>11</v>
      </c>
      <c r="G195" t="s">
        <v>1035</v>
      </c>
      <c r="H195" t="s">
        <v>1035</v>
      </c>
      <c r="I195" t="s">
        <v>1028</v>
      </c>
      <c r="J195">
        <v>-68</v>
      </c>
      <c r="K195">
        <v>194</v>
      </c>
      <c r="L195" t="str">
        <f t="shared" si="6"/>
        <v>Seattle Seahawks</v>
      </c>
      <c r="M195" s="69" t="str">
        <f>IFERROR(VLOOKUP(E195,RISK!A:B,2,FALSE()),"")</f>
        <v/>
      </c>
      <c r="N195" s="43" t="e">
        <f t="shared" ref="N195:N258" si="7">VLOOKUP(E195,Q:R,2,FALSE)</f>
        <v>#N/A</v>
      </c>
      <c r="Q195" s="20" t="s">
        <v>206</v>
      </c>
      <c r="R195" s="43">
        <f>Aggregate!BQ49</f>
        <v>109.57852568875653</v>
      </c>
    </row>
    <row r="196" spans="1:18" ht="14.25" customHeight="1" x14ac:dyDescent="0.3">
      <c r="A196">
        <v>195</v>
      </c>
      <c r="B196">
        <v>8</v>
      </c>
      <c r="C196" t="s">
        <v>669</v>
      </c>
      <c r="D196" t="s">
        <v>507</v>
      </c>
      <c r="E196" t="s">
        <v>266</v>
      </c>
      <c r="F196">
        <v>10</v>
      </c>
      <c r="G196" t="s">
        <v>1034</v>
      </c>
      <c r="H196" t="s">
        <v>1033</v>
      </c>
      <c r="I196" t="s">
        <v>1028</v>
      </c>
      <c r="J196">
        <v>65</v>
      </c>
      <c r="K196">
        <v>195</v>
      </c>
      <c r="L196" t="str">
        <f t="shared" si="6"/>
        <v>Sean Tucker</v>
      </c>
      <c r="M196" s="69">
        <f>IFERROR(VLOOKUP(E196,RISK!A:B,2,FALSE()),"")</f>
        <v>4</v>
      </c>
      <c r="N196" s="43">
        <f t="shared" si="7"/>
        <v>61.288790588235294</v>
      </c>
      <c r="Q196" s="20" t="s">
        <v>203</v>
      </c>
      <c r="R196" s="43">
        <f>Aggregate!BQ50</f>
        <v>107.85330603127328</v>
      </c>
    </row>
    <row r="197" spans="1:18" ht="14.25" customHeight="1" x14ac:dyDescent="0.3">
      <c r="A197">
        <v>196</v>
      </c>
      <c r="B197">
        <v>8</v>
      </c>
      <c r="C197" t="s">
        <v>685</v>
      </c>
      <c r="D197" t="s">
        <v>525</v>
      </c>
      <c r="E197" t="s">
        <v>265</v>
      </c>
      <c r="F197">
        <v>9</v>
      </c>
      <c r="G197" t="s">
        <v>1034</v>
      </c>
      <c r="H197" t="s">
        <v>1033</v>
      </c>
      <c r="I197" t="s">
        <v>1032</v>
      </c>
      <c r="J197">
        <v>40</v>
      </c>
      <c r="K197">
        <v>196</v>
      </c>
      <c r="L197" t="str">
        <f t="shared" si="6"/>
        <v>Nicholas Singleton</v>
      </c>
      <c r="M197" s="69">
        <f>IFERROR(VLOOKUP(E197,RISK!A:B,2,FALSE()),"")</f>
        <v>4</v>
      </c>
      <c r="N197" s="43">
        <f t="shared" si="7"/>
        <v>60.579525882352939</v>
      </c>
      <c r="Q197" s="20" t="s">
        <v>213</v>
      </c>
      <c r="R197" s="43">
        <f>Aggregate!BQ51</f>
        <v>107.76820551005214</v>
      </c>
    </row>
    <row r="198" spans="1:18" ht="14.25" customHeight="1" x14ac:dyDescent="0.3">
      <c r="A198">
        <v>197</v>
      </c>
      <c r="B198">
        <v>8</v>
      </c>
      <c r="C198" t="s">
        <v>1044</v>
      </c>
      <c r="D198" t="s">
        <v>481</v>
      </c>
      <c r="E198" t="s">
        <v>1045</v>
      </c>
      <c r="F198">
        <v>10</v>
      </c>
      <c r="G198" t="s">
        <v>1035</v>
      </c>
      <c r="H198" t="s">
        <v>1035</v>
      </c>
      <c r="I198" t="s">
        <v>1046</v>
      </c>
      <c r="J198">
        <v>-62</v>
      </c>
      <c r="K198">
        <v>197</v>
      </c>
      <c r="L198" t="str">
        <f t="shared" si="6"/>
        <v>Philadelphia Eagles</v>
      </c>
      <c r="M198" s="69" t="str">
        <f>IFERROR(VLOOKUP(E198,RISK!A:B,2,FALSE()),"")</f>
        <v/>
      </c>
      <c r="N198" s="43" t="e">
        <f t="shared" si="7"/>
        <v>#N/A</v>
      </c>
      <c r="Q198" s="20" t="s">
        <v>223</v>
      </c>
      <c r="R198" s="43">
        <f>Aggregate!BQ52</f>
        <v>106.31376023827249</v>
      </c>
    </row>
    <row r="199" spans="1:18" ht="14.25" customHeight="1" x14ac:dyDescent="0.3">
      <c r="A199">
        <v>198</v>
      </c>
      <c r="B199">
        <v>8</v>
      </c>
      <c r="C199" t="s">
        <v>921</v>
      </c>
      <c r="D199" t="s">
        <v>529</v>
      </c>
      <c r="E199" t="s">
        <v>217</v>
      </c>
      <c r="F199">
        <v>9</v>
      </c>
      <c r="G199" t="s">
        <v>1034</v>
      </c>
      <c r="H199" t="s">
        <v>1034</v>
      </c>
      <c r="I199" t="s">
        <v>1028</v>
      </c>
      <c r="J199">
        <v>0</v>
      </c>
      <c r="K199">
        <v>198</v>
      </c>
      <c r="L199" t="str">
        <f t="shared" si="6"/>
        <v>Pat Freiermuth</v>
      </c>
      <c r="M199" s="69">
        <f>IFERROR(VLOOKUP(E199,RISK!A:B,2,FALSE()),"")</f>
        <v>3</v>
      </c>
      <c r="N199" s="43">
        <f t="shared" si="7"/>
        <v>76.462941176470594</v>
      </c>
      <c r="Q199" s="20" t="s">
        <v>230</v>
      </c>
      <c r="R199" s="43">
        <f>Aggregate!BQ53</f>
        <v>105.80253819806404</v>
      </c>
    </row>
    <row r="200" spans="1:18" ht="14.25" customHeight="1" x14ac:dyDescent="0.3">
      <c r="A200">
        <v>199</v>
      </c>
      <c r="B200">
        <v>8</v>
      </c>
      <c r="C200" t="s">
        <v>797</v>
      </c>
      <c r="D200" t="s">
        <v>513</v>
      </c>
      <c r="E200" t="s">
        <v>297</v>
      </c>
      <c r="F200">
        <v>6</v>
      </c>
      <c r="G200" t="s">
        <v>1033</v>
      </c>
      <c r="H200" t="s">
        <v>1033</v>
      </c>
      <c r="I200" t="s">
        <v>1032</v>
      </c>
      <c r="J200">
        <v>26</v>
      </c>
      <c r="K200">
        <v>199</v>
      </c>
      <c r="L200" t="str">
        <f t="shared" si="6"/>
        <v>Chris Bell</v>
      </c>
      <c r="M200" s="69">
        <f>IFERROR(VLOOKUP(E200,RISK!A:B,2,FALSE()),"")</f>
        <v>3.848101265822784</v>
      </c>
      <c r="N200" s="43">
        <f t="shared" si="7"/>
        <v>79.213112434847361</v>
      </c>
      <c r="Q200" s="20" t="s">
        <v>229</v>
      </c>
      <c r="R200" s="43">
        <f>Aggregate!BQ54</f>
        <v>104.87478778853314</v>
      </c>
    </row>
    <row r="201" spans="1:18" ht="14.25" customHeight="1" x14ac:dyDescent="0.3">
      <c r="A201">
        <v>200</v>
      </c>
      <c r="B201">
        <v>8</v>
      </c>
      <c r="C201" t="s">
        <v>925</v>
      </c>
      <c r="D201" t="s">
        <v>507</v>
      </c>
      <c r="E201" t="s">
        <v>227</v>
      </c>
      <c r="F201">
        <v>10</v>
      </c>
      <c r="G201" t="s">
        <v>1030</v>
      </c>
      <c r="H201" t="s">
        <v>1034</v>
      </c>
      <c r="I201" t="s">
        <v>1028</v>
      </c>
      <c r="J201">
        <v>56</v>
      </c>
      <c r="K201">
        <v>200</v>
      </c>
      <c r="L201" t="str">
        <f t="shared" si="6"/>
        <v>Cade Otton</v>
      </c>
      <c r="M201" s="69">
        <f>IFERROR(VLOOKUP(E201,RISK!A:B,2,FALSE()),"")</f>
        <v>3</v>
      </c>
      <c r="N201" s="43">
        <f t="shared" si="7"/>
        <v>72.088823529411755</v>
      </c>
      <c r="Q201" s="20" t="s">
        <v>235</v>
      </c>
      <c r="R201" s="43">
        <f>Aggregate!BQ55</f>
        <v>104.38739389426655</v>
      </c>
    </row>
    <row r="202" spans="1:18" ht="14.25" customHeight="1" x14ac:dyDescent="0.3">
      <c r="A202">
        <v>201</v>
      </c>
      <c r="B202">
        <v>8</v>
      </c>
      <c r="C202" t="s">
        <v>778</v>
      </c>
      <c r="D202" t="s">
        <v>475</v>
      </c>
      <c r="E202" t="s">
        <v>261</v>
      </c>
      <c r="F202">
        <v>13</v>
      </c>
      <c r="G202" t="s">
        <v>1033</v>
      </c>
      <c r="H202" t="s">
        <v>1033</v>
      </c>
      <c r="I202" t="s">
        <v>1029</v>
      </c>
      <c r="J202">
        <v>-51</v>
      </c>
      <c r="K202">
        <v>201</v>
      </c>
      <c r="L202" t="str">
        <f t="shared" si="6"/>
        <v>Ja'Kobi Lane</v>
      </c>
      <c r="M202" s="69">
        <f>IFERROR(VLOOKUP(E202,RISK!A:B,2,FALSE()),"")</f>
        <v>3.848101265822784</v>
      </c>
      <c r="N202" s="43">
        <f t="shared" si="7"/>
        <v>78.238324646314226</v>
      </c>
      <c r="Q202" s="20" t="s">
        <v>232</v>
      </c>
      <c r="R202" s="43">
        <f>Aggregate!BQ56</f>
        <v>104.24040208488458</v>
      </c>
    </row>
    <row r="203" spans="1:18" ht="14.25" customHeight="1" x14ac:dyDescent="0.3">
      <c r="A203">
        <v>202</v>
      </c>
      <c r="B203">
        <v>8</v>
      </c>
      <c r="C203" t="s">
        <v>813</v>
      </c>
      <c r="D203" t="s">
        <v>533</v>
      </c>
      <c r="E203" t="s">
        <v>317</v>
      </c>
      <c r="F203">
        <v>11</v>
      </c>
      <c r="G203" t="s">
        <v>1034</v>
      </c>
      <c r="H203" t="s">
        <v>1033</v>
      </c>
      <c r="I203" t="s">
        <v>1032</v>
      </c>
      <c r="J203">
        <v>53</v>
      </c>
      <c r="K203">
        <v>202</v>
      </c>
      <c r="L203" t="str">
        <f t="shared" si="6"/>
        <v>Zachariah Branch</v>
      </c>
      <c r="M203" s="69">
        <f>IFERROR(VLOOKUP(E203,RISK!A:B,2,FALSE()),"")</f>
        <v>3.848101265822784</v>
      </c>
      <c r="N203" s="43">
        <f t="shared" si="7"/>
        <v>75.592472077438572</v>
      </c>
      <c r="Q203" s="20" t="s">
        <v>226</v>
      </c>
      <c r="R203" s="43">
        <f>Aggregate!BQ57</f>
        <v>102.24440804169771</v>
      </c>
    </row>
    <row r="204" spans="1:18" ht="14.25" customHeight="1" x14ac:dyDescent="0.3">
      <c r="A204">
        <v>203</v>
      </c>
      <c r="B204">
        <v>8</v>
      </c>
      <c r="C204" t="s">
        <v>528</v>
      </c>
      <c r="D204" t="s">
        <v>529</v>
      </c>
      <c r="E204" t="s">
        <v>390</v>
      </c>
      <c r="F204">
        <v>9</v>
      </c>
      <c r="G204" t="s">
        <v>1026</v>
      </c>
      <c r="H204" t="s">
        <v>1033</v>
      </c>
      <c r="I204" t="s">
        <v>1028</v>
      </c>
      <c r="J204">
        <v>-27</v>
      </c>
      <c r="K204">
        <v>203</v>
      </c>
      <c r="L204" t="str">
        <f t="shared" si="6"/>
        <v>Aaron Rodgers</v>
      </c>
      <c r="M204" s="69">
        <f>IFERROR(VLOOKUP(E204,RISK!A:B,2,FALSE()),"")</f>
        <v>3.2</v>
      </c>
      <c r="N204" s="43">
        <f t="shared" si="7"/>
        <v>186.80167058823534</v>
      </c>
      <c r="Q204" s="20" t="s">
        <v>212</v>
      </c>
      <c r="R204" s="43">
        <f>Aggregate!BQ58</f>
        <v>100.4031422189129</v>
      </c>
    </row>
    <row r="205" spans="1:18" ht="14.25" customHeight="1" x14ac:dyDescent="0.3">
      <c r="A205">
        <v>204</v>
      </c>
      <c r="B205">
        <v>8</v>
      </c>
      <c r="C205" t="s">
        <v>682</v>
      </c>
      <c r="D205" t="s">
        <v>479</v>
      </c>
      <c r="E205" t="s">
        <v>295</v>
      </c>
      <c r="F205">
        <v>7</v>
      </c>
      <c r="G205" t="s">
        <v>1034</v>
      </c>
      <c r="H205" t="s">
        <v>1033</v>
      </c>
      <c r="I205" t="s">
        <v>1029</v>
      </c>
      <c r="J205">
        <v>42</v>
      </c>
      <c r="K205">
        <v>204</v>
      </c>
      <c r="L205" t="str">
        <f t="shared" si="6"/>
        <v>Kaytron Allen</v>
      </c>
      <c r="M205" s="69">
        <f>IFERROR(VLOOKUP(E205,RISK!A:B,2,FALSE()),"")</f>
        <v>4</v>
      </c>
      <c r="N205" s="43">
        <f t="shared" si="7"/>
        <v>60.551155294117649</v>
      </c>
      <c r="Q205" s="20" t="s">
        <v>216</v>
      </c>
      <c r="R205" s="43">
        <f>Aggregate!BQ59</f>
        <v>99.761020104244238</v>
      </c>
    </row>
    <row r="206" spans="1:18" ht="14.25" customHeight="1" x14ac:dyDescent="0.3">
      <c r="A206">
        <v>205</v>
      </c>
      <c r="B206">
        <v>8</v>
      </c>
      <c r="C206" t="s">
        <v>1049</v>
      </c>
      <c r="D206" t="s">
        <v>477</v>
      </c>
      <c r="E206" t="s">
        <v>1048</v>
      </c>
      <c r="F206">
        <v>11</v>
      </c>
      <c r="G206" t="s">
        <v>1035</v>
      </c>
      <c r="H206" t="s">
        <v>1035</v>
      </c>
      <c r="I206" t="s">
        <v>1032</v>
      </c>
      <c r="J206">
        <v>-41</v>
      </c>
      <c r="K206">
        <v>205</v>
      </c>
      <c r="L206" t="str">
        <f t="shared" si="6"/>
        <v>New England Patriots</v>
      </c>
      <c r="M206" s="69" t="str">
        <f>IFERROR(VLOOKUP(E206,RISK!A:B,2,FALSE()),"")</f>
        <v/>
      </c>
      <c r="N206" s="43" t="e">
        <f t="shared" si="7"/>
        <v>#N/A</v>
      </c>
      <c r="Q206" s="20" t="s">
        <v>231</v>
      </c>
      <c r="R206" s="43">
        <f>Aggregate!BQ60</f>
        <v>98.352993298585261</v>
      </c>
    </row>
    <row r="207" spans="1:18" ht="14.25" customHeight="1" x14ac:dyDescent="0.3">
      <c r="A207">
        <v>206</v>
      </c>
      <c r="B207">
        <v>8</v>
      </c>
      <c r="C207" t="s">
        <v>1057</v>
      </c>
      <c r="D207" t="s">
        <v>509</v>
      </c>
      <c r="E207" t="s">
        <v>1050</v>
      </c>
      <c r="F207">
        <v>6</v>
      </c>
      <c r="G207" t="s">
        <v>1035</v>
      </c>
      <c r="H207" t="s">
        <v>1035</v>
      </c>
      <c r="I207" t="s">
        <v>1031</v>
      </c>
      <c r="J207">
        <v>-21</v>
      </c>
      <c r="K207">
        <v>206</v>
      </c>
      <c r="L207" t="str">
        <f t="shared" si="6"/>
        <v>Minnesota Vikings</v>
      </c>
      <c r="M207" s="69" t="str">
        <f>IFERROR(VLOOKUP(E207,RISK!A:B,2,FALSE()),"")</f>
        <v/>
      </c>
      <c r="N207" s="43" t="e">
        <f t="shared" si="7"/>
        <v>#N/A</v>
      </c>
      <c r="Q207" s="20" t="s">
        <v>269</v>
      </c>
      <c r="R207" s="43">
        <f>Aggregate!BQ61</f>
        <v>97.664452717795982</v>
      </c>
    </row>
    <row r="208" spans="1:18" ht="14.25" customHeight="1" x14ac:dyDescent="0.3">
      <c r="A208">
        <v>207</v>
      </c>
      <c r="B208">
        <v>8</v>
      </c>
      <c r="C208" t="s">
        <v>1051</v>
      </c>
      <c r="D208" t="s">
        <v>529</v>
      </c>
      <c r="E208" t="s">
        <v>1052</v>
      </c>
      <c r="F208">
        <v>9</v>
      </c>
      <c r="G208" t="s">
        <v>1035</v>
      </c>
      <c r="H208" t="s">
        <v>1035</v>
      </c>
      <c r="I208" t="s">
        <v>1027</v>
      </c>
      <c r="J208">
        <v>-16</v>
      </c>
      <c r="K208">
        <v>207</v>
      </c>
      <c r="L208" t="str">
        <f t="shared" si="6"/>
        <v>Pittsburgh Steelers</v>
      </c>
      <c r="M208" s="69" t="str">
        <f>IFERROR(VLOOKUP(E208,RISK!A:B,2,FALSE()),"")</f>
        <v/>
      </c>
      <c r="N208" s="43" t="e">
        <f t="shared" si="7"/>
        <v>#N/A</v>
      </c>
      <c r="Q208" s="20" t="s">
        <v>244</v>
      </c>
      <c r="R208" s="43">
        <f>Aggregate!BQ62</f>
        <v>96.449836187639619</v>
      </c>
    </row>
    <row r="209" spans="1:18" ht="14.25" customHeight="1" x14ac:dyDescent="0.3">
      <c r="A209">
        <v>208</v>
      </c>
      <c r="B209">
        <v>8</v>
      </c>
      <c r="C209" t="s">
        <v>826</v>
      </c>
      <c r="D209" t="s">
        <v>485</v>
      </c>
      <c r="E209" t="s">
        <v>288</v>
      </c>
      <c r="F209">
        <v>8</v>
      </c>
      <c r="G209" t="s">
        <v>1033</v>
      </c>
      <c r="H209" t="s">
        <v>1033</v>
      </c>
      <c r="I209" t="s">
        <v>1029</v>
      </c>
      <c r="J209">
        <v>10</v>
      </c>
      <c r="K209">
        <v>208</v>
      </c>
      <c r="L209" t="str">
        <f t="shared" si="6"/>
        <v>Malachi Fields</v>
      </c>
      <c r="M209" s="69">
        <f>IFERROR(VLOOKUP(E209,RISK!A:B,2,FALSE()),"")</f>
        <v>3.848101265822784</v>
      </c>
      <c r="N209" s="43">
        <f t="shared" si="7"/>
        <v>73.217393894266564</v>
      </c>
      <c r="Q209" s="20" t="s">
        <v>254</v>
      </c>
      <c r="R209" s="43">
        <f>Aggregate!BQ63</f>
        <v>94.132935815338797</v>
      </c>
    </row>
    <row r="210" spans="1:18" ht="14.25" customHeight="1" x14ac:dyDescent="0.3">
      <c r="A210">
        <v>209</v>
      </c>
      <c r="B210">
        <v>8</v>
      </c>
      <c r="C210" t="s">
        <v>1047</v>
      </c>
      <c r="D210" t="s">
        <v>489</v>
      </c>
      <c r="E210" t="s">
        <v>1056</v>
      </c>
      <c r="F210">
        <v>7</v>
      </c>
      <c r="G210" t="s">
        <v>1035</v>
      </c>
      <c r="H210" t="s">
        <v>1035</v>
      </c>
      <c r="I210" t="s">
        <v>1032</v>
      </c>
      <c r="J210">
        <v>-23</v>
      </c>
      <c r="K210">
        <v>209</v>
      </c>
      <c r="L210" t="str">
        <f t="shared" si="6"/>
        <v>Jacksonville Jaguars</v>
      </c>
      <c r="M210" s="69" t="str">
        <f>IFERROR(VLOOKUP(E210,RISK!A:B,2,FALSE()),"")</f>
        <v/>
      </c>
      <c r="N210" s="43" t="e">
        <f t="shared" si="7"/>
        <v>#N/A</v>
      </c>
      <c r="Q210" s="20" t="s">
        <v>253</v>
      </c>
      <c r="R210" s="43">
        <f>Aggregate!BQ64</f>
        <v>93.453369471332863</v>
      </c>
    </row>
    <row r="211" spans="1:18" ht="14.25" customHeight="1" x14ac:dyDescent="0.3">
      <c r="A211">
        <v>210</v>
      </c>
      <c r="B211">
        <v>8</v>
      </c>
      <c r="C211" t="s">
        <v>804</v>
      </c>
      <c r="D211" t="s">
        <v>503</v>
      </c>
      <c r="E211" t="s">
        <v>272</v>
      </c>
      <c r="F211">
        <v>6</v>
      </c>
      <c r="G211" t="s">
        <v>1034</v>
      </c>
      <c r="H211" t="s">
        <v>1033</v>
      </c>
      <c r="I211" t="s">
        <v>1029</v>
      </c>
      <c r="J211">
        <v>0</v>
      </c>
      <c r="K211">
        <v>210</v>
      </c>
      <c r="L211" t="str">
        <f t="shared" si="6"/>
        <v>Isaac TeSlaa</v>
      </c>
      <c r="M211" s="69">
        <f>IFERROR(VLOOKUP(E211,RISK!A:B,2,FALSE()),"")</f>
        <v>3.848101265822784</v>
      </c>
      <c r="N211" s="43">
        <f t="shared" si="7"/>
        <v>68.088153387937467</v>
      </c>
      <c r="Q211" s="20" t="s">
        <v>245</v>
      </c>
      <c r="R211" s="43">
        <f>Aggregate!BQ65</f>
        <v>93.130296947133289</v>
      </c>
    </row>
    <row r="212" spans="1:18" ht="14.25" customHeight="1" x14ac:dyDescent="0.3">
      <c r="A212">
        <v>211</v>
      </c>
      <c r="B212">
        <v>8</v>
      </c>
      <c r="C212" t="s">
        <v>640</v>
      </c>
      <c r="D212" t="s">
        <v>487</v>
      </c>
      <c r="E212" t="s">
        <v>300</v>
      </c>
      <c r="F212">
        <v>8</v>
      </c>
      <c r="G212" t="s">
        <v>1033</v>
      </c>
      <c r="H212" t="s">
        <v>1033</v>
      </c>
      <c r="I212" t="s">
        <v>1028</v>
      </c>
      <c r="J212">
        <v>-51</v>
      </c>
      <c r="K212">
        <v>211</v>
      </c>
      <c r="L212" t="str">
        <f t="shared" si="6"/>
        <v>Kaelon Black</v>
      </c>
      <c r="M212" s="69">
        <f>IFERROR(VLOOKUP(E212,RISK!A:B,2,FALSE()),"")</f>
        <v>4</v>
      </c>
      <c r="N212" s="43">
        <f t="shared" si="7"/>
        <v>59.69509505882354</v>
      </c>
      <c r="Q212" s="20" t="s">
        <v>263</v>
      </c>
      <c r="R212" s="43">
        <f>Aggregate!BQ66</f>
        <v>92.071955919583019</v>
      </c>
    </row>
    <row r="213" spans="1:18" ht="14.25" customHeight="1" x14ac:dyDescent="0.3">
      <c r="A213">
        <v>212</v>
      </c>
      <c r="B213">
        <v>8</v>
      </c>
      <c r="C213" t="s">
        <v>1055</v>
      </c>
      <c r="D213" t="s">
        <v>497</v>
      </c>
      <c r="E213" t="s">
        <v>1058</v>
      </c>
      <c r="F213">
        <v>7</v>
      </c>
      <c r="G213" t="s">
        <v>1035</v>
      </c>
      <c r="H213" t="s">
        <v>1035</v>
      </c>
      <c r="I213" t="s">
        <v>1032</v>
      </c>
      <c r="J213">
        <v>-17</v>
      </c>
      <c r="K213">
        <v>212</v>
      </c>
      <c r="L213" t="str">
        <f t="shared" si="6"/>
        <v>Los Angeles Chargers</v>
      </c>
      <c r="M213" s="69" t="str">
        <f>IFERROR(VLOOKUP(E213,RISK!A:B,2,FALSE()),"")</f>
        <v/>
      </c>
      <c r="N213" s="43" t="e">
        <f t="shared" si="7"/>
        <v>#N/A</v>
      </c>
      <c r="Q213" s="20" t="s">
        <v>275</v>
      </c>
      <c r="R213" s="43">
        <f>Aggregate!BQ67</f>
        <v>91.253134177215188</v>
      </c>
    </row>
    <row r="214" spans="1:18" ht="14.25" customHeight="1" x14ac:dyDescent="0.3">
      <c r="A214">
        <v>213</v>
      </c>
      <c r="B214">
        <v>8</v>
      </c>
      <c r="C214" t="s">
        <v>781</v>
      </c>
      <c r="D214" t="s">
        <v>517</v>
      </c>
      <c r="E214" t="s">
        <v>255</v>
      </c>
      <c r="F214">
        <v>11</v>
      </c>
      <c r="G214" t="s">
        <v>1030</v>
      </c>
      <c r="H214" t="s">
        <v>1033</v>
      </c>
      <c r="I214" t="s">
        <v>1032</v>
      </c>
      <c r="J214">
        <v>-16</v>
      </c>
      <c r="K214">
        <v>213</v>
      </c>
      <c r="L214" t="str">
        <f t="shared" si="6"/>
        <v>Cooper Kupp</v>
      </c>
      <c r="M214" s="69">
        <f>IFERROR(VLOOKUP(E214,RISK!A:B,2,FALSE()),"")</f>
        <v>3.848101265822784</v>
      </c>
      <c r="N214" s="43">
        <f t="shared" si="7"/>
        <v>64.746023827252429</v>
      </c>
      <c r="Q214" s="20" t="s">
        <v>289</v>
      </c>
      <c r="R214" s="43">
        <f>Aggregate!BQ68</f>
        <v>91.035895755770667</v>
      </c>
    </row>
    <row r="215" spans="1:18" ht="14.25" customHeight="1" x14ac:dyDescent="0.3">
      <c r="A215">
        <v>214</v>
      </c>
      <c r="B215">
        <v>8</v>
      </c>
      <c r="C215" t="s">
        <v>661</v>
      </c>
      <c r="D215" t="s">
        <v>517</v>
      </c>
      <c r="E215" t="s">
        <v>304</v>
      </c>
      <c r="F215">
        <v>11</v>
      </c>
      <c r="G215" t="s">
        <v>1034</v>
      </c>
      <c r="H215" t="s">
        <v>1033</v>
      </c>
      <c r="I215" t="s">
        <v>1029</v>
      </c>
      <c r="J215">
        <v>47</v>
      </c>
      <c r="K215">
        <v>214</v>
      </c>
      <c r="L215" t="str">
        <f t="shared" si="6"/>
        <v>George Holani</v>
      </c>
      <c r="M215" s="69">
        <f>IFERROR(VLOOKUP(E215,RISK!A:B,2,FALSE()),"")</f>
        <v>4</v>
      </c>
      <c r="N215" s="43">
        <f t="shared" si="7"/>
        <v>57.75823529411764</v>
      </c>
      <c r="Q215" s="20" t="s">
        <v>259</v>
      </c>
      <c r="R215" s="43">
        <f>Aggregate!BQ69</f>
        <v>90.941511541325383</v>
      </c>
    </row>
    <row r="216" spans="1:18" ht="14.25" customHeight="1" x14ac:dyDescent="0.3">
      <c r="A216">
        <v>215</v>
      </c>
      <c r="B216">
        <v>8</v>
      </c>
      <c r="C216" t="s">
        <v>1063</v>
      </c>
      <c r="D216" t="s">
        <v>475</v>
      </c>
      <c r="E216" t="s">
        <v>1064</v>
      </c>
      <c r="F216">
        <v>13</v>
      </c>
      <c r="G216" t="s">
        <v>1035</v>
      </c>
      <c r="H216" t="s">
        <v>1035</v>
      </c>
      <c r="I216" t="s">
        <v>1027</v>
      </c>
      <c r="J216">
        <v>-27</v>
      </c>
      <c r="K216">
        <v>215</v>
      </c>
      <c r="L216" t="str">
        <f t="shared" si="6"/>
        <v>Baltimore Ravens</v>
      </c>
      <c r="M216" s="69" t="str">
        <f>IFERROR(VLOOKUP(E216,RISK!A:B,2,FALSE()),"")</f>
        <v/>
      </c>
      <c r="N216" s="43" t="e">
        <f t="shared" si="7"/>
        <v>#N/A</v>
      </c>
      <c r="Q216" s="20" t="s">
        <v>291</v>
      </c>
      <c r="R216" s="43">
        <f>Aggregate!BQ70</f>
        <v>88.829471332836931</v>
      </c>
    </row>
    <row r="217" spans="1:18" ht="14.25" customHeight="1" x14ac:dyDescent="0.3">
      <c r="A217">
        <v>216</v>
      </c>
      <c r="B217">
        <v>8</v>
      </c>
      <c r="C217" t="s">
        <v>522</v>
      </c>
      <c r="D217" t="s">
        <v>523</v>
      </c>
      <c r="E217" t="s">
        <v>391</v>
      </c>
      <c r="F217">
        <v>13</v>
      </c>
      <c r="G217" t="s">
        <v>1030</v>
      </c>
      <c r="H217" t="s">
        <v>1033</v>
      </c>
      <c r="I217" t="s">
        <v>1029</v>
      </c>
      <c r="J217">
        <v>19</v>
      </c>
      <c r="K217">
        <v>216</v>
      </c>
      <c r="L217" t="str">
        <f t="shared" si="6"/>
        <v>Geno Smith</v>
      </c>
      <c r="M217" s="69">
        <f>IFERROR(VLOOKUP(E217,RISK!A:B,2,FALSE()),"")</f>
        <v>3.2</v>
      </c>
      <c r="N217" s="43">
        <f t="shared" si="7"/>
        <v>182.14863529411764</v>
      </c>
      <c r="Q217" s="20" t="s">
        <v>310</v>
      </c>
      <c r="R217" s="43">
        <f>Aggregate!BQ71</f>
        <v>88.017148175725993</v>
      </c>
    </row>
    <row r="218" spans="1:18" ht="14.25" customHeight="1" x14ac:dyDescent="0.3">
      <c r="A218">
        <v>217</v>
      </c>
      <c r="B218">
        <v>8</v>
      </c>
      <c r="C218" t="s">
        <v>648</v>
      </c>
      <c r="D218" t="s">
        <v>485</v>
      </c>
      <c r="E218" t="s">
        <v>307</v>
      </c>
      <c r="F218">
        <v>8</v>
      </c>
      <c r="G218" t="s">
        <v>1030</v>
      </c>
      <c r="H218" t="s">
        <v>1033</v>
      </c>
      <c r="I218" t="s">
        <v>1029</v>
      </c>
      <c r="J218">
        <v>45</v>
      </c>
      <c r="K218">
        <v>217</v>
      </c>
      <c r="L218" t="str">
        <f t="shared" si="6"/>
        <v>Najee Harris</v>
      </c>
      <c r="M218" s="69">
        <f>IFERROR(VLOOKUP(E218,RISK!A:B,2,FALSE()),"")</f>
        <v>4</v>
      </c>
      <c r="N218" s="43">
        <f t="shared" si="7"/>
        <v>54.921176470588243</v>
      </c>
      <c r="Q218" s="20" t="s">
        <v>280</v>
      </c>
      <c r="R218" s="43">
        <f>Aggregate!BQ72</f>
        <v>87.18161578555474</v>
      </c>
    </row>
    <row r="219" spans="1:18" ht="14.25" customHeight="1" x14ac:dyDescent="0.3">
      <c r="A219">
        <v>218</v>
      </c>
      <c r="B219">
        <v>8</v>
      </c>
      <c r="C219" t="s">
        <v>654</v>
      </c>
      <c r="D219" t="s">
        <v>513</v>
      </c>
      <c r="E219" t="s">
        <v>320</v>
      </c>
      <c r="F219">
        <v>6</v>
      </c>
      <c r="G219" t="s">
        <v>1035</v>
      </c>
      <c r="H219" t="s">
        <v>1035</v>
      </c>
      <c r="I219" t="s">
        <v>1032</v>
      </c>
      <c r="J219">
        <v>24</v>
      </c>
      <c r="K219">
        <v>218</v>
      </c>
      <c r="L219" t="str">
        <f t="shared" si="6"/>
        <v>Jaylen Wright</v>
      </c>
      <c r="M219" s="69">
        <f>IFERROR(VLOOKUP(E219,RISK!A:B,2,FALSE()),"")</f>
        <v>4</v>
      </c>
      <c r="N219" s="43">
        <f t="shared" si="7"/>
        <v>53.957647058823525</v>
      </c>
      <c r="Q219" s="20" t="s">
        <v>258</v>
      </c>
      <c r="R219" s="43">
        <f>Aggregate!BQ73</f>
        <v>85.247513030528665</v>
      </c>
    </row>
    <row r="220" spans="1:18" ht="14.25" customHeight="1" x14ac:dyDescent="0.3">
      <c r="A220">
        <v>219</v>
      </c>
      <c r="B220">
        <v>8</v>
      </c>
      <c r="C220" t="s">
        <v>1053</v>
      </c>
      <c r="D220" t="s">
        <v>491</v>
      </c>
      <c r="E220" t="s">
        <v>1054</v>
      </c>
      <c r="F220">
        <v>14</v>
      </c>
      <c r="G220" t="s">
        <v>1025</v>
      </c>
      <c r="H220" t="s">
        <v>1026</v>
      </c>
      <c r="I220" t="s">
        <v>1028</v>
      </c>
      <c r="J220">
        <v>-103</v>
      </c>
      <c r="K220">
        <v>219</v>
      </c>
      <c r="L220" t="str">
        <f t="shared" si="6"/>
        <v>Brandon Aubrey</v>
      </c>
      <c r="M220" s="69" t="str">
        <f>IFERROR(VLOOKUP(E220,RISK!A:B,2,FALSE()),"")</f>
        <v/>
      </c>
      <c r="N220" s="43" t="e">
        <f t="shared" si="7"/>
        <v>#N/A</v>
      </c>
      <c r="Q220" s="20" t="s">
        <v>278</v>
      </c>
      <c r="R220" s="43">
        <f>Aggregate!BQ74</f>
        <v>85.154676098287439</v>
      </c>
    </row>
    <row r="221" spans="1:18" ht="14.25" customHeight="1" x14ac:dyDescent="0.3">
      <c r="A221">
        <v>220</v>
      </c>
      <c r="B221">
        <v>8</v>
      </c>
      <c r="C221" t="s">
        <v>1067</v>
      </c>
      <c r="D221" t="s">
        <v>493</v>
      </c>
      <c r="E221" t="s">
        <v>1068</v>
      </c>
      <c r="F221">
        <v>5</v>
      </c>
      <c r="G221" t="s">
        <v>1035</v>
      </c>
      <c r="H221" t="s">
        <v>1035</v>
      </c>
      <c r="I221" t="s">
        <v>1032</v>
      </c>
      <c r="J221">
        <v>1</v>
      </c>
      <c r="K221">
        <v>220</v>
      </c>
      <c r="L221" t="str">
        <f t="shared" si="6"/>
        <v>Kansas City Chiefs</v>
      </c>
      <c r="M221" s="69" t="str">
        <f>IFERROR(VLOOKUP(E221,RISK!A:B,2,FALSE()),"")</f>
        <v/>
      </c>
      <c r="N221" s="43" t="e">
        <f t="shared" si="7"/>
        <v>#N/A</v>
      </c>
      <c r="Q221" s="20" t="s">
        <v>276</v>
      </c>
      <c r="R221" s="43">
        <f>Aggregate!BQ75</f>
        <v>83.042635889798973</v>
      </c>
    </row>
    <row r="222" spans="1:18" ht="14.25" customHeight="1" x14ac:dyDescent="0.3">
      <c r="A222">
        <v>221</v>
      </c>
      <c r="B222">
        <v>8</v>
      </c>
      <c r="C222" t="s">
        <v>1061</v>
      </c>
      <c r="D222" t="s">
        <v>497</v>
      </c>
      <c r="E222" t="s">
        <v>1060</v>
      </c>
      <c r="F222">
        <v>7</v>
      </c>
      <c r="G222" t="s">
        <v>1025</v>
      </c>
      <c r="H222" t="s">
        <v>1026</v>
      </c>
      <c r="I222" t="s">
        <v>1028</v>
      </c>
      <c r="J222">
        <v>-88</v>
      </c>
      <c r="K222">
        <v>221</v>
      </c>
      <c r="L222" t="str">
        <f t="shared" si="6"/>
        <v>Cameron Dicker</v>
      </c>
      <c r="M222" s="69" t="str">
        <f>IFERROR(VLOOKUP(E222,RISK!A:B,2,FALSE()),"")</f>
        <v/>
      </c>
      <c r="N222" s="43" t="e">
        <f t="shared" si="7"/>
        <v>#N/A</v>
      </c>
      <c r="Q222" s="20" t="s">
        <v>248</v>
      </c>
      <c r="R222" s="43">
        <f>Aggregate!BQ76</f>
        <v>82.307367386448263</v>
      </c>
    </row>
    <row r="223" spans="1:18" ht="14.25" customHeight="1" x14ac:dyDescent="0.3">
      <c r="A223">
        <v>222</v>
      </c>
      <c r="B223">
        <v>8</v>
      </c>
      <c r="C223" t="s">
        <v>821</v>
      </c>
      <c r="D223" t="s">
        <v>485</v>
      </c>
      <c r="E223" t="s">
        <v>270</v>
      </c>
      <c r="F223">
        <v>8</v>
      </c>
      <c r="G223" t="s">
        <v>1034</v>
      </c>
      <c r="H223" t="s">
        <v>1033</v>
      </c>
      <c r="I223" t="s">
        <v>1029</v>
      </c>
      <c r="J223">
        <v>77</v>
      </c>
      <c r="K223">
        <v>222</v>
      </c>
      <c r="L223" t="str">
        <f t="shared" si="6"/>
        <v>Darnell Mooney</v>
      </c>
      <c r="M223" s="69">
        <f>IFERROR(VLOOKUP(E223,RISK!A:B,2,FALSE()),"")</f>
        <v>3.848101265822784</v>
      </c>
      <c r="N223" s="43">
        <f t="shared" si="7"/>
        <v>64.452040208488455</v>
      </c>
      <c r="Q223" s="20" t="s">
        <v>246</v>
      </c>
      <c r="R223" s="43">
        <f>Aggregate!BQ77</f>
        <v>81.294206999255394</v>
      </c>
    </row>
    <row r="224" spans="1:18" ht="14.25" customHeight="1" x14ac:dyDescent="0.3">
      <c r="A224">
        <v>223</v>
      </c>
      <c r="B224">
        <v>8</v>
      </c>
      <c r="C224" t="s">
        <v>631</v>
      </c>
      <c r="D224" t="s">
        <v>475</v>
      </c>
      <c r="E224" t="s">
        <v>327</v>
      </c>
      <c r="F224">
        <v>13</v>
      </c>
      <c r="G224" t="s">
        <v>1035</v>
      </c>
      <c r="H224" t="s">
        <v>1035</v>
      </c>
      <c r="I224" t="s">
        <v>1032</v>
      </c>
      <c r="J224">
        <v>0</v>
      </c>
      <c r="K224">
        <v>223</v>
      </c>
      <c r="L224" t="str">
        <f t="shared" si="6"/>
        <v>Justice Hill</v>
      </c>
      <c r="M224" s="69">
        <f>IFERROR(VLOOKUP(E224,RISK!A:B,2,FALSE()),"")</f>
        <v>4</v>
      </c>
      <c r="N224" s="43">
        <f t="shared" si="7"/>
        <v>52.72647058823528</v>
      </c>
      <c r="Q224" s="20" t="s">
        <v>283</v>
      </c>
      <c r="R224" s="43">
        <f>Aggregate!BQ78</f>
        <v>80.212966195085642</v>
      </c>
    </row>
    <row r="225" spans="1:18" ht="14.25" customHeight="1" x14ac:dyDescent="0.3">
      <c r="A225">
        <v>224</v>
      </c>
      <c r="B225">
        <v>8</v>
      </c>
      <c r="C225" t="s">
        <v>650</v>
      </c>
      <c r="D225" t="s">
        <v>527</v>
      </c>
      <c r="E225" t="s">
        <v>252</v>
      </c>
      <c r="F225">
        <v>14</v>
      </c>
      <c r="G225" t="s">
        <v>1034</v>
      </c>
      <c r="H225" t="s">
        <v>1033</v>
      </c>
      <c r="I225" t="s">
        <v>1028</v>
      </c>
      <c r="J225">
        <v>-15</v>
      </c>
      <c r="K225">
        <v>224</v>
      </c>
      <c r="L225" t="str">
        <f t="shared" si="6"/>
        <v>James Conner</v>
      </c>
      <c r="M225" s="69">
        <f>IFERROR(VLOOKUP(E225,RISK!A:B,2,FALSE()),"")</f>
        <v>4</v>
      </c>
      <c r="N225" s="43">
        <f t="shared" si="7"/>
        <v>52.558235294117651</v>
      </c>
      <c r="Q225" s="20" t="s">
        <v>297</v>
      </c>
      <c r="R225" s="43">
        <f>Aggregate!BQ79</f>
        <v>79.213112434847361</v>
      </c>
    </row>
    <row r="226" spans="1:18" ht="14.25" customHeight="1" x14ac:dyDescent="0.3">
      <c r="A226">
        <v>225</v>
      </c>
      <c r="B226">
        <v>8</v>
      </c>
      <c r="C226" t="s">
        <v>1059</v>
      </c>
      <c r="D226" t="s">
        <v>519</v>
      </c>
      <c r="E226" t="s">
        <v>1062</v>
      </c>
      <c r="F226">
        <v>8</v>
      </c>
      <c r="G226" t="s">
        <v>1025</v>
      </c>
      <c r="H226" t="s">
        <v>1026</v>
      </c>
      <c r="I226" t="s">
        <v>1028</v>
      </c>
      <c r="J226">
        <v>-93</v>
      </c>
      <c r="K226">
        <v>225</v>
      </c>
      <c r="L226" t="str">
        <f t="shared" si="6"/>
        <v>Ka'imi Fairbairn</v>
      </c>
      <c r="M226" s="69" t="str">
        <f>IFERROR(VLOOKUP(E226,RISK!A:B,2,FALSE()),"")</f>
        <v/>
      </c>
      <c r="N226" s="43" t="e">
        <f t="shared" si="7"/>
        <v>#N/A</v>
      </c>
      <c r="Q226" s="20" t="s">
        <v>261</v>
      </c>
      <c r="R226" s="43">
        <f>Aggregate!BQ80</f>
        <v>78.238324646314226</v>
      </c>
    </row>
    <row r="227" spans="1:18" ht="14.25" customHeight="1" x14ac:dyDescent="0.3">
      <c r="A227">
        <v>226</v>
      </c>
      <c r="B227">
        <v>8</v>
      </c>
      <c r="C227" t="s">
        <v>653</v>
      </c>
      <c r="D227" t="s">
        <v>517</v>
      </c>
      <c r="E227" t="s">
        <v>279</v>
      </c>
      <c r="F227">
        <v>11</v>
      </c>
      <c r="G227" t="s">
        <v>1034</v>
      </c>
      <c r="H227" t="s">
        <v>1033</v>
      </c>
      <c r="I227" t="s">
        <v>1029</v>
      </c>
      <c r="J227">
        <v>44</v>
      </c>
      <c r="K227">
        <v>226</v>
      </c>
      <c r="L227" t="str">
        <f t="shared" si="6"/>
        <v>Emanuel Wilson</v>
      </c>
      <c r="M227" s="69">
        <f>IFERROR(VLOOKUP(E227,RISK!A:B,2,FALSE()),"")</f>
        <v>4</v>
      </c>
      <c r="N227" s="43">
        <f t="shared" si="7"/>
        <v>48.658235294117652</v>
      </c>
      <c r="Q227" s="20" t="s">
        <v>317</v>
      </c>
      <c r="R227" s="43">
        <f>Aggregate!BQ81</f>
        <v>75.592472077438572</v>
      </c>
    </row>
    <row r="228" spans="1:18" ht="14.25" customHeight="1" x14ac:dyDescent="0.3">
      <c r="A228">
        <v>227</v>
      </c>
      <c r="B228">
        <v>8</v>
      </c>
      <c r="C228" t="s">
        <v>788</v>
      </c>
      <c r="D228" t="s">
        <v>529</v>
      </c>
      <c r="E228" t="s">
        <v>284</v>
      </c>
      <c r="F228">
        <v>9</v>
      </c>
      <c r="G228" t="s">
        <v>1030</v>
      </c>
      <c r="H228" t="s">
        <v>1033</v>
      </c>
      <c r="I228" t="s">
        <v>1032</v>
      </c>
      <c r="J228">
        <v>47</v>
      </c>
      <c r="K228">
        <v>227</v>
      </c>
      <c r="L228" t="str">
        <f t="shared" si="6"/>
        <v>Germie Bernard</v>
      </c>
      <c r="M228" s="69">
        <f>IFERROR(VLOOKUP(E228,RISK!A:B,2,FALSE()),"")</f>
        <v>3.848101265822784</v>
      </c>
      <c r="N228" s="43">
        <f t="shared" si="7"/>
        <v>61.968652271034991</v>
      </c>
      <c r="Q228" s="20" t="s">
        <v>288</v>
      </c>
      <c r="R228" s="43">
        <f>Aggregate!BQ82</f>
        <v>73.217393894266564</v>
      </c>
    </row>
    <row r="229" spans="1:18" ht="14.25" customHeight="1" x14ac:dyDescent="0.3">
      <c r="A229">
        <v>228</v>
      </c>
      <c r="B229">
        <v>8</v>
      </c>
      <c r="C229" t="s">
        <v>1065</v>
      </c>
      <c r="D229" t="s">
        <v>489</v>
      </c>
      <c r="E229" t="s">
        <v>1066</v>
      </c>
      <c r="F229">
        <v>7</v>
      </c>
      <c r="G229" t="s">
        <v>1035</v>
      </c>
      <c r="H229" t="s">
        <v>1035</v>
      </c>
      <c r="I229" t="s">
        <v>1029</v>
      </c>
      <c r="J229">
        <v>-65</v>
      </c>
      <c r="K229">
        <v>228</v>
      </c>
      <c r="L229" t="str">
        <f t="shared" si="6"/>
        <v>Cam Little</v>
      </c>
      <c r="M229" s="69" t="str">
        <f>IFERROR(VLOOKUP(E229,RISK!A:B,2,FALSE()),"")</f>
        <v/>
      </c>
      <c r="N229" s="43" t="e">
        <f t="shared" si="7"/>
        <v>#N/A</v>
      </c>
      <c r="Q229" s="20" t="s">
        <v>272</v>
      </c>
      <c r="R229" s="43">
        <f>Aggregate!BQ83</f>
        <v>68.088153387937467</v>
      </c>
    </row>
    <row r="230" spans="1:18" ht="14.25" customHeight="1" x14ac:dyDescent="0.3">
      <c r="A230">
        <v>229</v>
      </c>
      <c r="B230">
        <v>8</v>
      </c>
      <c r="C230" t="s">
        <v>1069</v>
      </c>
      <c r="D230" t="s">
        <v>517</v>
      </c>
      <c r="E230" t="s">
        <v>1070</v>
      </c>
      <c r="F230">
        <v>11</v>
      </c>
      <c r="G230" t="s">
        <v>1033</v>
      </c>
      <c r="H230" t="s">
        <v>1030</v>
      </c>
      <c r="I230" t="s">
        <v>1029</v>
      </c>
      <c r="J230">
        <v>-83</v>
      </c>
      <c r="K230">
        <v>229</v>
      </c>
      <c r="L230" t="str">
        <f t="shared" si="6"/>
        <v>Jason Myers</v>
      </c>
      <c r="M230" s="69" t="str">
        <f>IFERROR(VLOOKUP(E230,RISK!A:B,2,FALSE()),"")</f>
        <v/>
      </c>
      <c r="N230" s="43" t="e">
        <f t="shared" si="7"/>
        <v>#N/A</v>
      </c>
      <c r="Q230" s="20" t="s">
        <v>255</v>
      </c>
      <c r="R230" s="43">
        <f>Aggregate!BQ84</f>
        <v>64.746023827252429</v>
      </c>
    </row>
    <row r="231" spans="1:18" ht="14.25" customHeight="1" x14ac:dyDescent="0.3">
      <c r="A231">
        <v>230</v>
      </c>
      <c r="B231">
        <v>8</v>
      </c>
      <c r="C231" t="s">
        <v>807</v>
      </c>
      <c r="D231" t="s">
        <v>507</v>
      </c>
      <c r="E231" t="s">
        <v>322</v>
      </c>
      <c r="F231">
        <v>10</v>
      </c>
      <c r="G231" t="s">
        <v>1033</v>
      </c>
      <c r="H231" t="s">
        <v>1033</v>
      </c>
      <c r="I231" t="s">
        <v>1029</v>
      </c>
      <c r="J231">
        <v>27</v>
      </c>
      <c r="K231">
        <v>230</v>
      </c>
      <c r="L231" t="str">
        <f t="shared" si="6"/>
        <v>Ted Hurst III</v>
      </c>
      <c r="M231" s="69">
        <f>IFERROR(VLOOKUP(E231,RISK!A:B,2,FALSE()),"")</f>
        <v>3.848101265822784</v>
      </c>
      <c r="N231" s="43">
        <f t="shared" si="7"/>
        <v>61.272375279225614</v>
      </c>
      <c r="Q231" s="20" t="s">
        <v>270</v>
      </c>
      <c r="R231" s="43">
        <f>Aggregate!BQ85</f>
        <v>64.452040208488455</v>
      </c>
    </row>
    <row r="232" spans="1:18" ht="14.25" customHeight="1" x14ac:dyDescent="0.3">
      <c r="A232">
        <v>231</v>
      </c>
      <c r="B232">
        <v>8</v>
      </c>
      <c r="C232" t="s">
        <v>780</v>
      </c>
      <c r="D232" t="s">
        <v>505</v>
      </c>
      <c r="E232" t="s">
        <v>273</v>
      </c>
      <c r="F232">
        <v>8</v>
      </c>
      <c r="G232" t="s">
        <v>1030</v>
      </c>
      <c r="H232" t="s">
        <v>1033</v>
      </c>
      <c r="I232" t="s">
        <v>1032</v>
      </c>
      <c r="J232">
        <v>36</v>
      </c>
      <c r="K232">
        <v>231</v>
      </c>
      <c r="L232" t="str">
        <f t="shared" si="6"/>
        <v>Devaughn Vele</v>
      </c>
      <c r="M232" s="69">
        <f>IFERROR(VLOOKUP(E232,RISK!A:B,2,FALSE()),"")</f>
        <v>3.848101265822784</v>
      </c>
      <c r="N232" s="43">
        <f t="shared" si="7"/>
        <v>60.993864482501863</v>
      </c>
      <c r="Q232" s="20" t="s">
        <v>284</v>
      </c>
      <c r="R232" s="43">
        <f>Aggregate!BQ86</f>
        <v>61.968652271034991</v>
      </c>
    </row>
    <row r="233" spans="1:18" ht="14.25" customHeight="1" x14ac:dyDescent="0.3">
      <c r="A233">
        <v>232</v>
      </c>
      <c r="B233">
        <v>8</v>
      </c>
      <c r="C233" t="s">
        <v>1073</v>
      </c>
      <c r="D233" t="s">
        <v>515</v>
      </c>
      <c r="E233" t="s">
        <v>1074</v>
      </c>
      <c r="F233">
        <v>11</v>
      </c>
      <c r="G233" t="s">
        <v>1035</v>
      </c>
      <c r="H233" t="s">
        <v>1035</v>
      </c>
      <c r="I233" t="s">
        <v>1028</v>
      </c>
      <c r="J233">
        <v>-18</v>
      </c>
      <c r="K233">
        <v>232</v>
      </c>
      <c r="L233" t="str">
        <f t="shared" si="6"/>
        <v>Green Bay Packers</v>
      </c>
      <c r="M233" s="69" t="str">
        <f>IFERROR(VLOOKUP(E233,RISK!A:B,2,FALSE()),"")</f>
        <v/>
      </c>
      <c r="N233" s="43" t="e">
        <f t="shared" si="7"/>
        <v>#N/A</v>
      </c>
      <c r="Q233" s="20" t="s">
        <v>322</v>
      </c>
      <c r="R233" s="43">
        <f>Aggregate!BQ87</f>
        <v>61.272375279225614</v>
      </c>
    </row>
    <row r="234" spans="1:18" ht="14.25" customHeight="1" x14ac:dyDescent="0.3">
      <c r="A234">
        <v>233</v>
      </c>
      <c r="B234">
        <v>8</v>
      </c>
      <c r="C234" t="s">
        <v>795</v>
      </c>
      <c r="D234" t="s">
        <v>499</v>
      </c>
      <c r="E234" t="s">
        <v>260</v>
      </c>
      <c r="F234">
        <v>10</v>
      </c>
      <c r="G234" t="s">
        <v>1026</v>
      </c>
      <c r="H234" t="s">
        <v>1025</v>
      </c>
      <c r="I234" t="s">
        <v>1028</v>
      </c>
      <c r="J234">
        <v>78</v>
      </c>
      <c r="K234">
        <v>233</v>
      </c>
      <c r="L234" t="str">
        <f t="shared" si="6"/>
        <v>Troy Franklin</v>
      </c>
      <c r="M234" s="69">
        <f>IFERROR(VLOOKUP(E234,RISK!A:B,2,FALSE()),"")</f>
        <v>3.848101265822784</v>
      </c>
      <c r="N234" s="43">
        <f t="shared" si="7"/>
        <v>60.962918838421444</v>
      </c>
      <c r="Q234" s="20" t="s">
        <v>273</v>
      </c>
      <c r="R234" s="43">
        <f>Aggregate!BQ88</f>
        <v>60.993864482501863</v>
      </c>
    </row>
    <row r="235" spans="1:18" ht="14.25" customHeight="1" x14ac:dyDescent="0.3">
      <c r="A235">
        <v>234</v>
      </c>
      <c r="B235">
        <v>8</v>
      </c>
      <c r="C235" t="s">
        <v>638</v>
      </c>
      <c r="D235" t="s">
        <v>483</v>
      </c>
      <c r="E235" t="s">
        <v>324</v>
      </c>
      <c r="F235">
        <v>6</v>
      </c>
      <c r="G235" t="s">
        <v>1030</v>
      </c>
      <c r="H235" t="s">
        <v>1025</v>
      </c>
      <c r="I235" t="s">
        <v>1028</v>
      </c>
      <c r="J235">
        <v>61</v>
      </c>
      <c r="K235">
        <v>234</v>
      </c>
      <c r="L235" t="str">
        <f t="shared" si="6"/>
        <v>Samaje Perine</v>
      </c>
      <c r="M235" s="69">
        <f>IFERROR(VLOOKUP(E235,RISK!A:B,2,FALSE()),"")</f>
        <v>4</v>
      </c>
      <c r="N235" s="43">
        <f t="shared" si="7"/>
        <v>40.888823529411759</v>
      </c>
      <c r="Q235" s="20" t="s">
        <v>260</v>
      </c>
      <c r="R235" s="43">
        <f>Aggregate!BQ89</f>
        <v>60.962918838421444</v>
      </c>
    </row>
    <row r="236" spans="1:18" ht="14.25" customHeight="1" x14ac:dyDescent="0.3">
      <c r="A236">
        <v>235</v>
      </c>
      <c r="B236">
        <v>8</v>
      </c>
      <c r="C236" t="s">
        <v>929</v>
      </c>
      <c r="D236" t="s">
        <v>499</v>
      </c>
      <c r="E236" t="s">
        <v>257</v>
      </c>
      <c r="F236">
        <v>10</v>
      </c>
      <c r="G236" t="s">
        <v>1035</v>
      </c>
      <c r="H236" t="s">
        <v>1035</v>
      </c>
      <c r="I236" t="s">
        <v>1029</v>
      </c>
      <c r="J236">
        <v>48</v>
      </c>
      <c r="K236">
        <v>235</v>
      </c>
      <c r="L236" t="str">
        <f t="shared" si="6"/>
        <v>Evan Engram</v>
      </c>
      <c r="M236" s="69">
        <f>IFERROR(VLOOKUP(E236,RISK!A:B,2,FALSE()),"")</f>
        <v>3</v>
      </c>
      <c r="N236" s="43">
        <f t="shared" si="7"/>
        <v>69.037647058823524</v>
      </c>
      <c r="Q236" s="20" t="s">
        <v>311</v>
      </c>
      <c r="R236" s="43">
        <f>Aggregate!BQ90</f>
        <v>58.819932985852574</v>
      </c>
    </row>
    <row r="237" spans="1:18" ht="14.25" customHeight="1" x14ac:dyDescent="0.3">
      <c r="A237">
        <v>236</v>
      </c>
      <c r="B237">
        <v>8</v>
      </c>
      <c r="C237" t="s">
        <v>686</v>
      </c>
      <c r="D237" t="s">
        <v>509</v>
      </c>
      <c r="E237" t="s">
        <v>267</v>
      </c>
      <c r="F237">
        <v>6</v>
      </c>
      <c r="G237" t="s">
        <v>1034</v>
      </c>
      <c r="H237" t="s">
        <v>1033</v>
      </c>
      <c r="I237" t="s">
        <v>1029</v>
      </c>
      <c r="J237">
        <v>29</v>
      </c>
      <c r="K237">
        <v>236</v>
      </c>
      <c r="L237" t="str">
        <f t="shared" si="6"/>
        <v>Demond Claiborne</v>
      </c>
      <c r="M237" s="69">
        <f>IFERROR(VLOOKUP(E237,RISK!A:B,2,FALSE()),"")</f>
        <v>4</v>
      </c>
      <c r="N237" s="43">
        <f t="shared" si="7"/>
        <v>40.498823529411759</v>
      </c>
      <c r="Q237" s="20" t="s">
        <v>290</v>
      </c>
      <c r="R237" s="43">
        <f>Aggregate!BQ91</f>
        <v>56.08897989575577</v>
      </c>
    </row>
    <row r="238" spans="1:18" ht="14.25" customHeight="1" x14ac:dyDescent="0.3">
      <c r="A238">
        <v>237</v>
      </c>
      <c r="B238">
        <v>8</v>
      </c>
      <c r="C238" t="s">
        <v>647</v>
      </c>
      <c r="D238" t="s">
        <v>515</v>
      </c>
      <c r="E238" t="s">
        <v>219</v>
      </c>
      <c r="F238">
        <v>11</v>
      </c>
      <c r="G238" t="s">
        <v>1030</v>
      </c>
      <c r="H238" t="s">
        <v>1033</v>
      </c>
      <c r="I238" t="s">
        <v>1029</v>
      </c>
      <c r="J238">
        <v>34</v>
      </c>
      <c r="K238">
        <v>237</v>
      </c>
      <c r="L238" t="str">
        <f t="shared" si="6"/>
        <v>Chris Brooks</v>
      </c>
      <c r="M238" s="69">
        <f>IFERROR(VLOOKUP(E238,RISK!A:B,2,FALSE()),"")</f>
        <v>4</v>
      </c>
      <c r="N238" s="43">
        <f t="shared" si="7"/>
        <v>36.912352941176479</v>
      </c>
      <c r="Q238" s="20" t="s">
        <v>271</v>
      </c>
      <c r="R238" s="43">
        <f>Aggregate!BQ92</f>
        <v>56.05029784065524</v>
      </c>
    </row>
    <row r="239" spans="1:18" ht="14.25" customHeight="1" x14ac:dyDescent="0.3">
      <c r="A239">
        <v>238</v>
      </c>
      <c r="B239">
        <v>8</v>
      </c>
      <c r="C239" t="s">
        <v>1077</v>
      </c>
      <c r="D239" t="s">
        <v>503</v>
      </c>
      <c r="E239" t="s">
        <v>1072</v>
      </c>
      <c r="F239">
        <v>6</v>
      </c>
      <c r="G239" t="s">
        <v>1033</v>
      </c>
      <c r="H239" t="s">
        <v>1030</v>
      </c>
      <c r="I239" t="s">
        <v>1027</v>
      </c>
      <c r="J239">
        <v>-46</v>
      </c>
      <c r="K239">
        <v>238</v>
      </c>
      <c r="L239" t="str">
        <f t="shared" si="6"/>
        <v>Jake Bates</v>
      </c>
      <c r="M239" s="69" t="str">
        <f>IFERROR(VLOOKUP(E239,RISK!A:B,2,FALSE()),"")</f>
        <v/>
      </c>
      <c r="N239" s="43" t="e">
        <f t="shared" si="7"/>
        <v>#N/A</v>
      </c>
      <c r="Q239" s="20" t="s">
        <v>315</v>
      </c>
      <c r="R239" s="43">
        <f>Aggregate!BQ93</f>
        <v>55.965197319434104</v>
      </c>
    </row>
    <row r="240" spans="1:18" ht="14.25" customHeight="1" x14ac:dyDescent="0.3">
      <c r="A240">
        <v>239</v>
      </c>
      <c r="B240">
        <v>8</v>
      </c>
      <c r="C240" t="s">
        <v>530</v>
      </c>
      <c r="D240" t="s">
        <v>531</v>
      </c>
      <c r="E240" t="s">
        <v>392</v>
      </c>
      <c r="F240">
        <v>13</v>
      </c>
      <c r="G240" t="s">
        <v>1033</v>
      </c>
      <c r="H240" t="s">
        <v>1034</v>
      </c>
      <c r="I240" t="s">
        <v>1031</v>
      </c>
      <c r="J240">
        <v>-69</v>
      </c>
      <c r="K240">
        <v>239</v>
      </c>
      <c r="L240" t="str">
        <f t="shared" si="6"/>
        <v>Fernando Mendoza</v>
      </c>
      <c r="M240" s="69">
        <f>IFERROR(VLOOKUP(E240,RISK!A:B,2,FALSE()),"")</f>
        <v>3.2</v>
      </c>
      <c r="N240" s="43">
        <f t="shared" si="7"/>
        <v>155.52112941176475</v>
      </c>
      <c r="Q240" s="20" t="s">
        <v>268</v>
      </c>
      <c r="R240" s="43">
        <f>Aggregate!BQ94</f>
        <v>55.949105584512289</v>
      </c>
    </row>
    <row r="241" spans="1:18" ht="14.25" customHeight="1" x14ac:dyDescent="0.3">
      <c r="A241">
        <v>240</v>
      </c>
      <c r="B241">
        <v>8</v>
      </c>
      <c r="C241" t="s">
        <v>1075</v>
      </c>
      <c r="D241" t="s">
        <v>487</v>
      </c>
      <c r="E241" t="s">
        <v>1076</v>
      </c>
      <c r="F241">
        <v>8</v>
      </c>
      <c r="G241" t="s">
        <v>1033</v>
      </c>
      <c r="H241" t="s">
        <v>1030</v>
      </c>
      <c r="I241" t="s">
        <v>1027</v>
      </c>
      <c r="J241">
        <v>-39</v>
      </c>
      <c r="K241">
        <v>240</v>
      </c>
      <c r="L241" t="str">
        <f t="shared" si="6"/>
        <v>Eddy Pineiro</v>
      </c>
      <c r="M241" s="69" t="str">
        <f>IFERROR(VLOOKUP(E241,RISK!A:B,2,FALSE()),"")</f>
        <v/>
      </c>
      <c r="N241" s="43" t="e">
        <f t="shared" si="7"/>
        <v>#N/A</v>
      </c>
      <c r="Q241" s="20" t="s">
        <v>243</v>
      </c>
      <c r="R241" s="43">
        <f>Aggregate!BQ95</f>
        <v>51.61733432613552</v>
      </c>
    </row>
    <row r="242" spans="1:18" ht="14.25" customHeight="1" x14ac:dyDescent="0.3">
      <c r="A242">
        <v>241</v>
      </c>
      <c r="B242">
        <v>9</v>
      </c>
      <c r="C242" t="s">
        <v>1071</v>
      </c>
      <c r="D242" t="s">
        <v>475</v>
      </c>
      <c r="E242" t="s">
        <v>1078</v>
      </c>
      <c r="F242">
        <v>13</v>
      </c>
      <c r="G242" t="s">
        <v>1035</v>
      </c>
      <c r="H242" t="s">
        <v>1035</v>
      </c>
      <c r="I242" t="s">
        <v>1032</v>
      </c>
      <c r="J242">
        <v>-39</v>
      </c>
      <c r="K242">
        <v>241</v>
      </c>
      <c r="L242" t="str">
        <f t="shared" si="6"/>
        <v>Tyler Loop</v>
      </c>
      <c r="M242" s="69" t="str">
        <f>IFERROR(VLOOKUP(E242,RISK!A:B,2,FALSE()),"")</f>
        <v/>
      </c>
      <c r="N242" s="43" t="e">
        <f t="shared" si="7"/>
        <v>#N/A</v>
      </c>
      <c r="Q242" s="20" t="s">
        <v>314</v>
      </c>
      <c r="R242" s="43">
        <f>Aggregate!BQ96</f>
        <v>50.572918838421451</v>
      </c>
    </row>
    <row r="243" spans="1:18" ht="14.25" customHeight="1" x14ac:dyDescent="0.3">
      <c r="A243">
        <v>242</v>
      </c>
      <c r="B243">
        <v>9</v>
      </c>
      <c r="C243" t="s">
        <v>770</v>
      </c>
      <c r="D243" t="s">
        <v>519</v>
      </c>
      <c r="E243" t="s">
        <v>311</v>
      </c>
      <c r="F243">
        <v>8</v>
      </c>
      <c r="G243" t="s">
        <v>1033</v>
      </c>
      <c r="H243" t="s">
        <v>1025</v>
      </c>
      <c r="I243" t="s">
        <v>1032</v>
      </c>
      <c r="J243">
        <v>-3</v>
      </c>
      <c r="K243">
        <v>242</v>
      </c>
      <c r="L243" t="str">
        <f t="shared" si="6"/>
        <v>Tank Dell</v>
      </c>
      <c r="M243" s="69">
        <f>IFERROR(VLOOKUP(E243,RISK!A:B,2,FALSE()),"")</f>
        <v>3.848101265822784</v>
      </c>
      <c r="N243" s="43">
        <f t="shared" si="7"/>
        <v>58.819932985852574</v>
      </c>
      <c r="Q243" s="20" t="s">
        <v>293</v>
      </c>
      <c r="R243" s="43">
        <f>Aggregate!BQ97</f>
        <v>48.267468354430378</v>
      </c>
    </row>
    <row r="244" spans="1:18" ht="14.25" customHeight="1" x14ac:dyDescent="0.3">
      <c r="A244">
        <v>243</v>
      </c>
      <c r="B244">
        <v>9</v>
      </c>
      <c r="C244" t="s">
        <v>1083</v>
      </c>
      <c r="D244" t="s">
        <v>503</v>
      </c>
      <c r="E244" t="s">
        <v>1080</v>
      </c>
      <c r="F244">
        <v>6</v>
      </c>
      <c r="G244" t="s">
        <v>1035</v>
      </c>
      <c r="H244" t="s">
        <v>1035</v>
      </c>
      <c r="I244" t="s">
        <v>1027</v>
      </c>
      <c r="J244">
        <v>-30</v>
      </c>
      <c r="K244">
        <v>243</v>
      </c>
      <c r="L244" t="str">
        <f t="shared" si="6"/>
        <v>Detroit Lions</v>
      </c>
      <c r="M244" s="69" t="str">
        <f>IFERROR(VLOOKUP(E244,RISK!A:B,2,FALSE()),"")</f>
        <v/>
      </c>
      <c r="N244" s="43" t="e">
        <f t="shared" si="7"/>
        <v>#N/A</v>
      </c>
      <c r="Q244" s="20" t="s">
        <v>298</v>
      </c>
      <c r="R244" s="43">
        <f>Aggregate!BQ98</f>
        <v>45.041384959046916</v>
      </c>
    </row>
    <row r="245" spans="1:18" ht="14.25" customHeight="1" x14ac:dyDescent="0.3">
      <c r="A245">
        <v>244</v>
      </c>
      <c r="B245">
        <v>9</v>
      </c>
      <c r="C245" t="s">
        <v>1079</v>
      </c>
      <c r="D245" t="s">
        <v>471</v>
      </c>
      <c r="E245" t="s">
        <v>1084</v>
      </c>
      <c r="F245">
        <v>7</v>
      </c>
      <c r="G245" t="s">
        <v>1035</v>
      </c>
      <c r="H245" t="s">
        <v>1035</v>
      </c>
      <c r="I245" t="s">
        <v>1032</v>
      </c>
      <c r="J245">
        <v>-15</v>
      </c>
      <c r="K245">
        <v>244</v>
      </c>
      <c r="L245" t="str">
        <f t="shared" si="6"/>
        <v>Buffalo Bills</v>
      </c>
      <c r="M245" s="69" t="str">
        <f>IFERROR(VLOOKUP(E245,RISK!A:B,2,FALSE()),"")</f>
        <v/>
      </c>
      <c r="N245" s="43" t="e">
        <f t="shared" si="7"/>
        <v>#N/A</v>
      </c>
      <c r="Q245" s="20" t="s">
        <v>309</v>
      </c>
      <c r="R245" s="43">
        <f>Aggregate!BQ99</f>
        <v>41.142233804914369</v>
      </c>
    </row>
    <row r="246" spans="1:18" ht="14.25" customHeight="1" x14ac:dyDescent="0.3">
      <c r="A246">
        <v>245</v>
      </c>
      <c r="B246">
        <v>9</v>
      </c>
      <c r="C246" t="s">
        <v>698</v>
      </c>
      <c r="D246" t="s">
        <v>515</v>
      </c>
      <c r="E246" t="s">
        <v>303</v>
      </c>
      <c r="F246">
        <v>11</v>
      </c>
      <c r="G246" t="s">
        <v>1026</v>
      </c>
      <c r="H246" t="s">
        <v>1025</v>
      </c>
      <c r="I246" t="s">
        <v>1029</v>
      </c>
      <c r="J246">
        <v>8</v>
      </c>
      <c r="K246">
        <v>245</v>
      </c>
      <c r="L246" t="str">
        <f t="shared" si="6"/>
        <v>Kaleb Johnson</v>
      </c>
      <c r="M246" s="69">
        <f>IFERROR(VLOOKUP(E246,RISK!A:B,2,FALSE()),"")</f>
        <v>4</v>
      </c>
      <c r="N246" s="43">
        <f t="shared" si="7"/>
        <v>35.987058823529416</v>
      </c>
      <c r="Q246" s="20" t="s">
        <v>301</v>
      </c>
      <c r="R246" s="43">
        <f>Aggregate!BQ100</f>
        <v>40.206128071481757</v>
      </c>
    </row>
    <row r="247" spans="1:18" ht="14.25" customHeight="1" x14ac:dyDescent="0.3">
      <c r="A247">
        <v>246</v>
      </c>
      <c r="B247">
        <v>9</v>
      </c>
      <c r="C247" t="s">
        <v>814</v>
      </c>
      <c r="D247" t="s">
        <v>471</v>
      </c>
      <c r="E247" t="s">
        <v>290</v>
      </c>
      <c r="F247">
        <v>7</v>
      </c>
      <c r="G247" t="s">
        <v>1030</v>
      </c>
      <c r="H247" t="s">
        <v>1033</v>
      </c>
      <c r="I247" t="s">
        <v>1029</v>
      </c>
      <c r="J247">
        <v>22</v>
      </c>
      <c r="K247">
        <v>246</v>
      </c>
      <c r="L247" t="str">
        <f t="shared" si="6"/>
        <v>Keon Coleman</v>
      </c>
      <c r="M247" s="69">
        <f>IFERROR(VLOOKUP(E247,RISK!A:B,2,FALSE()),"")</f>
        <v>3.848101265822784</v>
      </c>
      <c r="N247" s="43">
        <f t="shared" si="7"/>
        <v>56.08897989575577</v>
      </c>
      <c r="Q247" s="20" t="s">
        <v>262</v>
      </c>
      <c r="R247" s="43">
        <f>Aggregate!BQ101</f>
        <v>34.543075204765451</v>
      </c>
    </row>
    <row r="248" spans="1:18" ht="14.25" customHeight="1" x14ac:dyDescent="0.3">
      <c r="A248">
        <v>247</v>
      </c>
      <c r="B248">
        <v>9</v>
      </c>
      <c r="C248" t="s">
        <v>822</v>
      </c>
      <c r="D248" t="s">
        <v>531</v>
      </c>
      <c r="E248" t="s">
        <v>271</v>
      </c>
      <c r="F248">
        <v>13</v>
      </c>
      <c r="G248" t="s">
        <v>1034</v>
      </c>
      <c r="H248" t="s">
        <v>1033</v>
      </c>
      <c r="I248" t="s">
        <v>1028</v>
      </c>
      <c r="J248">
        <v>59</v>
      </c>
      <c r="K248">
        <v>247</v>
      </c>
      <c r="L248" t="str">
        <f t="shared" si="6"/>
        <v>Jack Bech</v>
      </c>
      <c r="M248" s="69">
        <f>IFERROR(VLOOKUP(E248,RISK!A:B,2,FALSE()),"")</f>
        <v>3.848101265822784</v>
      </c>
      <c r="N248" s="43">
        <f t="shared" si="7"/>
        <v>56.05029784065524</v>
      </c>
      <c r="Q248" s="20" t="s">
        <v>308</v>
      </c>
      <c r="R248" s="43">
        <f>Aggregate!BQ102</f>
        <v>33.846798212956074</v>
      </c>
    </row>
    <row r="249" spans="1:18" ht="14.25" customHeight="1" x14ac:dyDescent="0.3">
      <c r="A249">
        <v>248</v>
      </c>
      <c r="B249">
        <v>9</v>
      </c>
      <c r="C249" t="s">
        <v>931</v>
      </c>
      <c r="D249" t="s">
        <v>497</v>
      </c>
      <c r="E249" t="s">
        <v>242</v>
      </c>
      <c r="F249">
        <v>7</v>
      </c>
      <c r="G249" t="s">
        <v>1033</v>
      </c>
      <c r="H249" t="s">
        <v>1033</v>
      </c>
      <c r="I249" t="s">
        <v>1029</v>
      </c>
      <c r="J249">
        <v>-68</v>
      </c>
      <c r="K249">
        <v>248</v>
      </c>
      <c r="L249" t="str">
        <f t="shared" si="6"/>
        <v>David Njoku</v>
      </c>
      <c r="M249" s="69">
        <f>IFERROR(VLOOKUP(E249,RISK!A:B,2,FALSE()),"")</f>
        <v>3</v>
      </c>
      <c r="N249" s="43">
        <f t="shared" si="7"/>
        <v>67.40117647058824</v>
      </c>
      <c r="Q249" s="20" t="s">
        <v>120</v>
      </c>
      <c r="R249" s="43">
        <f>Aggregate!BV3</f>
        <v>173.5823917647059</v>
      </c>
    </row>
    <row r="250" spans="1:18" ht="14.25" customHeight="1" x14ac:dyDescent="0.3">
      <c r="A250">
        <v>249</v>
      </c>
      <c r="B250">
        <v>9</v>
      </c>
      <c r="C250" t="s">
        <v>792</v>
      </c>
      <c r="D250" t="s">
        <v>479</v>
      </c>
      <c r="E250" t="s">
        <v>315</v>
      </c>
      <c r="F250">
        <v>7</v>
      </c>
      <c r="G250" t="s">
        <v>1033</v>
      </c>
      <c r="H250" t="s">
        <v>1030</v>
      </c>
      <c r="I250" t="s">
        <v>1028</v>
      </c>
      <c r="J250">
        <v>29</v>
      </c>
      <c r="K250">
        <v>249</v>
      </c>
      <c r="L250" t="str">
        <f t="shared" si="6"/>
        <v>Antonio Williams</v>
      </c>
      <c r="M250" s="69">
        <f>IFERROR(VLOOKUP(E250,RISK!A:B,2,FALSE()),"")</f>
        <v>3.848101265822784</v>
      </c>
      <c r="N250" s="43">
        <f t="shared" si="7"/>
        <v>55.965197319434104</v>
      </c>
      <c r="Q250" s="20" t="s">
        <v>122</v>
      </c>
      <c r="R250" s="43">
        <f>Aggregate!BV4</f>
        <v>164.73139035294122</v>
      </c>
    </row>
    <row r="251" spans="1:18" ht="14.25" customHeight="1" x14ac:dyDescent="0.3">
      <c r="A251">
        <v>250</v>
      </c>
      <c r="B251">
        <v>9</v>
      </c>
      <c r="C251" t="s">
        <v>1085</v>
      </c>
      <c r="D251" t="s">
        <v>501</v>
      </c>
      <c r="E251" t="s">
        <v>1082</v>
      </c>
      <c r="F251">
        <v>11</v>
      </c>
      <c r="G251" t="s">
        <v>1033</v>
      </c>
      <c r="H251" t="s">
        <v>1030</v>
      </c>
      <c r="I251" t="s">
        <v>1028</v>
      </c>
      <c r="J251">
        <v>-60</v>
      </c>
      <c r="K251">
        <v>250</v>
      </c>
      <c r="L251" t="str">
        <f t="shared" si="6"/>
        <v>Harrison Mevis</v>
      </c>
      <c r="M251" s="69" t="str">
        <f>IFERROR(VLOOKUP(E251,RISK!A:B,2,FALSE()),"")</f>
        <v/>
      </c>
      <c r="N251" s="43" t="e">
        <f t="shared" si="7"/>
        <v>#N/A</v>
      </c>
      <c r="Q251" s="20" t="s">
        <v>138</v>
      </c>
      <c r="R251" s="43">
        <f>Aggregate!BV5</f>
        <v>141.38614235294119</v>
      </c>
    </row>
    <row r="252" spans="1:18" ht="14.25" customHeight="1" x14ac:dyDescent="0.3">
      <c r="A252">
        <v>251</v>
      </c>
      <c r="B252">
        <v>9</v>
      </c>
      <c r="C252" t="s">
        <v>1081</v>
      </c>
      <c r="D252" t="s">
        <v>495</v>
      </c>
      <c r="E252" t="s">
        <v>1086</v>
      </c>
      <c r="F252">
        <v>10</v>
      </c>
      <c r="G252" t="s">
        <v>1034</v>
      </c>
      <c r="H252" t="s">
        <v>1034</v>
      </c>
      <c r="I252" t="s">
        <v>1046</v>
      </c>
      <c r="J252">
        <v>7</v>
      </c>
      <c r="K252">
        <v>251</v>
      </c>
      <c r="L252" t="str">
        <f t="shared" si="6"/>
        <v>Cairo Santos</v>
      </c>
      <c r="M252" s="69" t="str">
        <f>IFERROR(VLOOKUP(E252,RISK!A:B,2,FALSE()),"")</f>
        <v/>
      </c>
      <c r="N252" s="43" t="e">
        <f t="shared" si="7"/>
        <v>#N/A</v>
      </c>
      <c r="Q252" s="20" t="s">
        <v>151</v>
      </c>
      <c r="R252" s="43">
        <f>Aggregate!BV6</f>
        <v>131.54638800000001</v>
      </c>
    </row>
    <row r="253" spans="1:18" ht="14.25" customHeight="1" x14ac:dyDescent="0.3">
      <c r="A253">
        <v>252</v>
      </c>
      <c r="B253">
        <v>9</v>
      </c>
      <c r="C253" t="s">
        <v>783</v>
      </c>
      <c r="D253" t="s">
        <v>513</v>
      </c>
      <c r="E253" t="s">
        <v>268</v>
      </c>
      <c r="F253">
        <v>6</v>
      </c>
      <c r="G253" t="s">
        <v>1034</v>
      </c>
      <c r="H253" t="s">
        <v>1033</v>
      </c>
      <c r="I253" t="s">
        <v>1032</v>
      </c>
      <c r="J253">
        <v>-28</v>
      </c>
      <c r="K253">
        <v>252</v>
      </c>
      <c r="L253" t="str">
        <f t="shared" si="6"/>
        <v>Caleb Douglas</v>
      </c>
      <c r="M253" s="69">
        <f>IFERROR(VLOOKUP(E253,RISK!A:B,2,FALSE()),"")</f>
        <v>3.848101265822784</v>
      </c>
      <c r="N253" s="43">
        <f t="shared" si="7"/>
        <v>55.949105584512289</v>
      </c>
      <c r="Q253" s="20" t="s">
        <v>158</v>
      </c>
      <c r="R253" s="43">
        <f>Aggregate!BV7</f>
        <v>130.37474364705884</v>
      </c>
    </row>
    <row r="254" spans="1:18" ht="14.25" customHeight="1" x14ac:dyDescent="0.3">
      <c r="A254">
        <v>253</v>
      </c>
      <c r="B254">
        <v>9</v>
      </c>
      <c r="C254" t="s">
        <v>665</v>
      </c>
      <c r="D254" t="s">
        <v>513</v>
      </c>
      <c r="E254" t="s">
        <v>306</v>
      </c>
      <c r="F254">
        <v>6</v>
      </c>
      <c r="G254" t="s">
        <v>1034</v>
      </c>
      <c r="H254" t="s">
        <v>1033</v>
      </c>
      <c r="I254" t="s">
        <v>1032</v>
      </c>
      <c r="J254">
        <v>39</v>
      </c>
      <c r="K254">
        <v>253</v>
      </c>
      <c r="L254" t="str">
        <f t="shared" si="6"/>
        <v>Ollie Gordon II</v>
      </c>
      <c r="M254" s="69">
        <f>IFERROR(VLOOKUP(E254,RISK!A:B,2,FALSE()),"")</f>
        <v>4</v>
      </c>
      <c r="N254" s="43">
        <f t="shared" si="7"/>
        <v>30.970588235294116</v>
      </c>
      <c r="Q254" s="20" t="s">
        <v>157</v>
      </c>
      <c r="R254" s="43">
        <f>Aggregate!BV8</f>
        <v>125.77675200000002</v>
      </c>
    </row>
    <row r="255" spans="1:18" ht="14.25" customHeight="1" x14ac:dyDescent="0.3">
      <c r="A255">
        <v>254</v>
      </c>
      <c r="B255">
        <v>9</v>
      </c>
      <c r="C255" t="s">
        <v>1093</v>
      </c>
      <c r="D255" t="s">
        <v>535</v>
      </c>
      <c r="E255" t="s">
        <v>1094</v>
      </c>
      <c r="F255">
        <v>11</v>
      </c>
      <c r="G255" t="s">
        <v>1035</v>
      </c>
      <c r="H255" t="s">
        <v>1035</v>
      </c>
      <c r="I255" t="s">
        <v>1027</v>
      </c>
      <c r="J255">
        <v>-7</v>
      </c>
      <c r="K255">
        <v>254</v>
      </c>
      <c r="L255" t="str">
        <f t="shared" si="6"/>
        <v>Cleveland Browns</v>
      </c>
      <c r="M255" s="69" t="str">
        <f>IFERROR(VLOOKUP(E255,RISK!A:B,2,FALSE()),"")</f>
        <v/>
      </c>
      <c r="N255" s="43" t="e">
        <f t="shared" si="7"/>
        <v>#N/A</v>
      </c>
      <c r="Q255" s="20" t="s">
        <v>168</v>
      </c>
      <c r="R255" s="43">
        <f>Aggregate!BV9</f>
        <v>123.85906323529413</v>
      </c>
    </row>
    <row r="256" spans="1:18" ht="14.25" customHeight="1" x14ac:dyDescent="0.3">
      <c r="A256">
        <v>255</v>
      </c>
      <c r="B256">
        <v>9</v>
      </c>
      <c r="C256" t="s">
        <v>1091</v>
      </c>
      <c r="D256" t="s">
        <v>477</v>
      </c>
      <c r="E256" t="s">
        <v>1088</v>
      </c>
      <c r="F256">
        <v>11</v>
      </c>
      <c r="G256" t="s">
        <v>1035</v>
      </c>
      <c r="H256" t="s">
        <v>1035</v>
      </c>
      <c r="I256" t="s">
        <v>1031</v>
      </c>
      <c r="J256">
        <v>-25</v>
      </c>
      <c r="K256">
        <v>255</v>
      </c>
      <c r="L256" t="str">
        <f t="shared" si="6"/>
        <v>Andy Borregales</v>
      </c>
      <c r="M256" s="69" t="str">
        <f>IFERROR(VLOOKUP(E256,RISK!A:B,2,FALSE()),"")</f>
        <v/>
      </c>
      <c r="N256" s="43" t="e">
        <f t="shared" si="7"/>
        <v>#N/A</v>
      </c>
      <c r="Q256" s="20" t="s">
        <v>155</v>
      </c>
      <c r="R256" s="43">
        <f>Aggregate!BV10</f>
        <v>123.79732000000001</v>
      </c>
    </row>
    <row r="257" spans="1:18" ht="14.25" customHeight="1" x14ac:dyDescent="0.3">
      <c r="A257">
        <v>256</v>
      </c>
      <c r="B257">
        <v>9</v>
      </c>
      <c r="C257" t="s">
        <v>645</v>
      </c>
      <c r="D257" t="s">
        <v>487</v>
      </c>
      <c r="E257" t="s">
        <v>286</v>
      </c>
      <c r="F257">
        <v>8</v>
      </c>
      <c r="G257" t="s">
        <v>1030</v>
      </c>
      <c r="H257" t="s">
        <v>1033</v>
      </c>
      <c r="I257" t="s">
        <v>1028</v>
      </c>
      <c r="J257">
        <v>-6</v>
      </c>
      <c r="K257">
        <v>256</v>
      </c>
      <c r="L257" t="str">
        <f t="shared" si="6"/>
        <v>Jordan James</v>
      </c>
      <c r="M257" s="69">
        <f>IFERROR(VLOOKUP(E257,RISK!A:B,2,FALSE()),"")</f>
        <v>4</v>
      </c>
      <c r="N257" s="43">
        <f t="shared" si="7"/>
        <v>29.464117647058824</v>
      </c>
      <c r="Q257" s="20" t="s">
        <v>164</v>
      </c>
      <c r="R257" s="43">
        <f>Aggregate!BV11</f>
        <v>120.77086352941177</v>
      </c>
    </row>
    <row r="258" spans="1:18" ht="14.25" customHeight="1" x14ac:dyDescent="0.3">
      <c r="A258">
        <v>257</v>
      </c>
      <c r="B258">
        <v>9</v>
      </c>
      <c r="C258" t="s">
        <v>935</v>
      </c>
      <c r="D258" t="s">
        <v>501</v>
      </c>
      <c r="E258" t="s">
        <v>240</v>
      </c>
      <c r="F258">
        <v>11</v>
      </c>
      <c r="G258" t="s">
        <v>1035</v>
      </c>
      <c r="H258" t="s">
        <v>1035</v>
      </c>
      <c r="I258" t="s">
        <v>1029</v>
      </c>
      <c r="J258">
        <v>19</v>
      </c>
      <c r="K258">
        <v>257</v>
      </c>
      <c r="L258" t="str">
        <f t="shared" ref="L258:L321" si="8">C258</f>
        <v>Colby Parkinson</v>
      </c>
      <c r="M258" s="69">
        <f>IFERROR(VLOOKUP(E258,RISK!A:B,2,FALSE()),"")</f>
        <v>3</v>
      </c>
      <c r="N258" s="43">
        <f t="shared" si="7"/>
        <v>66.537058823529406</v>
      </c>
      <c r="Q258" s="20" t="s">
        <v>171</v>
      </c>
      <c r="R258" s="43">
        <f>Aggregate!BV12</f>
        <v>119.50072647058825</v>
      </c>
    </row>
    <row r="259" spans="1:18" ht="14.25" customHeight="1" x14ac:dyDescent="0.3">
      <c r="A259">
        <v>258</v>
      </c>
      <c r="B259">
        <v>9</v>
      </c>
      <c r="C259" t="s">
        <v>1087</v>
      </c>
      <c r="D259" t="s">
        <v>507</v>
      </c>
      <c r="E259" t="s">
        <v>1090</v>
      </c>
      <c r="F259">
        <v>10</v>
      </c>
      <c r="G259" t="s">
        <v>1033</v>
      </c>
      <c r="H259" t="s">
        <v>1030</v>
      </c>
      <c r="I259" t="s">
        <v>1032</v>
      </c>
      <c r="J259">
        <v>-36</v>
      </c>
      <c r="K259">
        <v>258</v>
      </c>
      <c r="L259" t="str">
        <f t="shared" si="8"/>
        <v>Chase McLaughlin</v>
      </c>
      <c r="M259" s="69" t="str">
        <f>IFERROR(VLOOKUP(E259,RISK!A:B,2,FALSE()),"")</f>
        <v/>
      </c>
      <c r="N259" s="43" t="e">
        <f t="shared" ref="N259:N322" si="9">VLOOKUP(E259,Q:R,2,FALSE)</f>
        <v>#N/A</v>
      </c>
      <c r="Q259" s="20" t="s">
        <v>182</v>
      </c>
      <c r="R259" s="43">
        <f>Aggregate!BV13</f>
        <v>119.11602117647061</v>
      </c>
    </row>
    <row r="260" spans="1:18" ht="14.25" customHeight="1" x14ac:dyDescent="0.3">
      <c r="A260">
        <v>259</v>
      </c>
      <c r="B260">
        <v>9</v>
      </c>
      <c r="C260" t="s">
        <v>1089</v>
      </c>
      <c r="D260" t="s">
        <v>483</v>
      </c>
      <c r="E260" t="s">
        <v>1092</v>
      </c>
      <c r="F260">
        <v>6</v>
      </c>
      <c r="G260" t="s">
        <v>1033</v>
      </c>
      <c r="H260" t="s">
        <v>1030</v>
      </c>
      <c r="I260" t="s">
        <v>1028</v>
      </c>
      <c r="J260">
        <v>-59</v>
      </c>
      <c r="K260">
        <v>259</v>
      </c>
      <c r="L260" t="str">
        <f t="shared" si="8"/>
        <v>Evan McPherson</v>
      </c>
      <c r="M260" s="69" t="str">
        <f>IFERROR(VLOOKUP(E260,RISK!A:B,2,FALSE()),"")</f>
        <v/>
      </c>
      <c r="N260" s="43" t="e">
        <f t="shared" si="9"/>
        <v>#N/A</v>
      </c>
      <c r="Q260" s="20" t="s">
        <v>170</v>
      </c>
      <c r="R260" s="43">
        <f>Aggregate!BV14</f>
        <v>110.8608451764706</v>
      </c>
    </row>
    <row r="261" spans="1:18" ht="14.25" customHeight="1" x14ac:dyDescent="0.3">
      <c r="A261">
        <v>260</v>
      </c>
      <c r="B261">
        <v>9</v>
      </c>
      <c r="C261" t="s">
        <v>793</v>
      </c>
      <c r="D261" t="s">
        <v>517</v>
      </c>
      <c r="E261" t="s">
        <v>243</v>
      </c>
      <c r="F261">
        <v>11</v>
      </c>
      <c r="G261" t="s">
        <v>1033</v>
      </c>
      <c r="H261" t="s">
        <v>1033</v>
      </c>
      <c r="I261" t="s">
        <v>1032</v>
      </c>
      <c r="J261">
        <v>43</v>
      </c>
      <c r="K261">
        <v>260</v>
      </c>
      <c r="L261" t="str">
        <f t="shared" si="8"/>
        <v>Tory Horton</v>
      </c>
      <c r="M261" s="69">
        <f>IFERROR(VLOOKUP(E261,RISK!A:B,2,FALSE()),"")</f>
        <v>3.848101265822784</v>
      </c>
      <c r="N261" s="43">
        <f t="shared" si="9"/>
        <v>51.61733432613552</v>
      </c>
      <c r="Q261" s="20" t="s">
        <v>181</v>
      </c>
      <c r="R261" s="43">
        <f>Aggregate!BV15</f>
        <v>110.28953152941176</v>
      </c>
    </row>
    <row r="262" spans="1:18" ht="14.25" customHeight="1" x14ac:dyDescent="0.3">
      <c r="A262">
        <v>261</v>
      </c>
      <c r="B262">
        <v>9</v>
      </c>
      <c r="C262" t="s">
        <v>660</v>
      </c>
      <c r="D262" t="s">
        <v>523</v>
      </c>
      <c r="E262" t="s">
        <v>328</v>
      </c>
      <c r="F262">
        <v>13</v>
      </c>
      <c r="G262" t="s">
        <v>1030</v>
      </c>
      <c r="H262" t="s">
        <v>1033</v>
      </c>
      <c r="I262" t="s">
        <v>1032</v>
      </c>
      <c r="J262" t="s">
        <v>1035</v>
      </c>
      <c r="K262">
        <v>261</v>
      </c>
      <c r="L262" t="str">
        <f t="shared" si="8"/>
        <v>Isaiah Davis</v>
      </c>
      <c r="M262" s="69">
        <f>IFERROR(VLOOKUP(E262,RISK!A:B,2,FALSE()),"")</f>
        <v>4</v>
      </c>
      <c r="N262" s="43">
        <f t="shared" si="9"/>
        <v>26.879411764705878</v>
      </c>
      <c r="Q262" s="20" t="s">
        <v>180</v>
      </c>
      <c r="R262" s="43">
        <f>Aggregate!BV16</f>
        <v>108.91143629411765</v>
      </c>
    </row>
    <row r="263" spans="1:18" ht="14.25" customHeight="1" x14ac:dyDescent="0.3">
      <c r="A263">
        <v>262</v>
      </c>
      <c r="B263">
        <v>9</v>
      </c>
      <c r="C263" t="s">
        <v>641</v>
      </c>
      <c r="D263" t="s">
        <v>471</v>
      </c>
      <c r="E263" t="s">
        <v>277</v>
      </c>
      <c r="F263">
        <v>7</v>
      </c>
      <c r="G263" t="s">
        <v>1035</v>
      </c>
      <c r="H263" t="s">
        <v>1035</v>
      </c>
      <c r="I263" t="s">
        <v>1028</v>
      </c>
      <c r="J263">
        <v>15</v>
      </c>
      <c r="K263">
        <v>262</v>
      </c>
      <c r="L263" t="str">
        <f t="shared" si="8"/>
        <v>Ty Johnson</v>
      </c>
      <c r="M263" s="69">
        <f>IFERROR(VLOOKUP(E263,RISK!A:B,2,FALSE()),"")</f>
        <v>4</v>
      </c>
      <c r="N263" s="43">
        <f t="shared" si="9"/>
        <v>24.722941176470592</v>
      </c>
      <c r="Q263" s="20" t="s">
        <v>185</v>
      </c>
      <c r="R263" s="43">
        <f>Aggregate!BV17</f>
        <v>106.45709835294119</v>
      </c>
    </row>
    <row r="264" spans="1:18" ht="14.25" customHeight="1" x14ac:dyDescent="0.3">
      <c r="A264">
        <v>263</v>
      </c>
      <c r="B264">
        <v>9</v>
      </c>
      <c r="C264" t="s">
        <v>922</v>
      </c>
      <c r="D264" t="s">
        <v>513</v>
      </c>
      <c r="E264" t="s">
        <v>264</v>
      </c>
      <c r="F264">
        <v>6</v>
      </c>
      <c r="G264" t="s">
        <v>1033</v>
      </c>
      <c r="H264" t="s">
        <v>1033</v>
      </c>
      <c r="I264" t="s">
        <v>1027</v>
      </c>
      <c r="J264">
        <v>-48</v>
      </c>
      <c r="K264">
        <v>263</v>
      </c>
      <c r="L264" t="str">
        <f t="shared" si="8"/>
        <v>Greg Dulcich</v>
      </c>
      <c r="M264" s="69">
        <f>IFERROR(VLOOKUP(E264,RISK!A:B,2,FALSE()),"")</f>
        <v>3</v>
      </c>
      <c r="N264" s="43">
        <f t="shared" si="9"/>
        <v>66.047647058823529</v>
      </c>
      <c r="Q264" s="20" t="s">
        <v>194</v>
      </c>
      <c r="R264" s="43">
        <f>Aggregate!BV18</f>
        <v>100.48378752941177</v>
      </c>
    </row>
    <row r="265" spans="1:18" ht="14.25" customHeight="1" x14ac:dyDescent="0.3">
      <c r="A265">
        <v>264</v>
      </c>
      <c r="B265">
        <v>9</v>
      </c>
      <c r="C265" t="s">
        <v>796</v>
      </c>
      <c r="D265" t="s">
        <v>493</v>
      </c>
      <c r="E265" t="s">
        <v>314</v>
      </c>
      <c r="F265">
        <v>5</v>
      </c>
      <c r="G265" t="s">
        <v>1030</v>
      </c>
      <c r="H265" t="s">
        <v>1025</v>
      </c>
      <c r="I265" t="s">
        <v>1028</v>
      </c>
      <c r="J265" t="s">
        <v>1035</v>
      </c>
      <c r="K265">
        <v>264</v>
      </c>
      <c r="L265" t="str">
        <f t="shared" si="8"/>
        <v>Tyquan Thornton</v>
      </c>
      <c r="M265" s="69">
        <f>IFERROR(VLOOKUP(E265,RISK!A:B,2,FALSE()),"")</f>
        <v>3.848101265822784</v>
      </c>
      <c r="N265" s="43">
        <f t="shared" si="9"/>
        <v>50.572918838421451</v>
      </c>
      <c r="Q265" s="20" t="s">
        <v>195</v>
      </c>
      <c r="R265" s="43">
        <f>Aggregate!BV19</f>
        <v>100.38126264705882</v>
      </c>
    </row>
    <row r="266" spans="1:18" ht="14.25" customHeight="1" x14ac:dyDescent="0.3">
      <c r="A266">
        <v>265</v>
      </c>
      <c r="B266">
        <v>9</v>
      </c>
      <c r="C266" t="s">
        <v>662</v>
      </c>
      <c r="D266" t="s">
        <v>489</v>
      </c>
      <c r="E266" t="s">
        <v>323</v>
      </c>
      <c r="F266">
        <v>7</v>
      </c>
      <c r="G266" t="s">
        <v>1030</v>
      </c>
      <c r="H266" t="s">
        <v>1025</v>
      </c>
      <c r="I266" t="s">
        <v>1029</v>
      </c>
      <c r="J266" t="s">
        <v>1035</v>
      </c>
      <c r="K266">
        <v>265</v>
      </c>
      <c r="L266" t="str">
        <f t="shared" si="8"/>
        <v>LeQuint Allen Jr.</v>
      </c>
      <c r="M266" s="69">
        <f>IFERROR(VLOOKUP(E266,RISK!A:B,2,FALSE()),"")</f>
        <v>4</v>
      </c>
      <c r="N266" s="43">
        <f t="shared" si="9"/>
        <v>23.805294117647062</v>
      </c>
      <c r="Q266" s="20" t="s">
        <v>214</v>
      </c>
      <c r="R266" s="43">
        <f>Aggregate!BV20</f>
        <v>96.616349999999997</v>
      </c>
    </row>
    <row r="267" spans="1:18" ht="14.25" customHeight="1" x14ac:dyDescent="0.3">
      <c r="A267">
        <v>266</v>
      </c>
      <c r="B267">
        <v>9</v>
      </c>
      <c r="C267" t="s">
        <v>809</v>
      </c>
      <c r="D267" t="s">
        <v>525</v>
      </c>
      <c r="E267" t="s">
        <v>293</v>
      </c>
      <c r="F267">
        <v>9</v>
      </c>
      <c r="G267" t="s">
        <v>1026</v>
      </c>
      <c r="H267" t="s">
        <v>1025</v>
      </c>
      <c r="I267" t="s">
        <v>1032</v>
      </c>
      <c r="J267" t="s">
        <v>1035</v>
      </c>
      <c r="K267">
        <v>266</v>
      </c>
      <c r="L267" t="str">
        <f t="shared" si="8"/>
        <v>Elic Ayomanor</v>
      </c>
      <c r="M267" s="69">
        <f>IFERROR(VLOOKUP(E267,RISK!A:B,2,FALSE()),"")</f>
        <v>3.848101265822784</v>
      </c>
      <c r="N267" s="43">
        <f t="shared" si="9"/>
        <v>48.267468354430378</v>
      </c>
      <c r="Q267" s="20" t="s">
        <v>196</v>
      </c>
      <c r="R267" s="43">
        <f>Aggregate!BV21</f>
        <v>90.244218823529408</v>
      </c>
    </row>
    <row r="268" spans="1:18" ht="14.25" customHeight="1" x14ac:dyDescent="0.3">
      <c r="A268">
        <v>267</v>
      </c>
      <c r="B268">
        <v>9</v>
      </c>
      <c r="C268" t="s">
        <v>537</v>
      </c>
      <c r="D268" t="s">
        <v>533</v>
      </c>
      <c r="E268" t="s">
        <v>393</v>
      </c>
      <c r="F268">
        <v>11</v>
      </c>
      <c r="G268" t="s">
        <v>1030</v>
      </c>
      <c r="H268" t="s">
        <v>1025</v>
      </c>
      <c r="I268" t="s">
        <v>1029</v>
      </c>
      <c r="J268">
        <v>-18</v>
      </c>
      <c r="K268">
        <v>267</v>
      </c>
      <c r="L268" t="str">
        <f t="shared" si="8"/>
        <v>Michael Penix Jr.</v>
      </c>
      <c r="M268" s="69">
        <f>IFERROR(VLOOKUP(E268,RISK!A:B,2,FALSE()),"")</f>
        <v>3.2</v>
      </c>
      <c r="N268" s="43">
        <f t="shared" si="9"/>
        <v>114.20068235294116</v>
      </c>
      <c r="Q268" s="20" t="s">
        <v>200</v>
      </c>
      <c r="R268" s="43">
        <f>Aggregate!BV22</f>
        <v>83.329999999999984</v>
      </c>
    </row>
    <row r="269" spans="1:18" ht="14.25" customHeight="1" x14ac:dyDescent="0.3">
      <c r="A269">
        <v>268</v>
      </c>
      <c r="B269">
        <v>9</v>
      </c>
      <c r="C269" t="s">
        <v>532</v>
      </c>
      <c r="D269" t="s">
        <v>533</v>
      </c>
      <c r="E269" t="s">
        <v>394</v>
      </c>
      <c r="F269">
        <v>11</v>
      </c>
      <c r="G269" t="s">
        <v>1030</v>
      </c>
      <c r="H269" t="s">
        <v>1033</v>
      </c>
      <c r="I269" t="s">
        <v>1029</v>
      </c>
      <c r="J269">
        <v>-25</v>
      </c>
      <c r="K269">
        <v>268</v>
      </c>
      <c r="L269" t="str">
        <f t="shared" si="8"/>
        <v>Tua Tagovailoa</v>
      </c>
      <c r="M269" s="69">
        <f>IFERROR(VLOOKUP(E269,RISK!A:B,2,FALSE()),"")</f>
        <v>3.2</v>
      </c>
      <c r="N269" s="43">
        <f t="shared" si="9"/>
        <v>109.78468235294118</v>
      </c>
      <c r="Q269" s="20" t="s">
        <v>209</v>
      </c>
      <c r="R269" s="43">
        <f>Aggregate!BV23</f>
        <v>82.481176470588238</v>
      </c>
    </row>
    <row r="270" spans="1:18" ht="14.25" customHeight="1" x14ac:dyDescent="0.3">
      <c r="A270">
        <v>269</v>
      </c>
      <c r="B270">
        <v>9</v>
      </c>
      <c r="C270" t="s">
        <v>538</v>
      </c>
      <c r="D270" t="s">
        <v>531</v>
      </c>
      <c r="E270" t="s">
        <v>395</v>
      </c>
      <c r="F270">
        <v>13</v>
      </c>
      <c r="G270" t="s">
        <v>1030</v>
      </c>
      <c r="H270" t="s">
        <v>1033</v>
      </c>
      <c r="I270" t="s">
        <v>1031</v>
      </c>
      <c r="J270">
        <v>-25</v>
      </c>
      <c r="K270">
        <v>269</v>
      </c>
      <c r="L270" t="str">
        <f t="shared" si="8"/>
        <v>Kirk Cousins</v>
      </c>
      <c r="M270" s="69">
        <f>IFERROR(VLOOKUP(E270,RISK!A:B,2,FALSE()),"")</f>
        <v>3.2</v>
      </c>
      <c r="N270" s="43">
        <f t="shared" si="9"/>
        <v>86.121741176470593</v>
      </c>
      <c r="Q270" s="20" t="s">
        <v>222</v>
      </c>
      <c r="R270" s="43">
        <f>Aggregate!BV24</f>
        <v>81.311176470588236</v>
      </c>
    </row>
    <row r="271" spans="1:18" ht="14.25" customHeight="1" x14ac:dyDescent="0.3">
      <c r="A271">
        <v>270</v>
      </c>
      <c r="B271">
        <v>9</v>
      </c>
      <c r="C271" t="s">
        <v>1095</v>
      </c>
      <c r="D271" t="s">
        <v>493</v>
      </c>
      <c r="E271" t="s">
        <v>1096</v>
      </c>
      <c r="F271">
        <v>5</v>
      </c>
      <c r="G271" t="s">
        <v>1035</v>
      </c>
      <c r="H271" t="s">
        <v>1035</v>
      </c>
      <c r="I271" t="s">
        <v>1027</v>
      </c>
      <c r="J271">
        <v>-74</v>
      </c>
      <c r="K271">
        <v>270</v>
      </c>
      <c r="L271" t="str">
        <f t="shared" si="8"/>
        <v>Harrison Butker</v>
      </c>
      <c r="M271" s="69" t="str">
        <f>IFERROR(VLOOKUP(E271,RISK!A:B,2,FALSE()),"")</f>
        <v/>
      </c>
      <c r="N271" s="43" t="e">
        <f t="shared" si="9"/>
        <v>#N/A</v>
      </c>
      <c r="Q271" s="20" t="s">
        <v>239</v>
      </c>
      <c r="R271" s="43">
        <f>Aggregate!BV25</f>
        <v>80.783529411764704</v>
      </c>
    </row>
    <row r="272" spans="1:18" ht="14.25" customHeight="1" x14ac:dyDescent="0.3">
      <c r="A272">
        <v>271</v>
      </c>
      <c r="B272">
        <v>9</v>
      </c>
      <c r="C272" t="s">
        <v>812</v>
      </c>
      <c r="D272" t="s">
        <v>525</v>
      </c>
      <c r="E272" t="s">
        <v>298</v>
      </c>
      <c r="F272">
        <v>9</v>
      </c>
      <c r="G272" t="s">
        <v>1026</v>
      </c>
      <c r="H272" t="s">
        <v>1025</v>
      </c>
      <c r="I272" t="s">
        <v>1032</v>
      </c>
      <c r="J272" t="s">
        <v>1035</v>
      </c>
      <c r="K272">
        <v>271</v>
      </c>
      <c r="L272" t="str">
        <f t="shared" si="8"/>
        <v>Chimere Dike</v>
      </c>
      <c r="M272" s="69">
        <f>IFERROR(VLOOKUP(E272,RISK!A:B,2,FALSE()),"")</f>
        <v>3.848101265822784</v>
      </c>
      <c r="N272" s="43">
        <f t="shared" si="9"/>
        <v>45.041384959046916</v>
      </c>
      <c r="Q272" s="20" t="s">
        <v>225</v>
      </c>
      <c r="R272" s="43">
        <f>Aggregate!BV26</f>
        <v>79.312167176470581</v>
      </c>
    </row>
    <row r="273" spans="1:18" ht="14.25" customHeight="1" x14ac:dyDescent="0.3">
      <c r="A273">
        <v>272</v>
      </c>
      <c r="B273">
        <v>9</v>
      </c>
      <c r="C273" t="s">
        <v>1097</v>
      </c>
      <c r="D273" t="s">
        <v>529</v>
      </c>
      <c r="E273" t="s">
        <v>1098</v>
      </c>
      <c r="F273">
        <v>9</v>
      </c>
      <c r="G273" t="s">
        <v>1033</v>
      </c>
      <c r="H273" t="s">
        <v>1030</v>
      </c>
      <c r="I273" t="s">
        <v>1029</v>
      </c>
      <c r="J273">
        <v>-55</v>
      </c>
      <c r="K273">
        <v>272</v>
      </c>
      <c r="L273" t="str">
        <f t="shared" si="8"/>
        <v>Chris Boswell</v>
      </c>
      <c r="M273" s="69" t="str">
        <f>IFERROR(VLOOKUP(E273,RISK!A:B,2,FALSE()),"")</f>
        <v/>
      </c>
      <c r="N273" s="43" t="e">
        <f t="shared" si="9"/>
        <v>#N/A</v>
      </c>
      <c r="Q273" s="20" t="s">
        <v>221</v>
      </c>
      <c r="R273" s="43">
        <f>Aggregate!BV27</f>
        <v>78.603552588235289</v>
      </c>
    </row>
    <row r="274" spans="1:18" ht="14.25" customHeight="1" x14ac:dyDescent="0.3">
      <c r="A274">
        <v>273</v>
      </c>
      <c r="B274">
        <v>9</v>
      </c>
      <c r="C274" t="s">
        <v>679</v>
      </c>
      <c r="D274" t="s">
        <v>511</v>
      </c>
      <c r="E274" t="s">
        <v>329</v>
      </c>
      <c r="F274">
        <v>13</v>
      </c>
      <c r="G274" t="s">
        <v>1033</v>
      </c>
      <c r="H274" t="s">
        <v>1033</v>
      </c>
      <c r="I274" t="s">
        <v>1029</v>
      </c>
      <c r="J274">
        <v>16</v>
      </c>
      <c r="K274">
        <v>273</v>
      </c>
      <c r="L274" t="str">
        <f t="shared" si="8"/>
        <v>Seth McGowan</v>
      </c>
      <c r="M274" s="69">
        <f>IFERROR(VLOOKUP(E274,RISK!A:B,2,FALSE()),"")</f>
        <v>4</v>
      </c>
      <c r="N274" s="43">
        <f t="shared" si="9"/>
        <v>22.88</v>
      </c>
      <c r="Q274" s="20" t="s">
        <v>237</v>
      </c>
      <c r="R274" s="43">
        <f>Aggregate!BV28</f>
        <v>77.625294117647059</v>
      </c>
    </row>
    <row r="275" spans="1:18" ht="14.25" customHeight="1" x14ac:dyDescent="0.3">
      <c r="A275">
        <v>274</v>
      </c>
      <c r="B275">
        <v>9</v>
      </c>
      <c r="C275" t="s">
        <v>668</v>
      </c>
      <c r="D275" t="s">
        <v>511</v>
      </c>
      <c r="E275" t="s">
        <v>342</v>
      </c>
      <c r="F275">
        <v>13</v>
      </c>
      <c r="G275" t="s">
        <v>1030</v>
      </c>
      <c r="H275" t="s">
        <v>1033</v>
      </c>
      <c r="I275" t="s">
        <v>1029</v>
      </c>
      <c r="J275" t="s">
        <v>1035</v>
      </c>
      <c r="K275">
        <v>274</v>
      </c>
      <c r="L275" t="str">
        <f t="shared" si="8"/>
        <v>DJ Giddens</v>
      </c>
      <c r="M275" s="69">
        <f>IFERROR(VLOOKUP(E275,RISK!A:B,2,FALSE()),"")</f>
        <v>4</v>
      </c>
      <c r="N275" s="43">
        <f t="shared" si="9"/>
        <v>19.194117647058821</v>
      </c>
      <c r="Q275" s="20" t="s">
        <v>217</v>
      </c>
      <c r="R275" s="43">
        <f>Aggregate!BV29</f>
        <v>76.462941176470594</v>
      </c>
    </row>
    <row r="276" spans="1:18" ht="14.25" customHeight="1" x14ac:dyDescent="0.3">
      <c r="A276">
        <v>275</v>
      </c>
      <c r="B276">
        <v>9</v>
      </c>
      <c r="C276" t="s">
        <v>680</v>
      </c>
      <c r="D276" t="s">
        <v>505</v>
      </c>
      <c r="E276" t="s">
        <v>241</v>
      </c>
      <c r="F276">
        <v>8</v>
      </c>
      <c r="G276" t="s">
        <v>1030</v>
      </c>
      <c r="H276" t="s">
        <v>1033</v>
      </c>
      <c r="I276" t="s">
        <v>1032</v>
      </c>
      <c r="J276">
        <v>41</v>
      </c>
      <c r="K276">
        <v>275</v>
      </c>
      <c r="L276" t="str">
        <f t="shared" si="8"/>
        <v>Kendre Miller</v>
      </c>
      <c r="M276" s="69">
        <f>IFERROR(VLOOKUP(E276,RISK!A:B,2,FALSE()),"")</f>
        <v>4</v>
      </c>
      <c r="N276" s="43">
        <f t="shared" si="9"/>
        <v>18.047058823529415</v>
      </c>
      <c r="Q276" s="20" t="s">
        <v>227</v>
      </c>
      <c r="R276" s="43">
        <f>Aggregate!BV30</f>
        <v>72.088823529411755</v>
      </c>
    </row>
    <row r="277" spans="1:18" ht="14.25" customHeight="1" x14ac:dyDescent="0.3">
      <c r="A277">
        <v>276</v>
      </c>
      <c r="B277">
        <v>9</v>
      </c>
      <c r="C277" t="s">
        <v>1099</v>
      </c>
      <c r="D277" t="s">
        <v>499</v>
      </c>
      <c r="E277" t="s">
        <v>1100</v>
      </c>
      <c r="F277">
        <v>10</v>
      </c>
      <c r="G277" t="s">
        <v>1035</v>
      </c>
      <c r="H277" t="s">
        <v>1035</v>
      </c>
      <c r="I277" t="s">
        <v>1031</v>
      </c>
      <c r="J277">
        <v>-38</v>
      </c>
      <c r="K277">
        <v>276</v>
      </c>
      <c r="L277" t="str">
        <f t="shared" si="8"/>
        <v>Wil Lutz</v>
      </c>
      <c r="M277" s="69" t="str">
        <f>IFERROR(VLOOKUP(E277,RISK!A:B,2,FALSE()),"")</f>
        <v/>
      </c>
      <c r="N277" s="43" t="e">
        <f t="shared" si="9"/>
        <v>#N/A</v>
      </c>
      <c r="Q277" s="20" t="s">
        <v>257</v>
      </c>
      <c r="R277" s="43">
        <f>Aggregate!BV31</f>
        <v>69.037647058823524</v>
      </c>
    </row>
    <row r="278" spans="1:18" ht="14.25" customHeight="1" x14ac:dyDescent="0.3">
      <c r="A278">
        <v>277</v>
      </c>
      <c r="B278">
        <v>9</v>
      </c>
      <c r="C278" t="s">
        <v>794</v>
      </c>
      <c r="D278" t="s">
        <v>485</v>
      </c>
      <c r="E278" t="s">
        <v>309</v>
      </c>
      <c r="F278">
        <v>8</v>
      </c>
      <c r="G278" t="s">
        <v>1030</v>
      </c>
      <c r="H278" t="s">
        <v>1033</v>
      </c>
      <c r="I278" t="s">
        <v>1029</v>
      </c>
      <c r="J278" t="s">
        <v>1035</v>
      </c>
      <c r="K278">
        <v>277</v>
      </c>
      <c r="L278" t="str">
        <f t="shared" si="8"/>
        <v>Darius Slayton</v>
      </c>
      <c r="M278" s="69">
        <f>IFERROR(VLOOKUP(E278,RISK!A:B,2,FALSE()),"")</f>
        <v>3.848101265822784</v>
      </c>
      <c r="N278" s="43">
        <f t="shared" si="9"/>
        <v>41.142233804914369</v>
      </c>
      <c r="Q278" s="20" t="s">
        <v>242</v>
      </c>
      <c r="R278" s="43">
        <f>Aggregate!BV32</f>
        <v>67.40117647058824</v>
      </c>
    </row>
    <row r="279" spans="1:18" ht="14.25" customHeight="1" x14ac:dyDescent="0.3">
      <c r="A279">
        <v>278</v>
      </c>
      <c r="B279">
        <v>9</v>
      </c>
      <c r="C279" t="s">
        <v>536</v>
      </c>
      <c r="D279" t="s">
        <v>535</v>
      </c>
      <c r="E279" t="s">
        <v>396</v>
      </c>
      <c r="F279">
        <v>11</v>
      </c>
      <c r="G279" t="s">
        <v>1034</v>
      </c>
      <c r="H279" t="s">
        <v>1033</v>
      </c>
      <c r="I279" t="s">
        <v>1029</v>
      </c>
      <c r="J279">
        <v>-15</v>
      </c>
      <c r="K279">
        <v>278</v>
      </c>
      <c r="L279" t="str">
        <f t="shared" si="8"/>
        <v>Shedeur Sanders</v>
      </c>
      <c r="M279" s="69">
        <f>IFERROR(VLOOKUP(E279,RISK!A:B,2,FALSE()),"")</f>
        <v>3.2</v>
      </c>
      <c r="N279" s="43">
        <f t="shared" si="9"/>
        <v>79.992917647058817</v>
      </c>
      <c r="Q279" s="20" t="s">
        <v>240</v>
      </c>
      <c r="R279" s="43">
        <f>Aggregate!BV33</f>
        <v>66.537058823529406</v>
      </c>
    </row>
    <row r="280" spans="1:18" ht="14.25" customHeight="1" x14ac:dyDescent="0.3">
      <c r="A280">
        <v>279</v>
      </c>
      <c r="B280">
        <v>9</v>
      </c>
      <c r="C280" t="s">
        <v>798</v>
      </c>
      <c r="D280" t="s">
        <v>521</v>
      </c>
      <c r="E280" t="s">
        <v>301</v>
      </c>
      <c r="F280">
        <v>5</v>
      </c>
      <c r="G280" t="s">
        <v>1030</v>
      </c>
      <c r="H280" t="s">
        <v>1033</v>
      </c>
      <c r="I280" t="s">
        <v>1028</v>
      </c>
      <c r="J280" t="s">
        <v>1035</v>
      </c>
      <c r="K280">
        <v>279</v>
      </c>
      <c r="L280" t="str">
        <f t="shared" si="8"/>
        <v>Xavier Legette</v>
      </c>
      <c r="M280" s="69">
        <f>IFERROR(VLOOKUP(E280,RISK!A:B,2,FALSE()),"")</f>
        <v>3.848101265822784</v>
      </c>
      <c r="N280" s="43">
        <f t="shared" si="9"/>
        <v>40.206128071481757</v>
      </c>
      <c r="Q280" s="20" t="s">
        <v>264</v>
      </c>
      <c r="R280" s="43">
        <f>Aggregate!BV34</f>
        <v>66.047647058823529</v>
      </c>
    </row>
    <row r="281" spans="1:18" ht="14.25" customHeight="1" x14ac:dyDescent="0.3">
      <c r="A281">
        <v>280</v>
      </c>
      <c r="B281">
        <v>9</v>
      </c>
      <c r="C281" t="s">
        <v>534</v>
      </c>
      <c r="D281" t="s">
        <v>535</v>
      </c>
      <c r="E281" t="s">
        <v>397</v>
      </c>
      <c r="F281">
        <v>11</v>
      </c>
      <c r="G281" t="s">
        <v>1026</v>
      </c>
      <c r="H281" t="s">
        <v>1025</v>
      </c>
      <c r="I281" t="s">
        <v>1029</v>
      </c>
      <c r="J281">
        <v>-21</v>
      </c>
      <c r="K281">
        <v>280</v>
      </c>
      <c r="L281" t="str">
        <f t="shared" si="8"/>
        <v>Deshaun Watson</v>
      </c>
      <c r="M281" s="69">
        <f>IFERROR(VLOOKUP(E281,RISK!A:B,2,FALSE()),"")</f>
        <v>3.2</v>
      </c>
      <c r="N281" s="43">
        <f t="shared" si="9"/>
        <v>38.211388235294123</v>
      </c>
      <c r="Q281" s="20" t="s">
        <v>228</v>
      </c>
      <c r="R281" s="43">
        <f>Aggregate!BV35</f>
        <v>57.80411764705881</v>
      </c>
    </row>
    <row r="282" spans="1:18" ht="14.25" customHeight="1" x14ac:dyDescent="0.3">
      <c r="A282">
        <v>281</v>
      </c>
      <c r="B282">
        <v>9</v>
      </c>
      <c r="C282" t="s">
        <v>842</v>
      </c>
      <c r="D282" t="s">
        <v>475</v>
      </c>
      <c r="E282" t="s">
        <v>262</v>
      </c>
      <c r="F282">
        <v>13</v>
      </c>
      <c r="G282" t="s">
        <v>1034</v>
      </c>
      <c r="H282" t="s">
        <v>1034</v>
      </c>
      <c r="I282" t="s">
        <v>1029</v>
      </c>
      <c r="J282" t="s">
        <v>1035</v>
      </c>
      <c r="K282">
        <v>281</v>
      </c>
      <c r="L282" t="str">
        <f t="shared" si="8"/>
        <v>Elijah Sarratt</v>
      </c>
      <c r="M282" s="69">
        <f>IFERROR(VLOOKUP(E282,RISK!A:B,2,FALSE()),"")</f>
        <v>3.848101265822784</v>
      </c>
      <c r="N282" s="43">
        <f t="shared" si="9"/>
        <v>34.543075204765451</v>
      </c>
      <c r="Q282" s="20" t="s">
        <v>274</v>
      </c>
      <c r="R282" s="43">
        <f>Aggregate!BV36</f>
        <v>56.374117647058817</v>
      </c>
    </row>
    <row r="283" spans="1:18" ht="14.25" customHeight="1" x14ac:dyDescent="0.3">
      <c r="A283">
        <v>282</v>
      </c>
      <c r="B283">
        <v>9</v>
      </c>
      <c r="C283" t="s">
        <v>802</v>
      </c>
      <c r="D283" t="s">
        <v>487</v>
      </c>
      <c r="E283" t="s">
        <v>308</v>
      </c>
      <c r="F283">
        <v>8</v>
      </c>
      <c r="G283" t="s">
        <v>1026</v>
      </c>
      <c r="H283" t="s">
        <v>1025</v>
      </c>
      <c r="I283" t="s">
        <v>1028</v>
      </c>
      <c r="J283" t="s">
        <v>1035</v>
      </c>
      <c r="K283">
        <v>282</v>
      </c>
      <c r="L283" t="str">
        <f t="shared" si="8"/>
        <v>Christian Kirk</v>
      </c>
      <c r="M283" s="69">
        <f>IFERROR(VLOOKUP(E283,RISK!A:B,2,FALSE()),"")</f>
        <v>3.848101265822784</v>
      </c>
      <c r="N283" s="43">
        <f t="shared" si="9"/>
        <v>33.846798212956074</v>
      </c>
      <c r="Q283" s="20" t="s">
        <v>313</v>
      </c>
      <c r="R283" s="43">
        <f>Aggregate!BV37</f>
        <v>54.806470588235292</v>
      </c>
    </row>
    <row r="284" spans="1:18" ht="14.25" customHeight="1" x14ac:dyDescent="0.3">
      <c r="A284">
        <v>283</v>
      </c>
      <c r="B284">
        <v>9</v>
      </c>
      <c r="C284" t="s">
        <v>934</v>
      </c>
      <c r="D284" t="s">
        <v>523</v>
      </c>
      <c r="E284" t="s">
        <v>228</v>
      </c>
      <c r="F284">
        <v>13</v>
      </c>
      <c r="G284" t="s">
        <v>1026</v>
      </c>
      <c r="H284" t="s">
        <v>1033</v>
      </c>
      <c r="I284" t="s">
        <v>1029</v>
      </c>
      <c r="J284" t="s">
        <v>1035</v>
      </c>
      <c r="K284">
        <v>283</v>
      </c>
      <c r="L284" t="str">
        <f t="shared" si="8"/>
        <v>Mason Taylor</v>
      </c>
      <c r="M284" s="69">
        <f>IFERROR(VLOOKUP(E284,RISK!A:B,2,FALSE()),"")</f>
        <v>3</v>
      </c>
      <c r="N284" s="43">
        <f t="shared" si="9"/>
        <v>57.80411764705881</v>
      </c>
      <c r="Q284" s="20" t="s">
        <v>256</v>
      </c>
      <c r="R284" s="43">
        <f>Aggregate!BV38</f>
        <v>53.582941176470591</v>
      </c>
    </row>
    <row r="285" spans="1:18" ht="14.25" customHeight="1" x14ac:dyDescent="0.3">
      <c r="A285">
        <v>284</v>
      </c>
      <c r="B285">
        <v>9</v>
      </c>
      <c r="C285" t="s">
        <v>1101</v>
      </c>
      <c r="D285" t="s">
        <v>509</v>
      </c>
      <c r="E285" t="s">
        <v>1102</v>
      </c>
      <c r="F285">
        <v>6</v>
      </c>
      <c r="G285" t="s">
        <v>1035</v>
      </c>
      <c r="H285" t="s">
        <v>1035</v>
      </c>
      <c r="I285" t="s">
        <v>1028</v>
      </c>
      <c r="J285">
        <v>-77</v>
      </c>
      <c r="K285">
        <v>284</v>
      </c>
      <c r="L285" t="str">
        <f t="shared" si="8"/>
        <v>Will Reichard</v>
      </c>
      <c r="M285" s="69" t="str">
        <f>IFERROR(VLOOKUP(E285,RISK!A:B,2,FALSE()),"")</f>
        <v/>
      </c>
      <c r="N285" s="43" t="e">
        <f t="shared" si="9"/>
        <v>#N/A</v>
      </c>
      <c r="Q285" s="20" t="s">
        <v>319</v>
      </c>
      <c r="R285" s="43">
        <f>Aggregate!BV39</f>
        <v>49.468823529411765</v>
      </c>
    </row>
    <row r="286" spans="1:18" ht="14.25" customHeight="1" x14ac:dyDescent="0.3">
      <c r="A286">
        <v>285</v>
      </c>
      <c r="B286">
        <v>9</v>
      </c>
      <c r="C286" t="s">
        <v>818</v>
      </c>
      <c r="D286" t="s">
        <v>499</v>
      </c>
      <c r="E286" t="s">
        <v>1105</v>
      </c>
      <c r="F286">
        <v>10</v>
      </c>
      <c r="G286" t="s">
        <v>1034</v>
      </c>
      <c r="H286" t="s">
        <v>1033</v>
      </c>
      <c r="I286" t="s">
        <v>1028</v>
      </c>
      <c r="J286" t="s">
        <v>1035</v>
      </c>
      <c r="K286">
        <v>285</v>
      </c>
      <c r="L286" t="str">
        <f t="shared" si="8"/>
        <v>Marvin Mims Jr.</v>
      </c>
      <c r="M286" s="69">
        <f>IFERROR(VLOOKUP(E286,RISK!A:B,2,FALSE()),"")</f>
        <v>3.848101265822784</v>
      </c>
      <c r="N286" s="43" t="e">
        <f t="shared" si="9"/>
        <v>#N/A</v>
      </c>
      <c r="Q286" s="20" t="s">
        <v>285</v>
      </c>
      <c r="R286" s="43">
        <f>Aggregate!BV40</f>
        <v>47.855294117647055</v>
      </c>
    </row>
    <row r="287" spans="1:18" ht="14.25" customHeight="1" x14ac:dyDescent="0.3">
      <c r="A287">
        <v>286</v>
      </c>
      <c r="B287">
        <v>9</v>
      </c>
      <c r="C287" t="s">
        <v>671</v>
      </c>
      <c r="D287" t="s">
        <v>493</v>
      </c>
      <c r="E287" t="s">
        <v>282</v>
      </c>
      <c r="F287">
        <v>5</v>
      </c>
      <c r="G287" t="s">
        <v>1035</v>
      </c>
      <c r="H287" t="s">
        <v>1035</v>
      </c>
      <c r="I287" t="s">
        <v>1032</v>
      </c>
      <c r="J287">
        <v>37</v>
      </c>
      <c r="K287">
        <v>286</v>
      </c>
      <c r="L287" t="str">
        <f t="shared" si="8"/>
        <v>Brashard Smith</v>
      </c>
      <c r="M287" s="69">
        <f>IFERROR(VLOOKUP(E287,RISK!A:B,2,FALSE()),"")</f>
        <v>4</v>
      </c>
      <c r="N287" s="43">
        <f t="shared" si="9"/>
        <v>17.374117647058824</v>
      </c>
      <c r="Q287" s="20" t="s">
        <v>251</v>
      </c>
      <c r="R287" s="43">
        <f>Aggregate!BV41</f>
        <v>45.15588235294117</v>
      </c>
    </row>
    <row r="288" spans="1:18" ht="14.25" customHeight="1" x14ac:dyDescent="0.3">
      <c r="A288">
        <v>287</v>
      </c>
      <c r="B288">
        <v>9</v>
      </c>
      <c r="C288" t="s">
        <v>836</v>
      </c>
      <c r="D288" t="s">
        <v>493</v>
      </c>
      <c r="E288" t="s">
        <v>1108</v>
      </c>
      <c r="F288">
        <v>5</v>
      </c>
      <c r="G288" t="s">
        <v>1033</v>
      </c>
      <c r="H288" t="s">
        <v>1033</v>
      </c>
      <c r="I288" t="s">
        <v>1028</v>
      </c>
      <c r="J288">
        <v>-68</v>
      </c>
      <c r="K288">
        <v>287</v>
      </c>
      <c r="L288" t="str">
        <f t="shared" si="8"/>
        <v>Cyrus Allen</v>
      </c>
      <c r="M288" s="69">
        <f>IFERROR(VLOOKUP(E288,RISK!A:B,2,FALSE()),"")</f>
        <v>3.848101265822784</v>
      </c>
      <c r="N288" s="43" t="e">
        <f t="shared" si="9"/>
        <v>#N/A</v>
      </c>
      <c r="Q288" s="20" t="s">
        <v>330</v>
      </c>
      <c r="R288" s="43">
        <f>Aggregate!BV42</f>
        <v>44.2</v>
      </c>
    </row>
    <row r="289" spans="1:18" ht="14.25" customHeight="1" x14ac:dyDescent="0.3">
      <c r="A289">
        <v>288</v>
      </c>
      <c r="B289">
        <v>9</v>
      </c>
      <c r="C289" t="s">
        <v>853</v>
      </c>
      <c r="D289" t="s">
        <v>477</v>
      </c>
      <c r="E289" t="s">
        <v>1109</v>
      </c>
      <c r="F289">
        <v>11</v>
      </c>
      <c r="G289" t="s">
        <v>1034</v>
      </c>
      <c r="H289" t="s">
        <v>1033</v>
      </c>
      <c r="I289" t="s">
        <v>1028</v>
      </c>
      <c r="J289" t="s">
        <v>1035</v>
      </c>
      <c r="K289">
        <v>288</v>
      </c>
      <c r="L289" t="str">
        <f t="shared" si="8"/>
        <v>Kyle Williams</v>
      </c>
      <c r="M289" s="69">
        <f>IFERROR(VLOOKUP(E289,RISK!A:B,2,FALSE()),"")</f>
        <v>3.848101265822784</v>
      </c>
      <c r="N289" s="43" t="e">
        <f t="shared" si="9"/>
        <v>#N/A</v>
      </c>
      <c r="Q289" s="20" t="s">
        <v>281</v>
      </c>
      <c r="R289" s="43">
        <f>Aggregate!BV43</f>
        <v>43.297647058823529</v>
      </c>
    </row>
    <row r="290" spans="1:18" ht="14.25" customHeight="1" x14ac:dyDescent="0.3">
      <c r="A290">
        <v>289</v>
      </c>
      <c r="B290">
        <v>9</v>
      </c>
      <c r="C290" t="s">
        <v>1103</v>
      </c>
      <c r="D290" t="s">
        <v>487</v>
      </c>
      <c r="E290" t="s">
        <v>1104</v>
      </c>
      <c r="F290">
        <v>8</v>
      </c>
      <c r="G290" t="s">
        <v>1035</v>
      </c>
      <c r="H290" t="s">
        <v>1035</v>
      </c>
      <c r="I290" t="s">
        <v>1032</v>
      </c>
      <c r="J290">
        <v>-77</v>
      </c>
      <c r="K290">
        <v>289</v>
      </c>
      <c r="L290" t="str">
        <f t="shared" si="8"/>
        <v>San Francisco 49ers</v>
      </c>
      <c r="M290" s="69" t="str">
        <f>IFERROR(VLOOKUP(E290,RISK!A:B,2,FALSE()),"")</f>
        <v/>
      </c>
      <c r="N290" s="43" t="e">
        <f t="shared" si="9"/>
        <v>#N/A</v>
      </c>
      <c r="Q290" s="20" t="s">
        <v>312</v>
      </c>
      <c r="R290" s="43">
        <f>Aggregate!BV44</f>
        <v>40.972941176470592</v>
      </c>
    </row>
    <row r="291" spans="1:18" ht="14.25" customHeight="1" x14ac:dyDescent="0.3">
      <c r="A291">
        <v>290</v>
      </c>
      <c r="B291">
        <v>9</v>
      </c>
      <c r="C291" t="s">
        <v>1106</v>
      </c>
      <c r="D291" t="s">
        <v>533</v>
      </c>
      <c r="E291" t="s">
        <v>1107</v>
      </c>
      <c r="F291">
        <v>11</v>
      </c>
      <c r="G291" t="s">
        <v>1035</v>
      </c>
      <c r="H291" t="s">
        <v>1035</v>
      </c>
      <c r="I291" t="s">
        <v>1029</v>
      </c>
      <c r="J291" t="s">
        <v>1035</v>
      </c>
      <c r="K291">
        <v>290</v>
      </c>
      <c r="L291" t="str">
        <f t="shared" si="8"/>
        <v>Atlanta Falcons</v>
      </c>
      <c r="M291" s="69" t="str">
        <f>IFERROR(VLOOKUP(E291,RISK!A:B,2,FALSE()),"")</f>
        <v/>
      </c>
      <c r="N291" s="43" t="e">
        <f t="shared" si="9"/>
        <v>#N/A</v>
      </c>
      <c r="Q291" s="20" t="s">
        <v>302</v>
      </c>
      <c r="R291" s="43">
        <f>Aggregate!BV45</f>
        <v>35.887647058823532</v>
      </c>
    </row>
    <row r="292" spans="1:18" ht="14.25" customHeight="1" x14ac:dyDescent="0.3">
      <c r="A292">
        <v>291</v>
      </c>
      <c r="B292">
        <v>9</v>
      </c>
      <c r="C292" t="s">
        <v>644</v>
      </c>
      <c r="D292" t="s">
        <v>491</v>
      </c>
      <c r="E292" t="s">
        <v>333</v>
      </c>
      <c r="F292">
        <v>14</v>
      </c>
      <c r="G292" t="s">
        <v>1030</v>
      </c>
      <c r="H292" t="s">
        <v>1025</v>
      </c>
      <c r="I292" t="s">
        <v>1029</v>
      </c>
      <c r="J292">
        <v>27</v>
      </c>
      <c r="K292">
        <v>291</v>
      </c>
      <c r="L292" t="str">
        <f t="shared" si="8"/>
        <v>Emari Demercado</v>
      </c>
      <c r="M292" s="69">
        <f>IFERROR(VLOOKUP(E292,RISK!A:B,2,FALSE()),"")</f>
        <v>4</v>
      </c>
      <c r="N292" s="43">
        <f t="shared" si="9"/>
        <v>16.899999999999999</v>
      </c>
      <c r="Q292" s="20" t="s">
        <v>326</v>
      </c>
      <c r="R292" s="43">
        <f>Aggregate!BV46</f>
        <v>31.245882352941173</v>
      </c>
    </row>
    <row r="293" spans="1:18" ht="14.25" customHeight="1" x14ac:dyDescent="0.3">
      <c r="A293">
        <v>292</v>
      </c>
      <c r="B293">
        <v>9</v>
      </c>
      <c r="C293" t="s">
        <v>700</v>
      </c>
      <c r="D293" t="s">
        <v>485</v>
      </c>
      <c r="E293" t="s">
        <v>331</v>
      </c>
      <c r="F293">
        <v>8</v>
      </c>
      <c r="G293" t="s">
        <v>1026</v>
      </c>
      <c r="H293" t="s">
        <v>1025</v>
      </c>
      <c r="I293" t="s">
        <v>1029</v>
      </c>
      <c r="J293">
        <v>-28</v>
      </c>
      <c r="K293">
        <v>292</v>
      </c>
      <c r="L293" t="str">
        <f t="shared" si="8"/>
        <v>Devin Singletary</v>
      </c>
      <c r="M293" s="69">
        <f>IFERROR(VLOOKUP(E293,RISK!A:B,2,FALSE()),"")</f>
        <v>4</v>
      </c>
      <c r="N293" s="43">
        <f t="shared" si="9"/>
        <v>16.777647058823533</v>
      </c>
      <c r="Q293" s="20" t="s">
        <v>294</v>
      </c>
      <c r="R293" s="43">
        <f>Aggregate!BV47</f>
        <v>30.924705882352942</v>
      </c>
    </row>
    <row r="294" spans="1:18" ht="14.25" customHeight="1" x14ac:dyDescent="0.3">
      <c r="A294">
        <v>293</v>
      </c>
      <c r="B294">
        <v>9</v>
      </c>
      <c r="C294" t="s">
        <v>938</v>
      </c>
      <c r="D294" t="s">
        <v>485</v>
      </c>
      <c r="E294" t="s">
        <v>274</v>
      </c>
      <c r="F294">
        <v>8</v>
      </c>
      <c r="G294" t="s">
        <v>1030</v>
      </c>
      <c r="H294" t="s">
        <v>1033</v>
      </c>
      <c r="I294" t="s">
        <v>1032</v>
      </c>
      <c r="J294">
        <v>14</v>
      </c>
      <c r="K294">
        <v>293</v>
      </c>
      <c r="L294" t="str">
        <f t="shared" si="8"/>
        <v>Theo Johnson</v>
      </c>
      <c r="M294" s="69">
        <f>IFERROR(VLOOKUP(E294,RISK!A:B,2,FALSE()),"")</f>
        <v>3</v>
      </c>
      <c r="N294" s="43">
        <f t="shared" si="9"/>
        <v>56.374117647058817</v>
      </c>
      <c r="Q294" s="20" t="s">
        <v>325</v>
      </c>
      <c r="R294" s="43">
        <f>Aggregate!BV48</f>
        <v>29.930588235294117</v>
      </c>
    </row>
    <row r="295" spans="1:18" ht="14.25" customHeight="1" x14ac:dyDescent="0.3">
      <c r="A295">
        <v>294</v>
      </c>
      <c r="B295">
        <v>9</v>
      </c>
      <c r="C295" t="s">
        <v>646</v>
      </c>
      <c r="D295" t="s">
        <v>475</v>
      </c>
      <c r="E295" t="s">
        <v>332</v>
      </c>
      <c r="F295">
        <v>13</v>
      </c>
      <c r="G295" t="s">
        <v>1034</v>
      </c>
      <c r="H295" t="s">
        <v>1025</v>
      </c>
      <c r="I295" t="s">
        <v>1032</v>
      </c>
      <c r="J295" t="s">
        <v>1035</v>
      </c>
      <c r="K295">
        <v>294</v>
      </c>
      <c r="L295" t="str">
        <f t="shared" si="8"/>
        <v>Adam Randall</v>
      </c>
      <c r="M295" s="69">
        <f>IFERROR(VLOOKUP(E295,RISK!A:B,2,FALSE()),"")</f>
        <v>4</v>
      </c>
      <c r="N295" s="43">
        <f t="shared" si="9"/>
        <v>13.772352941176472</v>
      </c>
      <c r="Q295" s="20" t="s">
        <v>316</v>
      </c>
      <c r="R295" s="43">
        <f>Aggregate!BV49</f>
        <v>29.624705882352934</v>
      </c>
    </row>
    <row r="296" spans="1:18" ht="14.25" customHeight="1" x14ac:dyDescent="0.3">
      <c r="A296">
        <v>295</v>
      </c>
      <c r="B296">
        <v>9</v>
      </c>
      <c r="C296" t="s">
        <v>850</v>
      </c>
      <c r="D296" t="s">
        <v>477</v>
      </c>
      <c r="E296" t="s">
        <v>1110</v>
      </c>
      <c r="F296">
        <v>11</v>
      </c>
      <c r="G296" t="s">
        <v>1035</v>
      </c>
      <c r="H296" t="s">
        <v>1035</v>
      </c>
      <c r="I296" t="s">
        <v>1028</v>
      </c>
      <c r="J296" t="s">
        <v>1035</v>
      </c>
      <c r="K296">
        <v>295</v>
      </c>
      <c r="L296" t="str">
        <f t="shared" si="8"/>
        <v>Mack Hollins</v>
      </c>
      <c r="M296" s="69">
        <f>IFERROR(VLOOKUP(E296,RISK!A:B,2,FALSE()),"")</f>
        <v>3.848101265822784</v>
      </c>
      <c r="N296" s="43" t="e">
        <f t="shared" si="9"/>
        <v>#N/A</v>
      </c>
      <c r="Q296" s="20" t="s">
        <v>305</v>
      </c>
      <c r="R296" s="43">
        <f>Aggregate!BV50</f>
        <v>22.74235294117647</v>
      </c>
    </row>
    <row r="297" spans="1:18" ht="14.25" customHeight="1" x14ac:dyDescent="0.3">
      <c r="A297">
        <v>296</v>
      </c>
      <c r="B297">
        <v>9</v>
      </c>
      <c r="C297" t="s">
        <v>1111</v>
      </c>
      <c r="D297" t="s">
        <v>505</v>
      </c>
      <c r="E297" t="s">
        <v>1112</v>
      </c>
      <c r="F297">
        <v>8</v>
      </c>
      <c r="G297" t="s">
        <v>1035</v>
      </c>
      <c r="H297" t="s">
        <v>1035</v>
      </c>
      <c r="I297" t="s">
        <v>1027</v>
      </c>
      <c r="J297" t="s">
        <v>1035</v>
      </c>
      <c r="K297">
        <v>296</v>
      </c>
      <c r="L297" t="str">
        <f t="shared" si="8"/>
        <v>New Orleans Saints</v>
      </c>
      <c r="M297" s="69" t="str">
        <f>IFERROR(VLOOKUP(E297,RISK!A:B,2,FALSE()),"")</f>
        <v/>
      </c>
      <c r="N297" s="43" t="e">
        <f t="shared" si="9"/>
        <v>#N/A</v>
      </c>
      <c r="Q297" s="20" t="s">
        <v>299</v>
      </c>
      <c r="R297" s="43">
        <f>Aggregate!BV51</f>
        <v>14.03235294117647</v>
      </c>
    </row>
    <row r="298" spans="1:18" ht="14.25" customHeight="1" x14ac:dyDescent="0.3">
      <c r="A298">
        <v>297</v>
      </c>
      <c r="B298">
        <v>9</v>
      </c>
      <c r="C298" t="s">
        <v>952</v>
      </c>
      <c r="D298" t="s">
        <v>481</v>
      </c>
      <c r="E298" t="s">
        <v>313</v>
      </c>
      <c r="F298">
        <v>10</v>
      </c>
      <c r="G298" t="s">
        <v>1033</v>
      </c>
      <c r="H298" t="s">
        <v>1033</v>
      </c>
      <c r="I298" t="s">
        <v>1029</v>
      </c>
      <c r="J298">
        <v>-7</v>
      </c>
      <c r="K298">
        <v>297</v>
      </c>
      <c r="L298" t="str">
        <f t="shared" si="8"/>
        <v>Eli Stowers</v>
      </c>
      <c r="M298" s="69">
        <f>IFERROR(VLOOKUP(E298,RISK!A:B,2,FALSE()),"")</f>
        <v>3</v>
      </c>
      <c r="N298" s="43">
        <f t="shared" si="9"/>
        <v>54.806470588235292</v>
      </c>
      <c r="Q298" s="20" t="s">
        <v>335</v>
      </c>
      <c r="R298" s="43">
        <f>Aggregate!BV52</f>
        <v>12.388235294117646</v>
      </c>
    </row>
    <row r="299" spans="1:18" ht="14.25" customHeight="1" x14ac:dyDescent="0.3">
      <c r="A299">
        <v>298</v>
      </c>
      <c r="B299">
        <v>9</v>
      </c>
      <c r="C299" t="s">
        <v>808</v>
      </c>
      <c r="D299" t="s">
        <v>481</v>
      </c>
      <c r="E299" t="s">
        <v>1113</v>
      </c>
      <c r="F299">
        <v>10</v>
      </c>
      <c r="G299" t="s">
        <v>1035</v>
      </c>
      <c r="H299" t="s">
        <v>1035</v>
      </c>
      <c r="I299" t="s">
        <v>1029</v>
      </c>
      <c r="J299" t="s">
        <v>1035</v>
      </c>
      <c r="K299">
        <v>298</v>
      </c>
      <c r="L299" t="str">
        <f t="shared" si="8"/>
        <v>Hollywood Brown</v>
      </c>
      <c r="M299" s="69">
        <f>IFERROR(VLOOKUP(E299,RISK!A:B,2,FALSE()),"")</f>
        <v>3.848101265822784</v>
      </c>
      <c r="N299" s="43" t="e">
        <f t="shared" si="9"/>
        <v>#N/A</v>
      </c>
    </row>
    <row r="300" spans="1:18" ht="14.25" customHeight="1" x14ac:dyDescent="0.3">
      <c r="A300">
        <v>299</v>
      </c>
      <c r="B300">
        <v>9</v>
      </c>
      <c r="C300" t="s">
        <v>651</v>
      </c>
      <c r="D300" t="s">
        <v>481</v>
      </c>
      <c r="E300" t="s">
        <v>287</v>
      </c>
      <c r="F300">
        <v>10</v>
      </c>
      <c r="G300" t="s">
        <v>1034</v>
      </c>
      <c r="H300" t="s">
        <v>1025</v>
      </c>
      <c r="I300" t="s">
        <v>1029</v>
      </c>
      <c r="J300">
        <v>-26</v>
      </c>
      <c r="K300">
        <v>299</v>
      </c>
      <c r="L300" t="str">
        <f t="shared" si="8"/>
        <v>Jaydon Blue</v>
      </c>
      <c r="M300" s="69">
        <f>IFERROR(VLOOKUP(E300,RISK!A:B,2,FALSE()),"")</f>
        <v>4</v>
      </c>
      <c r="N300" s="43">
        <f t="shared" si="9"/>
        <v>13.298235294117648</v>
      </c>
    </row>
    <row r="301" spans="1:18" ht="14.25" customHeight="1" x14ac:dyDescent="0.3">
      <c r="A301">
        <v>300</v>
      </c>
      <c r="B301">
        <v>9</v>
      </c>
      <c r="C301" t="s">
        <v>845</v>
      </c>
      <c r="D301" t="s">
        <v>535</v>
      </c>
      <c r="E301" t="s">
        <v>1114</v>
      </c>
      <c r="F301">
        <v>11</v>
      </c>
      <c r="G301" t="s">
        <v>1035</v>
      </c>
      <c r="H301" t="s">
        <v>1035</v>
      </c>
      <c r="I301" t="s">
        <v>1032</v>
      </c>
      <c r="J301" t="s">
        <v>1035</v>
      </c>
      <c r="K301">
        <v>300</v>
      </c>
      <c r="L301" t="str">
        <f t="shared" si="8"/>
        <v>Isaiah Bond</v>
      </c>
      <c r="M301" s="69">
        <f>IFERROR(VLOOKUP(E301,RISK!A:B,2,FALSE()),"")</f>
        <v>3.848101265822784</v>
      </c>
      <c r="N301" s="43" t="e">
        <f t="shared" si="9"/>
        <v>#N/A</v>
      </c>
    </row>
    <row r="302" spans="1:18" ht="14.25" customHeight="1" x14ac:dyDescent="0.3">
      <c r="A302">
        <v>301</v>
      </c>
      <c r="B302">
        <v>9</v>
      </c>
      <c r="C302" t="s">
        <v>847</v>
      </c>
      <c r="D302" t="s">
        <v>471</v>
      </c>
      <c r="E302" t="s">
        <v>1117</v>
      </c>
      <c r="F302">
        <v>7</v>
      </c>
      <c r="G302" t="s">
        <v>1035</v>
      </c>
      <c r="H302" t="s">
        <v>1035</v>
      </c>
      <c r="I302" t="s">
        <v>1029</v>
      </c>
      <c r="J302" t="s">
        <v>1035</v>
      </c>
      <c r="K302">
        <v>301</v>
      </c>
      <c r="L302" t="str">
        <f t="shared" si="8"/>
        <v>Skyler Bell</v>
      </c>
      <c r="M302" s="69">
        <f>IFERROR(VLOOKUP(E302,RISK!A:B,2,FALSE()),"")</f>
        <v>3.848101265822784</v>
      </c>
      <c r="N302" s="43" t="e">
        <f t="shared" si="9"/>
        <v>#N/A</v>
      </c>
    </row>
    <row r="303" spans="1:18" ht="14.25" customHeight="1" x14ac:dyDescent="0.3">
      <c r="A303">
        <v>302</v>
      </c>
      <c r="B303">
        <v>9</v>
      </c>
      <c r="C303" t="s">
        <v>684</v>
      </c>
      <c r="D303" t="s">
        <v>1124</v>
      </c>
      <c r="E303" t="s">
        <v>343</v>
      </c>
      <c r="F303" t="s">
        <v>1035</v>
      </c>
      <c r="G303" t="s">
        <v>1026</v>
      </c>
      <c r="H303" t="s">
        <v>1025</v>
      </c>
      <c r="I303" t="s">
        <v>1035</v>
      </c>
      <c r="J303" t="s">
        <v>1035</v>
      </c>
      <c r="K303">
        <v>302</v>
      </c>
      <c r="L303" t="str">
        <f t="shared" si="8"/>
        <v>Devin Neal</v>
      </c>
      <c r="M303" s="69">
        <f>IFERROR(VLOOKUP(E303,RISK!A:B,2,FALSE()),"")</f>
        <v>4</v>
      </c>
      <c r="N303" s="43">
        <f t="shared" si="9"/>
        <v>8.6411764705882348</v>
      </c>
    </row>
    <row r="304" spans="1:18" ht="14.25" customHeight="1" x14ac:dyDescent="0.3">
      <c r="A304">
        <v>303</v>
      </c>
      <c r="B304">
        <v>10</v>
      </c>
      <c r="C304" t="s">
        <v>689</v>
      </c>
      <c r="D304" t="s">
        <v>521</v>
      </c>
      <c r="E304" t="s">
        <v>339</v>
      </c>
      <c r="F304">
        <v>5</v>
      </c>
      <c r="G304" t="s">
        <v>1030</v>
      </c>
      <c r="H304" t="s">
        <v>1033</v>
      </c>
      <c r="I304" t="s">
        <v>1031</v>
      </c>
      <c r="J304" t="s">
        <v>1035</v>
      </c>
      <c r="K304">
        <v>303</v>
      </c>
      <c r="L304" t="str">
        <f t="shared" si="8"/>
        <v>Trevor Etienne</v>
      </c>
      <c r="M304" s="69">
        <f>IFERROR(VLOOKUP(E304,RISK!A:B,2,FALSE()),"")</f>
        <v>4</v>
      </c>
      <c r="N304" s="43">
        <f t="shared" si="9"/>
        <v>7.8382352941176467</v>
      </c>
    </row>
    <row r="305" spans="1:14" ht="14.25" customHeight="1" x14ac:dyDescent="0.3">
      <c r="A305">
        <v>304</v>
      </c>
      <c r="B305">
        <v>10</v>
      </c>
      <c r="C305" t="s">
        <v>683</v>
      </c>
      <c r="D305" t="s">
        <v>483</v>
      </c>
      <c r="E305" t="s">
        <v>341</v>
      </c>
      <c r="F305">
        <v>6</v>
      </c>
      <c r="G305" t="s">
        <v>1035</v>
      </c>
      <c r="H305" t="s">
        <v>1035</v>
      </c>
      <c r="I305" t="s">
        <v>1028</v>
      </c>
      <c r="J305" t="s">
        <v>1035</v>
      </c>
      <c r="K305">
        <v>304</v>
      </c>
      <c r="L305" t="str">
        <f t="shared" si="8"/>
        <v>Tahj Brooks</v>
      </c>
      <c r="M305" s="69">
        <f>IFERROR(VLOOKUP(E305,RISK!A:B,2,FALSE()),"")</f>
        <v>4</v>
      </c>
      <c r="N305" s="43">
        <f t="shared" si="9"/>
        <v>6.9205882352941179</v>
      </c>
    </row>
    <row r="306" spans="1:14" ht="14.25" customHeight="1" x14ac:dyDescent="0.3">
      <c r="A306">
        <v>305</v>
      </c>
      <c r="B306">
        <v>10</v>
      </c>
      <c r="C306" t="s">
        <v>932</v>
      </c>
      <c r="D306" t="s">
        <v>483</v>
      </c>
      <c r="E306" t="s">
        <v>256</v>
      </c>
      <c r="F306">
        <v>6</v>
      </c>
      <c r="G306" t="s">
        <v>1035</v>
      </c>
      <c r="H306" t="s">
        <v>1035</v>
      </c>
      <c r="I306" t="s">
        <v>1032</v>
      </c>
      <c r="J306">
        <v>-39</v>
      </c>
      <c r="K306">
        <v>305</v>
      </c>
      <c r="L306" t="str">
        <f t="shared" si="8"/>
        <v>Mike Gesicki</v>
      </c>
      <c r="M306" s="69">
        <f>IFERROR(VLOOKUP(E306,RISK!A:B,2,FALSE()),"")</f>
        <v>3</v>
      </c>
      <c r="N306" s="43">
        <f t="shared" si="9"/>
        <v>53.582941176470591</v>
      </c>
    </row>
    <row r="307" spans="1:14" ht="14.25" customHeight="1" x14ac:dyDescent="0.3">
      <c r="A307">
        <v>306</v>
      </c>
      <c r="B307">
        <v>10</v>
      </c>
      <c r="C307" t="s">
        <v>1121</v>
      </c>
      <c r="D307" t="s">
        <v>511</v>
      </c>
      <c r="E307" t="s">
        <v>1122</v>
      </c>
      <c r="F307">
        <v>13</v>
      </c>
      <c r="G307" t="s">
        <v>1035</v>
      </c>
      <c r="H307" t="s">
        <v>1035</v>
      </c>
      <c r="I307" t="s">
        <v>1027</v>
      </c>
      <c r="J307" t="s">
        <v>1035</v>
      </c>
      <c r="K307">
        <v>306</v>
      </c>
      <c r="L307" t="str">
        <f t="shared" si="8"/>
        <v>Indianapolis Colts</v>
      </c>
      <c r="M307" s="69" t="str">
        <f>IFERROR(VLOOKUP(E307,RISK!A:B,2,FALSE()),"")</f>
        <v/>
      </c>
      <c r="N307" s="43" t="e">
        <f t="shared" si="9"/>
        <v>#N/A</v>
      </c>
    </row>
    <row r="308" spans="1:14" ht="14.25" customHeight="1" x14ac:dyDescent="0.3">
      <c r="A308">
        <v>307</v>
      </c>
      <c r="B308">
        <v>10</v>
      </c>
      <c r="C308" t="s">
        <v>688</v>
      </c>
      <c r="D308" t="s">
        <v>487</v>
      </c>
      <c r="E308" t="s">
        <v>336</v>
      </c>
      <c r="F308">
        <v>8</v>
      </c>
      <c r="G308" t="s">
        <v>1035</v>
      </c>
      <c r="H308" t="s">
        <v>1035</v>
      </c>
      <c r="I308" t="s">
        <v>1028</v>
      </c>
      <c r="J308" t="s">
        <v>1035</v>
      </c>
      <c r="K308">
        <v>307</v>
      </c>
      <c r="L308" t="str">
        <f t="shared" si="8"/>
        <v>Isaac Guerendo</v>
      </c>
      <c r="M308" s="69">
        <f>IFERROR(VLOOKUP(E308,RISK!A:B,2,FALSE()),"")</f>
        <v>4</v>
      </c>
      <c r="N308" s="43">
        <f t="shared" si="9"/>
        <v>5.6970588235294128</v>
      </c>
    </row>
    <row r="309" spans="1:14" ht="14.25" customHeight="1" x14ac:dyDescent="0.3">
      <c r="A309">
        <v>308</v>
      </c>
      <c r="B309">
        <v>10</v>
      </c>
      <c r="C309" t="s">
        <v>702</v>
      </c>
      <c r="D309" t="s">
        <v>479</v>
      </c>
      <c r="E309" t="s">
        <v>340</v>
      </c>
      <c r="F309">
        <v>7</v>
      </c>
      <c r="G309" t="s">
        <v>1030</v>
      </c>
      <c r="H309" t="s">
        <v>1033</v>
      </c>
      <c r="I309" t="s">
        <v>1029</v>
      </c>
      <c r="J309" t="s">
        <v>1035</v>
      </c>
      <c r="K309">
        <v>308</v>
      </c>
      <c r="L309" t="str">
        <f t="shared" si="8"/>
        <v>Jerome Ford</v>
      </c>
      <c r="M309" s="69">
        <f>IFERROR(VLOOKUP(E309,RISK!A:B,2,FALSE()),"")</f>
        <v>4</v>
      </c>
      <c r="N309" s="43">
        <f t="shared" si="9"/>
        <v>0</v>
      </c>
    </row>
    <row r="310" spans="1:14" ht="14.25" customHeight="1" x14ac:dyDescent="0.3">
      <c r="A310">
        <v>309</v>
      </c>
      <c r="B310">
        <v>10</v>
      </c>
      <c r="C310" t="s">
        <v>706</v>
      </c>
      <c r="D310" t="s">
        <v>527</v>
      </c>
      <c r="E310" t="s">
        <v>344</v>
      </c>
      <c r="F310">
        <v>14</v>
      </c>
      <c r="G310" t="s">
        <v>1026</v>
      </c>
      <c r="H310" t="s">
        <v>1025</v>
      </c>
      <c r="I310" t="s">
        <v>1028</v>
      </c>
      <c r="J310">
        <v>1</v>
      </c>
      <c r="K310">
        <v>309</v>
      </c>
      <c r="L310" t="str">
        <f t="shared" si="8"/>
        <v>Trey Benson</v>
      </c>
      <c r="M310" s="69">
        <f>IFERROR(VLOOKUP(E310,RISK!A:B,2,FALSE()),"")</f>
        <v>4</v>
      </c>
      <c r="N310" s="43">
        <f t="shared" si="9"/>
        <v>0</v>
      </c>
    </row>
    <row r="311" spans="1:14" ht="14.25" customHeight="1" x14ac:dyDescent="0.3">
      <c r="A311">
        <v>310</v>
      </c>
      <c r="B311">
        <v>10</v>
      </c>
      <c r="C311" t="s">
        <v>676</v>
      </c>
      <c r="D311" t="s">
        <v>505</v>
      </c>
      <c r="E311" t="s">
        <v>334</v>
      </c>
      <c r="F311">
        <v>8</v>
      </c>
      <c r="G311" t="s">
        <v>1035</v>
      </c>
      <c r="H311" t="s">
        <v>1035</v>
      </c>
      <c r="I311" t="s">
        <v>1032</v>
      </c>
      <c r="J311" t="s">
        <v>1035</v>
      </c>
      <c r="K311">
        <v>310</v>
      </c>
      <c r="L311" t="str">
        <f t="shared" si="8"/>
        <v>Audric Estime</v>
      </c>
      <c r="M311" s="69">
        <f>IFERROR(VLOOKUP(E311,RISK!A:B,2,FALSE()),"")</f>
        <v>4</v>
      </c>
      <c r="N311" s="43">
        <f t="shared" si="9"/>
        <v>0</v>
      </c>
    </row>
    <row r="312" spans="1:14" ht="14.25" customHeight="1" x14ac:dyDescent="0.3">
      <c r="A312">
        <v>311</v>
      </c>
      <c r="B312">
        <v>10</v>
      </c>
      <c r="C312" t="s">
        <v>928</v>
      </c>
      <c r="D312" t="s">
        <v>521</v>
      </c>
      <c r="E312" t="s">
        <v>319</v>
      </c>
      <c r="F312">
        <v>5</v>
      </c>
      <c r="G312" t="s">
        <v>1035</v>
      </c>
      <c r="H312" t="s">
        <v>1035</v>
      </c>
      <c r="I312" t="s">
        <v>1028</v>
      </c>
      <c r="J312">
        <v>-11</v>
      </c>
      <c r="K312">
        <v>311</v>
      </c>
      <c r="L312" t="str">
        <f t="shared" si="8"/>
        <v>Darren Waller</v>
      </c>
      <c r="M312" s="69">
        <f>IFERROR(VLOOKUP(E312,RISK!A:B,2,FALSE()),"")</f>
        <v>3</v>
      </c>
      <c r="N312" s="43">
        <f t="shared" si="9"/>
        <v>49.468823529411765</v>
      </c>
    </row>
    <row r="313" spans="1:14" ht="14.25" customHeight="1" x14ac:dyDescent="0.3">
      <c r="A313">
        <v>312</v>
      </c>
      <c r="B313">
        <v>10</v>
      </c>
      <c r="C313" t="s">
        <v>677</v>
      </c>
      <c r="D313" t="s">
        <v>481</v>
      </c>
      <c r="E313" t="s">
        <v>345</v>
      </c>
      <c r="F313">
        <v>10</v>
      </c>
      <c r="G313" t="s">
        <v>1035</v>
      </c>
      <c r="H313" t="s">
        <v>1035</v>
      </c>
      <c r="I313" t="s">
        <v>1029</v>
      </c>
      <c r="J313" t="s">
        <v>1035</v>
      </c>
      <c r="K313">
        <v>312</v>
      </c>
      <c r="L313" t="str">
        <f t="shared" si="8"/>
        <v>Will Shipley</v>
      </c>
      <c r="M313" s="69">
        <f>IFERROR(VLOOKUP(E313,RISK!A:B,2,FALSE()),"")</f>
        <v>4</v>
      </c>
      <c r="N313" s="43">
        <f t="shared" si="9"/>
        <v>0</v>
      </c>
    </row>
    <row r="314" spans="1:14" ht="14.25" customHeight="1" x14ac:dyDescent="0.3">
      <c r="A314">
        <v>313</v>
      </c>
      <c r="B314">
        <v>10</v>
      </c>
      <c r="C314" t="s">
        <v>811</v>
      </c>
      <c r="D314" t="s">
        <v>483</v>
      </c>
      <c r="E314" t="s">
        <v>1120</v>
      </c>
      <c r="F314">
        <v>6</v>
      </c>
      <c r="G314" t="s">
        <v>1035</v>
      </c>
      <c r="H314" t="s">
        <v>1035</v>
      </c>
      <c r="I314" t="s">
        <v>1029</v>
      </c>
      <c r="J314" t="s">
        <v>1035</v>
      </c>
      <c r="K314">
        <v>313</v>
      </c>
      <c r="L314" t="str">
        <f t="shared" si="8"/>
        <v>Andrei Iosivas</v>
      </c>
      <c r="M314" s="69">
        <f>IFERROR(VLOOKUP(E314,RISK!A:B,2,FALSE()),"")</f>
        <v>3.848101265822784</v>
      </c>
      <c r="N314" s="43" t="e">
        <f t="shared" si="9"/>
        <v>#N/A</v>
      </c>
    </row>
    <row r="315" spans="1:14" ht="14.25" customHeight="1" x14ac:dyDescent="0.3">
      <c r="A315">
        <v>314</v>
      </c>
      <c r="B315">
        <v>10</v>
      </c>
      <c r="C315" t="s">
        <v>823</v>
      </c>
      <c r="D315" t="s">
        <v>477</v>
      </c>
      <c r="E315" t="s">
        <v>1125</v>
      </c>
      <c r="F315">
        <v>11</v>
      </c>
      <c r="G315" t="s">
        <v>1035</v>
      </c>
      <c r="H315" t="s">
        <v>1035</v>
      </c>
      <c r="I315" t="s">
        <v>1028</v>
      </c>
      <c r="J315">
        <v>6</v>
      </c>
      <c r="K315">
        <v>314</v>
      </c>
      <c r="L315" t="str">
        <f t="shared" si="8"/>
        <v>DeMario Douglas</v>
      </c>
      <c r="M315" s="69">
        <f>IFERROR(VLOOKUP(E315,RISK!A:B,2,FALSE()),"")</f>
        <v>3.848101265822784</v>
      </c>
      <c r="N315" s="43" t="e">
        <f t="shared" si="9"/>
        <v>#N/A</v>
      </c>
    </row>
    <row r="316" spans="1:14" ht="14.25" customHeight="1" x14ac:dyDescent="0.3">
      <c r="A316">
        <v>315</v>
      </c>
      <c r="B316">
        <v>10</v>
      </c>
      <c r="C316" t="s">
        <v>1119</v>
      </c>
      <c r="D316" t="s">
        <v>487</v>
      </c>
      <c r="E316" t="s">
        <v>1128</v>
      </c>
      <c r="F316">
        <v>8</v>
      </c>
      <c r="G316" t="s">
        <v>1030</v>
      </c>
      <c r="H316" t="s">
        <v>1025</v>
      </c>
      <c r="I316" t="s">
        <v>1028</v>
      </c>
      <c r="J316">
        <v>4</v>
      </c>
      <c r="K316">
        <v>315</v>
      </c>
      <c r="L316" t="str">
        <f t="shared" si="8"/>
        <v>Brandon Aiyuk</v>
      </c>
      <c r="M316" s="69">
        <f>IFERROR(VLOOKUP(E316,RISK!A:B,2,FALSE()),"")</f>
        <v>3.848101265822784</v>
      </c>
      <c r="N316" s="43" t="e">
        <f t="shared" si="9"/>
        <v>#N/A</v>
      </c>
    </row>
    <row r="317" spans="1:14" ht="14.25" customHeight="1" x14ac:dyDescent="0.3">
      <c r="A317">
        <v>316</v>
      </c>
      <c r="B317">
        <v>10</v>
      </c>
      <c r="C317" t="s">
        <v>674</v>
      </c>
      <c r="D317" t="s">
        <v>1124</v>
      </c>
      <c r="E317" t="s">
        <v>337</v>
      </c>
      <c r="F317" t="s">
        <v>1035</v>
      </c>
      <c r="G317" t="s">
        <v>1035</v>
      </c>
      <c r="H317" t="s">
        <v>1035</v>
      </c>
      <c r="I317" t="s">
        <v>1035</v>
      </c>
      <c r="J317" t="s">
        <v>1035</v>
      </c>
      <c r="K317">
        <v>316</v>
      </c>
      <c r="L317" t="str">
        <f t="shared" si="8"/>
        <v>Jarquez Hunter</v>
      </c>
      <c r="M317" s="69">
        <f>IFERROR(VLOOKUP(E317,RISK!A:B,2,FALSE()),"")</f>
        <v>4</v>
      </c>
      <c r="N317" s="43">
        <f t="shared" si="9"/>
        <v>0</v>
      </c>
    </row>
    <row r="318" spans="1:14" ht="14.25" customHeight="1" x14ac:dyDescent="0.3">
      <c r="A318">
        <v>317</v>
      </c>
      <c r="B318">
        <v>10</v>
      </c>
      <c r="C318" t="s">
        <v>1118</v>
      </c>
      <c r="D318" t="s">
        <v>535</v>
      </c>
      <c r="E318" t="s">
        <v>338</v>
      </c>
      <c r="F318">
        <v>11</v>
      </c>
      <c r="G318" t="s">
        <v>1035</v>
      </c>
      <c r="H318" t="s">
        <v>1035</v>
      </c>
      <c r="I318" t="s">
        <v>1032</v>
      </c>
      <c r="J318" t="s">
        <v>1035</v>
      </c>
      <c r="K318">
        <v>317</v>
      </c>
      <c r="L318" t="str">
        <f t="shared" si="8"/>
        <v>Jaleel McLaughlin</v>
      </c>
      <c r="M318" s="69">
        <f>IFERROR(VLOOKUP(E318,RISK!A:B,2,FALSE()),"")</f>
        <v>4</v>
      </c>
      <c r="N318" s="43">
        <f t="shared" si="9"/>
        <v>0</v>
      </c>
    </row>
    <row r="319" spans="1:14" ht="14.25" customHeight="1" x14ac:dyDescent="0.3">
      <c r="A319">
        <v>318</v>
      </c>
      <c r="B319">
        <v>10</v>
      </c>
      <c r="C319" t="s">
        <v>963</v>
      </c>
      <c r="D319" t="s">
        <v>487</v>
      </c>
      <c r="E319" t="s">
        <v>285</v>
      </c>
      <c r="F319">
        <v>8</v>
      </c>
      <c r="G319" t="s">
        <v>1035</v>
      </c>
      <c r="H319" t="s">
        <v>1035</v>
      </c>
      <c r="I319" t="s">
        <v>1032</v>
      </c>
      <c r="J319">
        <v>-32</v>
      </c>
      <c r="K319">
        <v>318</v>
      </c>
      <c r="L319" t="str">
        <f t="shared" si="8"/>
        <v>Jake Tonges</v>
      </c>
      <c r="M319" s="69">
        <f>IFERROR(VLOOKUP(E319,RISK!A:B,2,FALSE()),"")</f>
        <v>3</v>
      </c>
      <c r="N319" s="43">
        <f t="shared" si="9"/>
        <v>47.855294117647055</v>
      </c>
    </row>
    <row r="320" spans="1:14" ht="14.25" customHeight="1" x14ac:dyDescent="0.3">
      <c r="A320">
        <v>319</v>
      </c>
      <c r="B320">
        <v>10</v>
      </c>
      <c r="C320" t="s">
        <v>1126</v>
      </c>
      <c r="D320" t="s">
        <v>495</v>
      </c>
      <c r="E320" t="s">
        <v>1127</v>
      </c>
      <c r="F320">
        <v>10</v>
      </c>
      <c r="G320" t="s">
        <v>1035</v>
      </c>
      <c r="H320" t="s">
        <v>1035</v>
      </c>
      <c r="I320" t="s">
        <v>1028</v>
      </c>
      <c r="J320">
        <v>-108</v>
      </c>
      <c r="K320">
        <v>319</v>
      </c>
      <c r="L320" t="str">
        <f t="shared" si="8"/>
        <v>Chicago Bears</v>
      </c>
      <c r="M320" s="69" t="str">
        <f>IFERROR(VLOOKUP(E320,RISK!A:B,2,FALSE()),"")</f>
        <v/>
      </c>
      <c r="N320" s="43" t="e">
        <f t="shared" si="9"/>
        <v>#N/A</v>
      </c>
    </row>
    <row r="321" spans="1:14" ht="14.25" customHeight="1" x14ac:dyDescent="0.3">
      <c r="A321">
        <v>320</v>
      </c>
      <c r="B321">
        <v>10</v>
      </c>
      <c r="C321" t="s">
        <v>939</v>
      </c>
      <c r="D321" t="s">
        <v>529</v>
      </c>
      <c r="E321" t="s">
        <v>251</v>
      </c>
      <c r="F321">
        <v>9</v>
      </c>
      <c r="G321" t="s">
        <v>1035</v>
      </c>
      <c r="H321" t="s">
        <v>1035</v>
      </c>
      <c r="I321" t="s">
        <v>1028</v>
      </c>
      <c r="J321" t="s">
        <v>1035</v>
      </c>
      <c r="K321">
        <v>320</v>
      </c>
      <c r="L321" t="str">
        <f t="shared" si="8"/>
        <v>Darnell Washington</v>
      </c>
      <c r="M321" s="69">
        <f>IFERROR(VLOOKUP(E321,RISK!A:B,2,FALSE()),"")</f>
        <v>3</v>
      </c>
      <c r="N321" s="43">
        <f t="shared" si="9"/>
        <v>45.15588235294117</v>
      </c>
    </row>
    <row r="322" spans="1:14" ht="14.25" customHeight="1" x14ac:dyDescent="0.3">
      <c r="A322">
        <v>321</v>
      </c>
      <c r="B322">
        <v>10</v>
      </c>
      <c r="C322" t="s">
        <v>1129</v>
      </c>
      <c r="D322" t="s">
        <v>1124</v>
      </c>
      <c r="E322" t="s">
        <v>346</v>
      </c>
      <c r="F322" t="s">
        <v>1035</v>
      </c>
      <c r="G322" t="s">
        <v>1035</v>
      </c>
      <c r="H322" t="s">
        <v>1035</v>
      </c>
      <c r="I322" t="s">
        <v>1035</v>
      </c>
      <c r="J322" t="s">
        <v>1035</v>
      </c>
      <c r="K322">
        <v>321</v>
      </c>
      <c r="L322" t="str">
        <f t="shared" ref="L322:L385" si="10">C322</f>
        <v>Kareem Hunt</v>
      </c>
      <c r="M322" s="69">
        <f>IFERROR(VLOOKUP(E322,RISK!A:B,2,FALSE()),"")</f>
        <v>4</v>
      </c>
      <c r="N322" s="43">
        <f t="shared" si="9"/>
        <v>0</v>
      </c>
    </row>
    <row r="323" spans="1:14" ht="14.25" customHeight="1" x14ac:dyDescent="0.3">
      <c r="A323">
        <v>322</v>
      </c>
      <c r="B323">
        <v>10</v>
      </c>
      <c r="C323" t="s">
        <v>946</v>
      </c>
      <c r="D323" t="s">
        <v>497</v>
      </c>
      <c r="E323" t="s">
        <v>330</v>
      </c>
      <c r="F323">
        <v>7</v>
      </c>
      <c r="G323" t="s">
        <v>1035</v>
      </c>
      <c r="H323" t="s">
        <v>1035</v>
      </c>
      <c r="I323" t="s">
        <v>1029</v>
      </c>
      <c r="J323" t="s">
        <v>1035</v>
      </c>
      <c r="K323">
        <v>322</v>
      </c>
      <c r="L323" t="str">
        <f t="shared" si="10"/>
        <v>Charlie Kolar</v>
      </c>
      <c r="M323" s="69">
        <f>IFERROR(VLOOKUP(E323,RISK!A:B,2,FALSE()),"")</f>
        <v>3</v>
      </c>
      <c r="N323" s="43">
        <f t="shared" ref="N323:N386" si="11">VLOOKUP(E323,Q:R,2,FALSE)</f>
        <v>44.2</v>
      </c>
    </row>
    <row r="324" spans="1:14" ht="14.25" customHeight="1" x14ac:dyDescent="0.3">
      <c r="A324">
        <v>323</v>
      </c>
      <c r="B324">
        <v>10</v>
      </c>
      <c r="C324" t="s">
        <v>936</v>
      </c>
      <c r="D324" t="s">
        <v>531</v>
      </c>
      <c r="E324" t="s">
        <v>281</v>
      </c>
      <c r="F324">
        <v>13</v>
      </c>
      <c r="G324" t="s">
        <v>1035</v>
      </c>
      <c r="H324" t="s">
        <v>1035</v>
      </c>
      <c r="I324" t="s">
        <v>1032</v>
      </c>
      <c r="J324" t="s">
        <v>1035</v>
      </c>
      <c r="K324">
        <v>323</v>
      </c>
      <c r="L324" t="str">
        <f t="shared" si="10"/>
        <v>Michael Mayer</v>
      </c>
      <c r="M324" s="69">
        <f>IFERROR(VLOOKUP(E324,RISK!A:B,2,FALSE()),"")</f>
        <v>3</v>
      </c>
      <c r="N324" s="43">
        <f t="shared" si="11"/>
        <v>43.297647058823529</v>
      </c>
    </row>
    <row r="325" spans="1:14" ht="14.25" customHeight="1" x14ac:dyDescent="0.3">
      <c r="A325">
        <v>324</v>
      </c>
      <c r="B325">
        <v>10</v>
      </c>
      <c r="C325" t="s">
        <v>984</v>
      </c>
      <c r="D325" t="s">
        <v>505</v>
      </c>
      <c r="E325" t="s">
        <v>312</v>
      </c>
      <c r="F325">
        <v>8</v>
      </c>
      <c r="G325" t="s">
        <v>1033</v>
      </c>
      <c r="H325" t="s">
        <v>1033</v>
      </c>
      <c r="I325" t="s">
        <v>1028</v>
      </c>
      <c r="J325" t="s">
        <v>1035</v>
      </c>
      <c r="K325">
        <v>324</v>
      </c>
      <c r="L325" t="str">
        <f t="shared" si="10"/>
        <v>Oscar Delp</v>
      </c>
      <c r="M325" s="69">
        <f>IFERROR(VLOOKUP(E325,RISK!A:B,2,FALSE()),"")</f>
        <v>3</v>
      </c>
      <c r="N325" s="43">
        <f t="shared" si="11"/>
        <v>40.972941176470592</v>
      </c>
    </row>
    <row r="326" spans="1:14" ht="14.25" customHeight="1" x14ac:dyDescent="0.3">
      <c r="A326">
        <v>325</v>
      </c>
      <c r="B326">
        <v>10</v>
      </c>
      <c r="C326" t="s">
        <v>1123</v>
      </c>
      <c r="D326" t="s">
        <v>1124</v>
      </c>
      <c r="E326" t="s">
        <v>1130</v>
      </c>
      <c r="F326" t="s">
        <v>1035</v>
      </c>
      <c r="G326" t="s">
        <v>1026</v>
      </c>
      <c r="H326" t="s">
        <v>1025</v>
      </c>
      <c r="I326" t="s">
        <v>1035</v>
      </c>
      <c r="J326">
        <v>-120</v>
      </c>
      <c r="K326">
        <v>325</v>
      </c>
      <c r="L326" t="str">
        <f t="shared" si="10"/>
        <v>Tyreek Hill</v>
      </c>
      <c r="M326" s="69">
        <f>IFERROR(VLOOKUP(E326,RISK!A:B,2,FALSE()),"")</f>
        <v>3.848101265822784</v>
      </c>
      <c r="N326" s="43" t="e">
        <f t="shared" si="11"/>
        <v>#N/A</v>
      </c>
    </row>
    <row r="327" spans="1:14" ht="14.25" customHeight="1" x14ac:dyDescent="0.3">
      <c r="A327">
        <v>326</v>
      </c>
      <c r="B327">
        <v>10</v>
      </c>
      <c r="C327" t="s">
        <v>799</v>
      </c>
      <c r="D327" t="s">
        <v>533</v>
      </c>
      <c r="E327" t="s">
        <v>1132</v>
      </c>
      <c r="F327">
        <v>11</v>
      </c>
      <c r="G327" t="s">
        <v>1035</v>
      </c>
      <c r="H327" t="s">
        <v>1035</v>
      </c>
      <c r="I327" t="s">
        <v>1032</v>
      </c>
      <c r="J327">
        <v>-21</v>
      </c>
      <c r="K327">
        <v>326</v>
      </c>
      <c r="L327" t="str">
        <f t="shared" si="10"/>
        <v>Jahan Dotson</v>
      </c>
      <c r="M327" s="69">
        <f>IFERROR(VLOOKUP(E327,RISK!A:B,2,FALSE()),"")</f>
        <v>3.848101265822784</v>
      </c>
      <c r="N327" s="43" t="e">
        <f t="shared" si="11"/>
        <v>#N/A</v>
      </c>
    </row>
    <row r="328" spans="1:14" ht="14.25" customHeight="1" x14ac:dyDescent="0.3">
      <c r="A328">
        <v>327</v>
      </c>
      <c r="B328">
        <v>10</v>
      </c>
      <c r="C328" t="s">
        <v>1115</v>
      </c>
      <c r="D328" t="s">
        <v>505</v>
      </c>
      <c r="E328" t="s">
        <v>1116</v>
      </c>
      <c r="F328">
        <v>8</v>
      </c>
      <c r="G328" t="s">
        <v>1035</v>
      </c>
      <c r="H328" t="s">
        <v>1035</v>
      </c>
      <c r="I328" t="s">
        <v>1027</v>
      </c>
      <c r="J328" t="s">
        <v>1035</v>
      </c>
      <c r="K328">
        <v>327</v>
      </c>
      <c r="L328" t="str">
        <f t="shared" si="10"/>
        <v>Charlie Smyth</v>
      </c>
      <c r="M328" s="69" t="str">
        <f>IFERROR(VLOOKUP(E328,RISK!A:B,2,FALSE()),"")</f>
        <v/>
      </c>
      <c r="N328" s="43" t="e">
        <f t="shared" si="11"/>
        <v>#N/A</v>
      </c>
    </row>
    <row r="329" spans="1:14" ht="14.25" customHeight="1" x14ac:dyDescent="0.3">
      <c r="A329">
        <v>328</v>
      </c>
      <c r="B329">
        <v>10</v>
      </c>
      <c r="C329" t="s">
        <v>800</v>
      </c>
      <c r="D329" t="s">
        <v>519</v>
      </c>
      <c r="E329" t="s">
        <v>1133</v>
      </c>
      <c r="F329">
        <v>8</v>
      </c>
      <c r="G329" t="s">
        <v>1035</v>
      </c>
      <c r="H329" t="s">
        <v>1035</v>
      </c>
      <c r="I329" t="s">
        <v>1032</v>
      </c>
      <c r="J329" t="s">
        <v>1035</v>
      </c>
      <c r="K329">
        <v>328</v>
      </c>
      <c r="L329" t="str">
        <f t="shared" si="10"/>
        <v>Xavier Hutchinson</v>
      </c>
      <c r="M329" s="69">
        <f>IFERROR(VLOOKUP(E329,RISK!A:B,2,FALSE()),"")</f>
        <v>3.848101265822784</v>
      </c>
      <c r="N329" s="43" t="e">
        <f t="shared" si="11"/>
        <v>#N/A</v>
      </c>
    </row>
    <row r="330" spans="1:14" ht="14.25" customHeight="1" x14ac:dyDescent="0.3">
      <c r="A330">
        <v>329</v>
      </c>
      <c r="B330">
        <v>10</v>
      </c>
      <c r="C330" t="s">
        <v>839</v>
      </c>
      <c r="D330" t="s">
        <v>505</v>
      </c>
      <c r="E330" t="s">
        <v>1134</v>
      </c>
      <c r="F330">
        <v>8</v>
      </c>
      <c r="G330" t="s">
        <v>1035</v>
      </c>
      <c r="H330" t="s">
        <v>1035</v>
      </c>
      <c r="I330" t="s">
        <v>1032</v>
      </c>
      <c r="J330" t="s">
        <v>1035</v>
      </c>
      <c r="K330">
        <v>329</v>
      </c>
      <c r="L330" t="str">
        <f t="shared" si="10"/>
        <v>Bryce Lance</v>
      </c>
      <c r="M330" s="69">
        <f>IFERROR(VLOOKUP(E330,RISK!A:B,2,FALSE()),"")</f>
        <v>3.848101265822784</v>
      </c>
      <c r="N330" s="43" t="e">
        <f t="shared" si="11"/>
        <v>#N/A</v>
      </c>
    </row>
    <row r="331" spans="1:14" ht="14.25" customHeight="1" x14ac:dyDescent="0.3">
      <c r="A331">
        <v>330</v>
      </c>
      <c r="B331">
        <v>10</v>
      </c>
      <c r="C331" t="s">
        <v>540</v>
      </c>
      <c r="D331" t="s">
        <v>527</v>
      </c>
      <c r="E331" t="s">
        <v>398</v>
      </c>
      <c r="F331">
        <v>14</v>
      </c>
      <c r="G331" t="s">
        <v>1035</v>
      </c>
      <c r="H331" t="s">
        <v>1035</v>
      </c>
      <c r="I331" t="s">
        <v>1028</v>
      </c>
      <c r="J331" t="s">
        <v>1035</v>
      </c>
      <c r="K331">
        <v>330</v>
      </c>
      <c r="L331" t="str">
        <f t="shared" si="10"/>
        <v>Carson Beck</v>
      </c>
      <c r="M331" s="69">
        <f>IFERROR(VLOOKUP(E331,RISK!A:B,2,FALSE()),"")</f>
        <v>3.2</v>
      </c>
      <c r="N331" s="43">
        <f t="shared" si="11"/>
        <v>24.078564705882354</v>
      </c>
    </row>
    <row r="332" spans="1:14" ht="14.25" customHeight="1" x14ac:dyDescent="0.3">
      <c r="A332">
        <v>331</v>
      </c>
      <c r="B332">
        <v>10</v>
      </c>
      <c r="C332" t="s">
        <v>945</v>
      </c>
      <c r="D332" t="s">
        <v>517</v>
      </c>
      <c r="E332" t="s">
        <v>302</v>
      </c>
      <c r="F332">
        <v>11</v>
      </c>
      <c r="G332" t="s">
        <v>1035</v>
      </c>
      <c r="H332" t="s">
        <v>1035</v>
      </c>
      <c r="I332" t="s">
        <v>1032</v>
      </c>
      <c r="J332" t="s">
        <v>1035</v>
      </c>
      <c r="K332">
        <v>331</v>
      </c>
      <c r="L332" t="str">
        <f t="shared" si="10"/>
        <v>Elijah Arroyo</v>
      </c>
      <c r="M332" s="69">
        <f>IFERROR(VLOOKUP(E332,RISK!A:B,2,FALSE()),"")</f>
        <v>3</v>
      </c>
      <c r="N332" s="43">
        <f t="shared" si="11"/>
        <v>35.887647058823532</v>
      </c>
    </row>
    <row r="333" spans="1:14" ht="14.25" customHeight="1" x14ac:dyDescent="0.3">
      <c r="A333">
        <v>332</v>
      </c>
      <c r="B333">
        <v>10</v>
      </c>
      <c r="C333" t="s">
        <v>806</v>
      </c>
      <c r="D333" t="s">
        <v>513</v>
      </c>
      <c r="E333" t="s">
        <v>1135</v>
      </c>
      <c r="F333">
        <v>6</v>
      </c>
      <c r="G333" t="s">
        <v>1035</v>
      </c>
      <c r="H333" t="s">
        <v>1035</v>
      </c>
      <c r="I333" t="s">
        <v>1032</v>
      </c>
      <c r="J333">
        <v>-24</v>
      </c>
      <c r="K333">
        <v>332</v>
      </c>
      <c r="L333" t="str">
        <f t="shared" si="10"/>
        <v>Jalen Tolbert</v>
      </c>
      <c r="M333" s="69">
        <f>IFERROR(VLOOKUP(E333,RISK!A:B,2,FALSE()),"")</f>
        <v>3.848101265822784</v>
      </c>
      <c r="N333" s="43" t="e">
        <f t="shared" si="11"/>
        <v>#N/A</v>
      </c>
    </row>
    <row r="334" spans="1:14" ht="14.25" customHeight="1" x14ac:dyDescent="0.3">
      <c r="A334">
        <v>333</v>
      </c>
      <c r="B334">
        <v>10</v>
      </c>
      <c r="C334" t="s">
        <v>956</v>
      </c>
      <c r="D334" t="s">
        <v>477</v>
      </c>
      <c r="E334" t="s">
        <v>326</v>
      </c>
      <c r="F334">
        <v>11</v>
      </c>
      <c r="G334" t="s">
        <v>1035</v>
      </c>
      <c r="H334" t="s">
        <v>1035</v>
      </c>
      <c r="I334" t="s">
        <v>1029</v>
      </c>
      <c r="J334" t="s">
        <v>1035</v>
      </c>
      <c r="K334">
        <v>333</v>
      </c>
      <c r="L334" t="str">
        <f t="shared" si="10"/>
        <v>Eli Raridon</v>
      </c>
      <c r="M334" s="69">
        <f>IFERROR(VLOOKUP(E334,RISK!A:B,2,FALSE()),"")</f>
        <v>3</v>
      </c>
      <c r="N334" s="43">
        <f t="shared" si="11"/>
        <v>31.245882352941173</v>
      </c>
    </row>
    <row r="335" spans="1:14" ht="14.25" customHeight="1" x14ac:dyDescent="0.3">
      <c r="A335">
        <v>334</v>
      </c>
      <c r="B335">
        <v>10</v>
      </c>
      <c r="C335" t="s">
        <v>937</v>
      </c>
      <c r="D335" t="s">
        <v>471</v>
      </c>
      <c r="E335" t="s">
        <v>294</v>
      </c>
      <c r="F335">
        <v>7</v>
      </c>
      <c r="G335" t="s">
        <v>1035</v>
      </c>
      <c r="H335" t="s">
        <v>1035</v>
      </c>
      <c r="I335" t="s">
        <v>1032</v>
      </c>
      <c r="J335" t="s">
        <v>1035</v>
      </c>
      <c r="K335">
        <v>334</v>
      </c>
      <c r="L335" t="str">
        <f t="shared" si="10"/>
        <v>Dawson Knox</v>
      </c>
      <c r="M335" s="69">
        <f>IFERROR(VLOOKUP(E335,RISK!A:B,2,FALSE()),"")</f>
        <v>3</v>
      </c>
      <c r="N335" s="43">
        <f t="shared" si="11"/>
        <v>30.924705882352942</v>
      </c>
    </row>
    <row r="336" spans="1:14" ht="14.25" customHeight="1" x14ac:dyDescent="0.3">
      <c r="A336">
        <v>335</v>
      </c>
      <c r="B336">
        <v>10</v>
      </c>
      <c r="C336" t="s">
        <v>705</v>
      </c>
      <c r="D336" t="s">
        <v>527</v>
      </c>
      <c r="E336" t="s">
        <v>347</v>
      </c>
      <c r="F336">
        <v>14</v>
      </c>
      <c r="G336" t="s">
        <v>1035</v>
      </c>
      <c r="H336" t="s">
        <v>1035</v>
      </c>
      <c r="I336" t="s">
        <v>1028</v>
      </c>
      <c r="J336" t="s">
        <v>1035</v>
      </c>
      <c r="K336">
        <v>335</v>
      </c>
      <c r="L336" t="str">
        <f t="shared" si="10"/>
        <v>Bam Knight</v>
      </c>
      <c r="M336" s="69">
        <f>IFERROR(VLOOKUP(E336,RISK!A:B,2,FALSE()),"")</f>
        <v>4</v>
      </c>
      <c r="N336" s="43">
        <f t="shared" si="11"/>
        <v>0</v>
      </c>
    </row>
    <row r="337" spans="1:14" ht="14.25" customHeight="1" x14ac:dyDescent="0.3">
      <c r="A337">
        <v>336</v>
      </c>
      <c r="B337">
        <v>10</v>
      </c>
      <c r="C337" t="s">
        <v>942</v>
      </c>
      <c r="D337" t="s">
        <v>483</v>
      </c>
      <c r="E337" t="s">
        <v>325</v>
      </c>
      <c r="F337">
        <v>6</v>
      </c>
      <c r="G337" t="s">
        <v>1035</v>
      </c>
      <c r="H337" t="s">
        <v>1035</v>
      </c>
      <c r="I337" t="s">
        <v>1032</v>
      </c>
      <c r="J337" t="s">
        <v>1035</v>
      </c>
      <c r="K337">
        <v>336</v>
      </c>
      <c r="L337" t="str">
        <f t="shared" si="10"/>
        <v>Erick All Jr.</v>
      </c>
      <c r="M337" s="69">
        <f>IFERROR(VLOOKUP(E337,RISK!A:B,2,FALSE()),"")</f>
        <v>3</v>
      </c>
      <c r="N337" s="43">
        <f t="shared" si="11"/>
        <v>29.930588235294117</v>
      </c>
    </row>
    <row r="338" spans="1:14" ht="14.25" customHeight="1" x14ac:dyDescent="0.3">
      <c r="A338">
        <v>337</v>
      </c>
      <c r="B338">
        <v>10</v>
      </c>
      <c r="C338" t="s">
        <v>831</v>
      </c>
      <c r="D338" t="s">
        <v>527</v>
      </c>
      <c r="E338" t="s">
        <v>1138</v>
      </c>
      <c r="F338">
        <v>14</v>
      </c>
      <c r="G338" t="s">
        <v>1035</v>
      </c>
      <c r="H338" t="s">
        <v>1035</v>
      </c>
      <c r="I338" t="s">
        <v>1028</v>
      </c>
      <c r="J338" t="s">
        <v>1035</v>
      </c>
      <c r="K338">
        <v>337</v>
      </c>
      <c r="L338" t="str">
        <f t="shared" si="10"/>
        <v>Kendrick Bourne</v>
      </c>
      <c r="M338" s="69">
        <f>IFERROR(VLOOKUP(E338,RISK!A:B,2,FALSE()),"")</f>
        <v>3.848101265822784</v>
      </c>
      <c r="N338" s="43" t="e">
        <f t="shared" si="11"/>
        <v>#N/A</v>
      </c>
    </row>
    <row r="339" spans="1:14" ht="14.25" customHeight="1" x14ac:dyDescent="0.3">
      <c r="A339">
        <v>338</v>
      </c>
      <c r="B339">
        <v>10</v>
      </c>
      <c r="C339" t="s">
        <v>854</v>
      </c>
      <c r="D339" t="s">
        <v>507</v>
      </c>
      <c r="E339" t="s">
        <v>1139</v>
      </c>
      <c r="F339">
        <v>10</v>
      </c>
      <c r="G339" t="s">
        <v>1035</v>
      </c>
      <c r="H339" t="s">
        <v>1035</v>
      </c>
      <c r="I339" t="s">
        <v>1029</v>
      </c>
      <c r="J339" t="s">
        <v>1035</v>
      </c>
      <c r="K339">
        <v>338</v>
      </c>
      <c r="L339" t="str">
        <f t="shared" si="10"/>
        <v>Tez Johnson</v>
      </c>
      <c r="M339" s="69">
        <f>IFERROR(VLOOKUP(E339,RISK!A:B,2,FALSE()),"")</f>
        <v>3.848101265822784</v>
      </c>
      <c r="N339" s="43" t="e">
        <f t="shared" si="11"/>
        <v>#N/A</v>
      </c>
    </row>
    <row r="340" spans="1:14" ht="14.25" customHeight="1" x14ac:dyDescent="0.3">
      <c r="A340">
        <v>339</v>
      </c>
      <c r="B340">
        <v>10</v>
      </c>
      <c r="C340" t="s">
        <v>941</v>
      </c>
      <c r="D340" t="s">
        <v>495</v>
      </c>
      <c r="E340" t="s">
        <v>316</v>
      </c>
      <c r="F340">
        <v>10</v>
      </c>
      <c r="G340" t="s">
        <v>1035</v>
      </c>
      <c r="H340" t="s">
        <v>1035</v>
      </c>
      <c r="I340" t="s">
        <v>1028</v>
      </c>
      <c r="J340" t="s">
        <v>1035</v>
      </c>
      <c r="K340">
        <v>339</v>
      </c>
      <c r="L340" t="str">
        <f t="shared" si="10"/>
        <v>Cole Kmet</v>
      </c>
      <c r="M340" s="69">
        <f>IFERROR(VLOOKUP(E340,RISK!A:B,2,FALSE()),"")</f>
        <v>3</v>
      </c>
      <c r="N340" s="43">
        <f t="shared" si="11"/>
        <v>29.624705882352934</v>
      </c>
    </row>
    <row r="341" spans="1:14" ht="14.25" customHeight="1" x14ac:dyDescent="0.3">
      <c r="A341">
        <v>340</v>
      </c>
      <c r="B341">
        <v>10</v>
      </c>
      <c r="C341" t="s">
        <v>1131</v>
      </c>
      <c r="D341" t="s">
        <v>1124</v>
      </c>
      <c r="E341" t="s">
        <v>1147</v>
      </c>
      <c r="F341" t="s">
        <v>1035</v>
      </c>
      <c r="G341" t="s">
        <v>1035</v>
      </c>
      <c r="H341" t="s">
        <v>1035</v>
      </c>
      <c r="I341" t="s">
        <v>1035</v>
      </c>
      <c r="J341" t="s">
        <v>1035</v>
      </c>
      <c r="K341">
        <v>340</v>
      </c>
      <c r="L341" t="str">
        <f t="shared" si="10"/>
        <v>Joe Mixon</v>
      </c>
      <c r="M341" s="69">
        <f>IFERROR(VLOOKUP(E341,RISK!A:B,2,FALSE()),"")</f>
        <v>4</v>
      </c>
      <c r="N341" s="43" t="e">
        <f t="shared" si="11"/>
        <v>#N/A</v>
      </c>
    </row>
    <row r="342" spans="1:14" ht="14.25" customHeight="1" x14ac:dyDescent="0.3">
      <c r="A342">
        <v>341</v>
      </c>
      <c r="B342">
        <v>10</v>
      </c>
      <c r="C342" t="s">
        <v>1136</v>
      </c>
      <c r="D342" t="s">
        <v>491</v>
      </c>
      <c r="E342" t="s">
        <v>1137</v>
      </c>
      <c r="F342">
        <v>14</v>
      </c>
      <c r="G342" t="s">
        <v>1035</v>
      </c>
      <c r="H342" t="s">
        <v>1035</v>
      </c>
      <c r="I342" t="s">
        <v>1031</v>
      </c>
      <c r="J342">
        <v>-138</v>
      </c>
      <c r="K342">
        <v>341</v>
      </c>
      <c r="L342" t="str">
        <f t="shared" si="10"/>
        <v>Dallas Cowboys</v>
      </c>
      <c r="M342" s="69" t="str">
        <f>IFERROR(VLOOKUP(E342,RISK!A:B,2,FALSE()),"")</f>
        <v/>
      </c>
      <c r="N342" s="43" t="e">
        <f t="shared" si="11"/>
        <v>#N/A</v>
      </c>
    </row>
    <row r="343" spans="1:14" ht="14.25" customHeight="1" x14ac:dyDescent="0.3">
      <c r="A343">
        <v>342</v>
      </c>
      <c r="B343">
        <v>10</v>
      </c>
      <c r="C343" t="s">
        <v>849</v>
      </c>
      <c r="D343" t="s">
        <v>497</v>
      </c>
      <c r="E343" t="s">
        <v>1140</v>
      </c>
      <c r="F343">
        <v>7</v>
      </c>
      <c r="G343" t="s">
        <v>1035</v>
      </c>
      <c r="H343" t="s">
        <v>1035</v>
      </c>
      <c r="I343" t="s">
        <v>1028</v>
      </c>
      <c r="J343" t="s">
        <v>1035</v>
      </c>
      <c r="K343">
        <v>342</v>
      </c>
      <c r="L343" t="str">
        <f t="shared" si="10"/>
        <v>Brenen Thompson</v>
      </c>
      <c r="M343" s="69">
        <f>IFERROR(VLOOKUP(E343,RISK!A:B,2,FALSE()),"")</f>
        <v>3.848101265822784</v>
      </c>
      <c r="N343" s="43" t="e">
        <f t="shared" si="11"/>
        <v>#N/A</v>
      </c>
    </row>
    <row r="344" spans="1:14" ht="14.25" customHeight="1" x14ac:dyDescent="0.3">
      <c r="A344">
        <v>343</v>
      </c>
      <c r="B344">
        <v>10</v>
      </c>
      <c r="C344" t="s">
        <v>940</v>
      </c>
      <c r="D344" t="s">
        <v>501</v>
      </c>
      <c r="E344" t="s">
        <v>305</v>
      </c>
      <c r="F344">
        <v>11</v>
      </c>
      <c r="G344" t="s">
        <v>1035</v>
      </c>
      <c r="H344" t="s">
        <v>1035</v>
      </c>
      <c r="I344" t="s">
        <v>1029</v>
      </c>
      <c r="J344" t="s">
        <v>1035</v>
      </c>
      <c r="K344">
        <v>343</v>
      </c>
      <c r="L344" t="str">
        <f t="shared" si="10"/>
        <v>Tyler Higbee</v>
      </c>
      <c r="M344" s="69">
        <f>IFERROR(VLOOKUP(E344,RISK!A:B,2,FALSE()),"")</f>
        <v>3</v>
      </c>
      <c r="N344" s="43">
        <f t="shared" si="11"/>
        <v>22.74235294117647</v>
      </c>
    </row>
    <row r="345" spans="1:14" ht="14.25" customHeight="1" x14ac:dyDescent="0.3">
      <c r="A345">
        <v>344</v>
      </c>
      <c r="B345">
        <v>10</v>
      </c>
      <c r="C345" t="s">
        <v>707</v>
      </c>
      <c r="D345" t="s">
        <v>503</v>
      </c>
      <c r="E345" t="s">
        <v>1156</v>
      </c>
      <c r="F345">
        <v>6</v>
      </c>
      <c r="G345" t="s">
        <v>1035</v>
      </c>
      <c r="H345" t="s">
        <v>1035</v>
      </c>
      <c r="I345" t="s">
        <v>1027</v>
      </c>
      <c r="J345">
        <v>-42</v>
      </c>
      <c r="K345">
        <v>344</v>
      </c>
      <c r="L345" t="str">
        <f t="shared" si="10"/>
        <v>Jacob Saylors</v>
      </c>
      <c r="M345" s="69">
        <f>IFERROR(VLOOKUP(E345,RISK!A:B,2,FALSE()),"")</f>
        <v>4</v>
      </c>
      <c r="N345" s="43" t="e">
        <f t="shared" si="11"/>
        <v>#N/A</v>
      </c>
    </row>
    <row r="346" spans="1:14" ht="14.25" customHeight="1" x14ac:dyDescent="0.3">
      <c r="A346">
        <v>345</v>
      </c>
      <c r="B346">
        <v>10</v>
      </c>
      <c r="C346" t="s">
        <v>951</v>
      </c>
      <c r="D346" t="s">
        <v>493</v>
      </c>
      <c r="E346" t="s">
        <v>299</v>
      </c>
      <c r="F346">
        <v>5</v>
      </c>
      <c r="G346" t="s">
        <v>1035</v>
      </c>
      <c r="H346" t="s">
        <v>1035</v>
      </c>
      <c r="I346" t="s">
        <v>1029</v>
      </c>
      <c r="J346" t="s">
        <v>1035</v>
      </c>
      <c r="K346">
        <v>345</v>
      </c>
      <c r="L346" t="str">
        <f t="shared" si="10"/>
        <v>Noah Gray</v>
      </c>
      <c r="M346" s="69">
        <f>IFERROR(VLOOKUP(E346,RISK!A:B,2,FALSE()),"")</f>
        <v>3</v>
      </c>
      <c r="N346" s="43">
        <f t="shared" si="11"/>
        <v>14.03235294117647</v>
      </c>
    </row>
    <row r="347" spans="1:14" ht="14.25" customHeight="1" x14ac:dyDescent="0.3">
      <c r="A347">
        <v>346</v>
      </c>
      <c r="B347">
        <v>10</v>
      </c>
      <c r="C347" t="s">
        <v>1153</v>
      </c>
      <c r="D347" t="s">
        <v>481</v>
      </c>
      <c r="E347" t="s">
        <v>1154</v>
      </c>
      <c r="F347">
        <v>10</v>
      </c>
      <c r="G347" t="s">
        <v>1035</v>
      </c>
      <c r="H347" t="s">
        <v>1035</v>
      </c>
      <c r="I347" t="s">
        <v>1027</v>
      </c>
      <c r="J347">
        <v>-106</v>
      </c>
      <c r="K347">
        <v>346</v>
      </c>
      <c r="L347" t="str">
        <f t="shared" si="10"/>
        <v>Jake Elliott</v>
      </c>
      <c r="M347" s="69" t="str">
        <f>IFERROR(VLOOKUP(E347,RISK!A:B,2,FALSE()),"")</f>
        <v/>
      </c>
      <c r="N347" s="43" t="e">
        <f t="shared" si="11"/>
        <v>#N/A</v>
      </c>
    </row>
    <row r="348" spans="1:14" ht="14.25" customHeight="1" x14ac:dyDescent="0.3">
      <c r="A348">
        <v>347</v>
      </c>
      <c r="B348">
        <v>10</v>
      </c>
      <c r="C348" t="s">
        <v>816</v>
      </c>
      <c r="D348" t="s">
        <v>471</v>
      </c>
      <c r="E348" t="s">
        <v>1142</v>
      </c>
      <c r="F348">
        <v>7</v>
      </c>
      <c r="G348" t="s">
        <v>1035</v>
      </c>
      <c r="H348" t="s">
        <v>1035</v>
      </c>
      <c r="I348" t="s">
        <v>1029</v>
      </c>
      <c r="J348" t="s">
        <v>1035</v>
      </c>
      <c r="K348">
        <v>347</v>
      </c>
      <c r="L348" t="str">
        <f t="shared" si="10"/>
        <v>Joshua Palmer</v>
      </c>
      <c r="M348" s="69">
        <f>IFERROR(VLOOKUP(E348,RISK!A:B,2,FALSE()),"")</f>
        <v>3.848101265822784</v>
      </c>
      <c r="N348" s="43" t="e">
        <f t="shared" si="11"/>
        <v>#N/A</v>
      </c>
    </row>
    <row r="349" spans="1:14" ht="14.25" customHeight="1" x14ac:dyDescent="0.3">
      <c r="A349">
        <v>348</v>
      </c>
      <c r="B349">
        <v>10</v>
      </c>
      <c r="C349" t="s">
        <v>856</v>
      </c>
      <c r="D349" t="s">
        <v>493</v>
      </c>
      <c r="E349" t="s">
        <v>1143</v>
      </c>
      <c r="F349">
        <v>5</v>
      </c>
      <c r="G349" t="s">
        <v>1035</v>
      </c>
      <c r="H349" t="s">
        <v>1035</v>
      </c>
      <c r="I349" t="s">
        <v>1028</v>
      </c>
      <c r="J349" t="s">
        <v>1035</v>
      </c>
      <c r="K349">
        <v>348</v>
      </c>
      <c r="L349" t="str">
        <f t="shared" si="10"/>
        <v>Jalen Royals</v>
      </c>
      <c r="M349" s="69">
        <f>IFERROR(VLOOKUP(E349,RISK!A:B,2,FALSE()),"")</f>
        <v>3.848101265822784</v>
      </c>
      <c r="N349" s="43" t="e">
        <f t="shared" si="11"/>
        <v>#N/A</v>
      </c>
    </row>
    <row r="350" spans="1:14" ht="14.25" customHeight="1" x14ac:dyDescent="0.3">
      <c r="A350">
        <v>349</v>
      </c>
      <c r="B350">
        <v>10</v>
      </c>
      <c r="C350" t="s">
        <v>830</v>
      </c>
      <c r="D350" t="s">
        <v>479</v>
      </c>
      <c r="E350" t="s">
        <v>1144</v>
      </c>
      <c r="F350">
        <v>7</v>
      </c>
      <c r="G350" t="s">
        <v>1035</v>
      </c>
      <c r="H350" t="s">
        <v>1035</v>
      </c>
      <c r="I350" t="s">
        <v>1028</v>
      </c>
      <c r="J350" t="s">
        <v>1035</v>
      </c>
      <c r="K350">
        <v>349</v>
      </c>
      <c r="L350" t="str">
        <f t="shared" si="10"/>
        <v>Luke McCaffrey</v>
      </c>
      <c r="M350" s="69">
        <f>IFERROR(VLOOKUP(E350,RISK!A:B,2,FALSE()),"")</f>
        <v>3.848101265822784</v>
      </c>
      <c r="N350" s="43" t="e">
        <f t="shared" si="11"/>
        <v>#N/A</v>
      </c>
    </row>
    <row r="351" spans="1:14" ht="14.25" customHeight="1" x14ac:dyDescent="0.3">
      <c r="A351">
        <v>350</v>
      </c>
      <c r="B351">
        <v>11</v>
      </c>
      <c r="C351" t="s">
        <v>556</v>
      </c>
      <c r="D351" t="s">
        <v>487</v>
      </c>
      <c r="E351" t="s">
        <v>399</v>
      </c>
      <c r="F351">
        <v>8</v>
      </c>
      <c r="G351" t="s">
        <v>1035</v>
      </c>
      <c r="H351" t="s">
        <v>1035</v>
      </c>
      <c r="I351" t="s">
        <v>1031</v>
      </c>
      <c r="J351">
        <v>-68</v>
      </c>
      <c r="K351">
        <v>350</v>
      </c>
      <c r="L351" t="str">
        <f t="shared" si="10"/>
        <v>Mac Jones</v>
      </c>
      <c r="M351" s="69">
        <f>IFERROR(VLOOKUP(E351,RISK!A:B,2,FALSE()),"")</f>
        <v>3.2</v>
      </c>
      <c r="N351" s="43">
        <f t="shared" si="11"/>
        <v>15.262800000000002</v>
      </c>
    </row>
    <row r="352" spans="1:14" ht="14.25" customHeight="1" x14ac:dyDescent="0.3">
      <c r="A352">
        <v>351</v>
      </c>
      <c r="B352">
        <v>11</v>
      </c>
      <c r="C352" t="s">
        <v>810</v>
      </c>
      <c r="D352" t="s">
        <v>531</v>
      </c>
      <c r="E352" t="s">
        <v>1145</v>
      </c>
      <c r="F352">
        <v>13</v>
      </c>
      <c r="G352" t="s">
        <v>1035</v>
      </c>
      <c r="H352" t="s">
        <v>1035</v>
      </c>
      <c r="I352" t="s">
        <v>1028</v>
      </c>
      <c r="J352" t="s">
        <v>1035</v>
      </c>
      <c r="K352">
        <v>351</v>
      </c>
      <c r="L352" t="str">
        <f t="shared" si="10"/>
        <v>Malik Benson</v>
      </c>
      <c r="M352" s="69">
        <f>IFERROR(VLOOKUP(E352,RISK!A:B,2,FALSE()),"")</f>
        <v>3.848101265822784</v>
      </c>
      <c r="N352" s="43" t="e">
        <f t="shared" si="11"/>
        <v>#N/A</v>
      </c>
    </row>
    <row r="353" spans="1:14" ht="14.25" customHeight="1" x14ac:dyDescent="0.3">
      <c r="A353">
        <v>352</v>
      </c>
      <c r="B353">
        <v>11</v>
      </c>
      <c r="C353" t="s">
        <v>986</v>
      </c>
      <c r="D353" t="s">
        <v>501</v>
      </c>
      <c r="E353" t="s">
        <v>335</v>
      </c>
      <c r="F353">
        <v>11</v>
      </c>
      <c r="G353" t="s">
        <v>1035</v>
      </c>
      <c r="H353" t="s">
        <v>1035</v>
      </c>
      <c r="I353" t="s">
        <v>1029</v>
      </c>
      <c r="J353" t="s">
        <v>1035</v>
      </c>
      <c r="K353">
        <v>352</v>
      </c>
      <c r="L353" t="str">
        <f t="shared" si="10"/>
        <v>Max Klare</v>
      </c>
      <c r="M353" s="69">
        <f>IFERROR(VLOOKUP(E353,RISK!A:B,2,FALSE()),"")</f>
        <v>3</v>
      </c>
      <c r="N353" s="43">
        <f t="shared" si="11"/>
        <v>12.388235294117646</v>
      </c>
    </row>
    <row r="354" spans="1:14" ht="14.25" customHeight="1" x14ac:dyDescent="0.3">
      <c r="A354">
        <v>353</v>
      </c>
      <c r="B354">
        <v>11</v>
      </c>
      <c r="C354" t="s">
        <v>846</v>
      </c>
      <c r="D354" t="s">
        <v>501</v>
      </c>
      <c r="E354" t="s">
        <v>1146</v>
      </c>
      <c r="F354">
        <v>11</v>
      </c>
      <c r="G354" t="s">
        <v>1035</v>
      </c>
      <c r="H354" t="s">
        <v>1035</v>
      </c>
      <c r="I354" t="s">
        <v>1031</v>
      </c>
      <c r="J354" t="s">
        <v>1035</v>
      </c>
      <c r="K354">
        <v>353</v>
      </c>
      <c r="L354" t="str">
        <f t="shared" si="10"/>
        <v>Konata Mumpfield</v>
      </c>
      <c r="M354" s="69">
        <f>IFERROR(VLOOKUP(E354,RISK!A:B,2,FALSE()),"")</f>
        <v>3.848101265822784</v>
      </c>
      <c r="N354" s="43" t="e">
        <f t="shared" si="11"/>
        <v>#N/A</v>
      </c>
    </row>
    <row r="355" spans="1:14" ht="14.25" customHeight="1" x14ac:dyDescent="0.3">
      <c r="A355">
        <v>354</v>
      </c>
      <c r="B355">
        <v>11</v>
      </c>
      <c r="C355" t="s">
        <v>541</v>
      </c>
      <c r="D355" t="s">
        <v>509</v>
      </c>
      <c r="E355" t="s">
        <v>400</v>
      </c>
      <c r="F355">
        <v>6</v>
      </c>
      <c r="G355" t="s">
        <v>1035</v>
      </c>
      <c r="H355" t="s">
        <v>1035</v>
      </c>
      <c r="I355" t="s">
        <v>1027</v>
      </c>
      <c r="J355" t="s">
        <v>1035</v>
      </c>
      <c r="K355">
        <v>354</v>
      </c>
      <c r="L355" t="str">
        <f t="shared" si="10"/>
        <v>J.J. McCarthy</v>
      </c>
      <c r="M355" s="69">
        <f>IFERROR(VLOOKUP(E355,RISK!A:B,2,FALSE()),"")</f>
        <v>3.2</v>
      </c>
      <c r="N355" s="43">
        <f t="shared" si="11"/>
        <v>14.567929411764705</v>
      </c>
    </row>
    <row r="356" spans="1:14" ht="14.25" customHeight="1" x14ac:dyDescent="0.3">
      <c r="A356">
        <v>355</v>
      </c>
      <c r="B356">
        <v>11</v>
      </c>
      <c r="C356" t="s">
        <v>960</v>
      </c>
      <c r="D356" t="s">
        <v>521</v>
      </c>
      <c r="E356" t="s">
        <v>411</v>
      </c>
      <c r="F356">
        <v>5</v>
      </c>
      <c r="G356" t="s">
        <v>1035</v>
      </c>
      <c r="H356" t="s">
        <v>1035</v>
      </c>
      <c r="I356" t="s">
        <v>1028</v>
      </c>
      <c r="J356" t="s">
        <v>1035</v>
      </c>
      <c r="K356">
        <v>355</v>
      </c>
      <c r="L356" t="str">
        <f t="shared" si="10"/>
        <v>Ja'Tavion Sanders</v>
      </c>
      <c r="M356" s="69">
        <f>IFERROR(VLOOKUP(E356,RISK!A:B,2,FALSE()),"")</f>
        <v>2.2010999999999985</v>
      </c>
      <c r="N356" s="43" t="e">
        <f t="shared" si="11"/>
        <v>#N/A</v>
      </c>
    </row>
    <row r="357" spans="1:14" ht="14.25" customHeight="1" x14ac:dyDescent="0.3">
      <c r="A357">
        <v>356</v>
      </c>
      <c r="B357">
        <v>11</v>
      </c>
      <c r="C357" t="s">
        <v>820</v>
      </c>
      <c r="D357" t="s">
        <v>533</v>
      </c>
      <c r="E357" t="s">
        <v>1148</v>
      </c>
      <c r="F357">
        <v>11</v>
      </c>
      <c r="G357" t="s">
        <v>1035</v>
      </c>
      <c r="H357" t="s">
        <v>1035</v>
      </c>
      <c r="I357" t="s">
        <v>1032</v>
      </c>
      <c r="J357" t="s">
        <v>1035</v>
      </c>
      <c r="K357">
        <v>356</v>
      </c>
      <c r="L357" t="str">
        <f t="shared" si="10"/>
        <v>Olamide Zaccheaus</v>
      </c>
      <c r="M357" s="69">
        <f>IFERROR(VLOOKUP(E357,RISK!A:B,2,FALSE()),"")</f>
        <v>3.848101265822784</v>
      </c>
      <c r="N357" s="43" t="e">
        <f t="shared" si="11"/>
        <v>#N/A</v>
      </c>
    </row>
    <row r="358" spans="1:14" ht="14.25" customHeight="1" x14ac:dyDescent="0.3">
      <c r="A358">
        <v>357</v>
      </c>
      <c r="B358">
        <v>11</v>
      </c>
      <c r="C358" t="s">
        <v>544</v>
      </c>
      <c r="D358" t="s">
        <v>493</v>
      </c>
      <c r="E358" t="s">
        <v>401</v>
      </c>
      <c r="F358">
        <v>5</v>
      </c>
      <c r="G358" t="s">
        <v>1035</v>
      </c>
      <c r="H358" t="s">
        <v>1035</v>
      </c>
      <c r="I358" t="s">
        <v>1028</v>
      </c>
      <c r="J358" t="s">
        <v>1035</v>
      </c>
      <c r="K358">
        <v>357</v>
      </c>
      <c r="L358" t="str">
        <f t="shared" si="10"/>
        <v>Justin Fields</v>
      </c>
      <c r="M358" s="69">
        <f>IFERROR(VLOOKUP(E358,RISK!A:B,2,FALSE()),"")</f>
        <v>3.2</v>
      </c>
      <c r="N358" s="43">
        <f t="shared" si="11"/>
        <v>10.104847058823529</v>
      </c>
    </row>
    <row r="359" spans="1:14" ht="14.25" customHeight="1" x14ac:dyDescent="0.3">
      <c r="A359">
        <v>358</v>
      </c>
      <c r="B359">
        <v>11</v>
      </c>
      <c r="C359" t="s">
        <v>840</v>
      </c>
      <c r="D359" t="s">
        <v>495</v>
      </c>
      <c r="E359" t="s">
        <v>1149</v>
      </c>
      <c r="F359">
        <v>10</v>
      </c>
      <c r="G359" t="s">
        <v>1035</v>
      </c>
      <c r="H359" t="s">
        <v>1035</v>
      </c>
      <c r="I359" t="s">
        <v>1032</v>
      </c>
      <c r="J359">
        <v>-83</v>
      </c>
      <c r="K359">
        <v>358</v>
      </c>
      <c r="L359" t="str">
        <f t="shared" si="10"/>
        <v>Zavion Thomas</v>
      </c>
      <c r="M359" s="69">
        <f>IFERROR(VLOOKUP(E359,RISK!A:B,2,FALSE()),"")</f>
        <v>3.848101265822784</v>
      </c>
      <c r="N359" s="43" t="e">
        <f t="shared" si="11"/>
        <v>#N/A</v>
      </c>
    </row>
    <row r="360" spans="1:14" ht="14.25" customHeight="1" x14ac:dyDescent="0.3">
      <c r="A360">
        <v>359</v>
      </c>
      <c r="B360">
        <v>11</v>
      </c>
      <c r="C360" t="s">
        <v>833</v>
      </c>
      <c r="D360" t="s">
        <v>479</v>
      </c>
      <c r="E360" t="s">
        <v>1150</v>
      </c>
      <c r="F360">
        <v>7</v>
      </c>
      <c r="G360" t="s">
        <v>1035</v>
      </c>
      <c r="H360" t="s">
        <v>1035</v>
      </c>
      <c r="I360" t="s">
        <v>1028</v>
      </c>
      <c r="J360" t="s">
        <v>1035</v>
      </c>
      <c r="K360">
        <v>359</v>
      </c>
      <c r="L360" t="str">
        <f t="shared" si="10"/>
        <v>Treylon Burks</v>
      </c>
      <c r="M360" s="69">
        <f>IFERROR(VLOOKUP(E360,RISK!A:B,2,FALSE()),"")</f>
        <v>3.848101265822784</v>
      </c>
      <c r="N360" s="43" t="e">
        <f t="shared" si="11"/>
        <v>#N/A</v>
      </c>
    </row>
    <row r="361" spans="1:14" ht="14.25" customHeight="1" x14ac:dyDescent="0.3">
      <c r="A361">
        <v>360</v>
      </c>
      <c r="B361">
        <v>11</v>
      </c>
      <c r="C361" t="s">
        <v>848</v>
      </c>
      <c r="D361" t="s">
        <v>529</v>
      </c>
      <c r="E361" t="s">
        <v>1157</v>
      </c>
      <c r="F361">
        <v>9</v>
      </c>
      <c r="G361" t="s">
        <v>1035</v>
      </c>
      <c r="H361" t="s">
        <v>1035</v>
      </c>
      <c r="I361" t="s">
        <v>1032</v>
      </c>
      <c r="J361" t="s">
        <v>1035</v>
      </c>
      <c r="K361">
        <v>360</v>
      </c>
      <c r="L361" t="str">
        <f t="shared" si="10"/>
        <v>Roman Wilson</v>
      </c>
      <c r="M361" s="69">
        <f>IFERROR(VLOOKUP(E361,RISK!A:B,2,FALSE()),"")</f>
        <v>3.848101265822784</v>
      </c>
      <c r="N361" s="43" t="e">
        <f t="shared" si="11"/>
        <v>#N/A</v>
      </c>
    </row>
    <row r="362" spans="1:14" ht="14.25" customHeight="1" x14ac:dyDescent="0.3">
      <c r="A362">
        <v>361</v>
      </c>
      <c r="B362">
        <v>11</v>
      </c>
      <c r="C362" t="s">
        <v>664</v>
      </c>
      <c r="D362" t="s">
        <v>495</v>
      </c>
      <c r="E362" t="s">
        <v>1159</v>
      </c>
      <c r="F362">
        <v>10</v>
      </c>
      <c r="G362" t="s">
        <v>1035</v>
      </c>
      <c r="H362" t="s">
        <v>1035</v>
      </c>
      <c r="I362" t="s">
        <v>1028</v>
      </c>
      <c r="J362" t="s">
        <v>1035</v>
      </c>
      <c r="K362">
        <v>361</v>
      </c>
      <c r="L362" t="str">
        <f t="shared" si="10"/>
        <v>Roschon Johnson</v>
      </c>
      <c r="M362" s="69">
        <f>IFERROR(VLOOKUP(E362,RISK!A:B,2,FALSE()),"")</f>
        <v>4</v>
      </c>
      <c r="N362" s="43" t="e">
        <f t="shared" si="11"/>
        <v>#N/A</v>
      </c>
    </row>
    <row r="363" spans="1:14" ht="14.25" customHeight="1" x14ac:dyDescent="0.3">
      <c r="A363">
        <v>362</v>
      </c>
      <c r="B363">
        <v>11</v>
      </c>
      <c r="C363" t="s">
        <v>1155</v>
      </c>
      <c r="D363" t="s">
        <v>529</v>
      </c>
      <c r="E363" t="s">
        <v>1160</v>
      </c>
      <c r="F363">
        <v>9</v>
      </c>
      <c r="G363" t="s">
        <v>1035</v>
      </c>
      <c r="H363" t="s">
        <v>1035</v>
      </c>
      <c r="I363" t="s">
        <v>1028</v>
      </c>
      <c r="J363" t="s">
        <v>1035</v>
      </c>
      <c r="K363">
        <v>362</v>
      </c>
      <c r="L363" t="str">
        <f t="shared" si="10"/>
        <v>Eli Heidenreich</v>
      </c>
      <c r="M363" s="69">
        <f>IFERROR(VLOOKUP(E363,RISK!A:B,2,FALSE()),"")</f>
        <v>4</v>
      </c>
      <c r="N363" s="43" t="e">
        <f t="shared" si="11"/>
        <v>#N/A</v>
      </c>
    </row>
    <row r="364" spans="1:14" ht="14.25" customHeight="1" x14ac:dyDescent="0.3">
      <c r="A364">
        <v>363</v>
      </c>
      <c r="B364">
        <v>11</v>
      </c>
      <c r="C364" t="s">
        <v>539</v>
      </c>
      <c r="D364" t="s">
        <v>501</v>
      </c>
      <c r="E364" t="s">
        <v>402</v>
      </c>
      <c r="F364">
        <v>11</v>
      </c>
      <c r="G364" t="s">
        <v>1035</v>
      </c>
      <c r="H364" t="s">
        <v>1035</v>
      </c>
      <c r="I364" t="s">
        <v>1032</v>
      </c>
      <c r="J364" t="s">
        <v>1035</v>
      </c>
      <c r="K364">
        <v>363</v>
      </c>
      <c r="L364" t="str">
        <f t="shared" si="10"/>
        <v>Ty Simpson</v>
      </c>
      <c r="M364" s="69">
        <f>IFERROR(VLOOKUP(E364,RISK!A:B,2,FALSE()),"")</f>
        <v>3.2</v>
      </c>
      <c r="N364" s="43">
        <f t="shared" si="11"/>
        <v>10.098352941176472</v>
      </c>
    </row>
    <row r="365" spans="1:14" ht="14.25" customHeight="1" x14ac:dyDescent="0.3">
      <c r="A365">
        <v>364</v>
      </c>
      <c r="B365">
        <v>11</v>
      </c>
      <c r="C365" t="s">
        <v>834</v>
      </c>
      <c r="D365" t="s">
        <v>495</v>
      </c>
      <c r="E365" t="s">
        <v>1163</v>
      </c>
      <c r="F365">
        <v>10</v>
      </c>
      <c r="G365" t="s">
        <v>1035</v>
      </c>
      <c r="H365" t="s">
        <v>1035</v>
      </c>
      <c r="I365" t="s">
        <v>1032</v>
      </c>
      <c r="J365" t="s">
        <v>1035</v>
      </c>
      <c r="K365">
        <v>364</v>
      </c>
      <c r="L365" t="str">
        <f t="shared" si="10"/>
        <v>Kalif Raymond</v>
      </c>
      <c r="M365" s="69">
        <f>IFERROR(VLOOKUP(E365,RISK!A:B,2,FALSE()),"")</f>
        <v>3.848101265822784</v>
      </c>
      <c r="N365" s="43" t="e">
        <f t="shared" si="11"/>
        <v>#N/A</v>
      </c>
    </row>
    <row r="366" spans="1:14" ht="14.25" customHeight="1" x14ac:dyDescent="0.3">
      <c r="A366">
        <v>365</v>
      </c>
      <c r="B366">
        <v>11</v>
      </c>
      <c r="C366" t="s">
        <v>1161</v>
      </c>
      <c r="D366" t="s">
        <v>471</v>
      </c>
      <c r="E366" t="s">
        <v>1162</v>
      </c>
      <c r="F366">
        <v>7</v>
      </c>
      <c r="G366" t="s">
        <v>1035</v>
      </c>
      <c r="H366" t="s">
        <v>1035</v>
      </c>
      <c r="I366" t="s">
        <v>1028</v>
      </c>
      <c r="J366">
        <v>-120</v>
      </c>
      <c r="K366">
        <v>365</v>
      </c>
      <c r="L366" t="str">
        <f t="shared" si="10"/>
        <v>Tyler Bass</v>
      </c>
      <c r="M366" s="69" t="str">
        <f>IFERROR(VLOOKUP(E366,RISK!A:B,2,FALSE()),"")</f>
        <v/>
      </c>
      <c r="N366" s="43" t="e">
        <f t="shared" si="11"/>
        <v>#N/A</v>
      </c>
    </row>
    <row r="367" spans="1:14" ht="14.25" customHeight="1" x14ac:dyDescent="0.3">
      <c r="A367">
        <v>366</v>
      </c>
      <c r="B367">
        <v>11</v>
      </c>
      <c r="C367" t="s">
        <v>828</v>
      </c>
      <c r="D367" t="s">
        <v>505</v>
      </c>
      <c r="E367" t="s">
        <v>1164</v>
      </c>
      <c r="F367">
        <v>8</v>
      </c>
      <c r="G367" t="s">
        <v>1035</v>
      </c>
      <c r="H367" t="s">
        <v>1035</v>
      </c>
      <c r="I367" t="s">
        <v>1032</v>
      </c>
      <c r="J367" t="s">
        <v>1035</v>
      </c>
      <c r="K367">
        <v>366</v>
      </c>
      <c r="L367" t="str">
        <f t="shared" si="10"/>
        <v>Cedric Tillman</v>
      </c>
      <c r="M367" s="69">
        <f>IFERROR(VLOOKUP(E367,RISK!A:B,2,FALSE()),"")</f>
        <v>3.848101265822784</v>
      </c>
      <c r="N367" s="43" t="e">
        <f t="shared" si="11"/>
        <v>#N/A</v>
      </c>
    </row>
    <row r="368" spans="1:14" ht="14.25" customHeight="1" x14ac:dyDescent="0.3">
      <c r="A368">
        <v>367</v>
      </c>
      <c r="B368">
        <v>11</v>
      </c>
      <c r="C368" t="s">
        <v>819</v>
      </c>
      <c r="D368" t="s">
        <v>491</v>
      </c>
      <c r="E368" t="s">
        <v>1165</v>
      </c>
      <c r="F368">
        <v>14</v>
      </c>
      <c r="G368" t="s">
        <v>1035</v>
      </c>
      <c r="H368" t="s">
        <v>1035</v>
      </c>
      <c r="I368" t="s">
        <v>1028</v>
      </c>
      <c r="J368" t="s">
        <v>1035</v>
      </c>
      <c r="K368">
        <v>367</v>
      </c>
      <c r="L368" t="str">
        <f t="shared" si="10"/>
        <v>KaVontae Turpin</v>
      </c>
      <c r="M368" s="69">
        <f>IFERROR(VLOOKUP(E368,RISK!A:B,2,FALSE()),"")</f>
        <v>3.848101265822784</v>
      </c>
      <c r="N368" s="43" t="e">
        <f t="shared" si="11"/>
        <v>#N/A</v>
      </c>
    </row>
    <row r="369" spans="1:14" ht="14.25" customHeight="1" x14ac:dyDescent="0.3">
      <c r="A369">
        <v>368</v>
      </c>
      <c r="B369">
        <v>11</v>
      </c>
      <c r="C369" t="s">
        <v>1168</v>
      </c>
      <c r="D369" t="s">
        <v>485</v>
      </c>
      <c r="E369" t="s">
        <v>1152</v>
      </c>
      <c r="F369">
        <v>8</v>
      </c>
      <c r="G369" t="s">
        <v>1035</v>
      </c>
      <c r="H369" t="s">
        <v>1035</v>
      </c>
      <c r="I369" t="s">
        <v>1031</v>
      </c>
      <c r="J369">
        <v>-137</v>
      </c>
      <c r="K369">
        <v>368</v>
      </c>
      <c r="L369" t="str">
        <f t="shared" si="10"/>
        <v>New York Giants</v>
      </c>
      <c r="M369" s="69" t="str">
        <f>IFERROR(VLOOKUP(E369,RISK!A:B,2,FALSE()),"")</f>
        <v/>
      </c>
      <c r="N369" s="43" t="e">
        <f t="shared" si="11"/>
        <v>#N/A</v>
      </c>
    </row>
    <row r="370" spans="1:14" ht="14.25" customHeight="1" x14ac:dyDescent="0.3">
      <c r="A370">
        <v>369</v>
      </c>
      <c r="B370">
        <v>11</v>
      </c>
      <c r="C370" t="s">
        <v>1141</v>
      </c>
      <c r="D370" t="s">
        <v>521</v>
      </c>
      <c r="E370" t="s">
        <v>1166</v>
      </c>
      <c r="F370">
        <v>5</v>
      </c>
      <c r="G370" t="s">
        <v>1035</v>
      </c>
      <c r="H370" t="s">
        <v>1035</v>
      </c>
      <c r="I370" t="s">
        <v>1028</v>
      </c>
      <c r="J370" t="s">
        <v>1035</v>
      </c>
      <c r="K370">
        <v>369</v>
      </c>
      <c r="L370" t="str">
        <f t="shared" si="10"/>
        <v>Chris Brazzell II</v>
      </c>
      <c r="M370" s="69">
        <f>IFERROR(VLOOKUP(E370,RISK!A:B,2,FALSE()),"")</f>
        <v>3.848101265822784</v>
      </c>
      <c r="N370" s="43" t="e">
        <f t="shared" si="11"/>
        <v>#N/A</v>
      </c>
    </row>
    <row r="371" spans="1:14" ht="14.25" customHeight="1" x14ac:dyDescent="0.3">
      <c r="A371">
        <v>370</v>
      </c>
      <c r="B371">
        <v>11</v>
      </c>
      <c r="C371" t="s">
        <v>1174</v>
      </c>
      <c r="D371" t="s">
        <v>535</v>
      </c>
      <c r="E371" t="s">
        <v>1172</v>
      </c>
      <c r="F371">
        <v>11</v>
      </c>
      <c r="G371" t="s">
        <v>1035</v>
      </c>
      <c r="H371" t="s">
        <v>1035</v>
      </c>
      <c r="I371" t="s">
        <v>1032</v>
      </c>
      <c r="J371" t="s">
        <v>1035</v>
      </c>
      <c r="K371">
        <v>370</v>
      </c>
      <c r="L371" t="str">
        <f t="shared" si="10"/>
        <v>Raheim Sanders</v>
      </c>
      <c r="M371" s="69">
        <f>IFERROR(VLOOKUP(E371,RISK!A:B,2,FALSE()),"")</f>
        <v>4</v>
      </c>
      <c r="N371" s="43" t="e">
        <f t="shared" si="11"/>
        <v>#N/A</v>
      </c>
    </row>
    <row r="372" spans="1:14" ht="14.25" customHeight="1" x14ac:dyDescent="0.3">
      <c r="A372">
        <v>371</v>
      </c>
      <c r="B372">
        <v>11</v>
      </c>
      <c r="C372" t="s">
        <v>1151</v>
      </c>
      <c r="D372" t="s">
        <v>521</v>
      </c>
      <c r="E372" t="s">
        <v>1169</v>
      </c>
      <c r="F372">
        <v>5</v>
      </c>
      <c r="G372" t="s">
        <v>1035</v>
      </c>
      <c r="H372" t="s">
        <v>1035</v>
      </c>
      <c r="I372" t="s">
        <v>1032</v>
      </c>
      <c r="J372" t="s">
        <v>1035</v>
      </c>
      <c r="K372">
        <v>371</v>
      </c>
      <c r="L372" t="str">
        <f t="shared" si="10"/>
        <v>Carolina Panthers</v>
      </c>
      <c r="M372" s="69" t="str">
        <f>IFERROR(VLOOKUP(E372,RISK!A:B,2,FALSE()),"")</f>
        <v/>
      </c>
      <c r="N372" s="43" t="e">
        <f t="shared" si="11"/>
        <v>#N/A</v>
      </c>
    </row>
    <row r="373" spans="1:14" ht="14.25" customHeight="1" x14ac:dyDescent="0.3">
      <c r="A373">
        <v>372</v>
      </c>
      <c r="B373">
        <v>11</v>
      </c>
      <c r="C373" t="s">
        <v>829</v>
      </c>
      <c r="D373" t="s">
        <v>487</v>
      </c>
      <c r="E373" t="s">
        <v>1167</v>
      </c>
      <c r="F373">
        <v>8</v>
      </c>
      <c r="G373" t="s">
        <v>1035</v>
      </c>
      <c r="H373" t="s">
        <v>1035</v>
      </c>
      <c r="I373" t="s">
        <v>1028</v>
      </c>
      <c r="J373" t="s">
        <v>1035</v>
      </c>
      <c r="K373">
        <v>372</v>
      </c>
      <c r="L373" t="str">
        <f t="shared" si="10"/>
        <v>Demarcus Robinson</v>
      </c>
      <c r="M373" s="69">
        <f>IFERROR(VLOOKUP(E373,RISK!A:B,2,FALSE()),"")</f>
        <v>3.848101265822784</v>
      </c>
      <c r="N373" s="43" t="e">
        <f t="shared" si="11"/>
        <v>#N/A</v>
      </c>
    </row>
    <row r="374" spans="1:14" ht="14.25" customHeight="1" x14ac:dyDescent="0.3">
      <c r="A374">
        <v>373</v>
      </c>
      <c r="B374">
        <v>11</v>
      </c>
      <c r="C374" t="s">
        <v>1158</v>
      </c>
      <c r="D374" t="s">
        <v>525</v>
      </c>
      <c r="E374" t="s">
        <v>1175</v>
      </c>
      <c r="F374">
        <v>9</v>
      </c>
      <c r="G374" t="s">
        <v>1035</v>
      </c>
      <c r="H374" t="s">
        <v>1035</v>
      </c>
      <c r="I374" t="s">
        <v>1032</v>
      </c>
      <c r="J374" t="s">
        <v>1035</v>
      </c>
      <c r="K374">
        <v>373</v>
      </c>
      <c r="L374" t="str">
        <f t="shared" si="10"/>
        <v>Michael Carter</v>
      </c>
      <c r="M374" s="69">
        <f>IFERROR(VLOOKUP(E374,RISK!A:B,2,FALSE()),"")</f>
        <v>4</v>
      </c>
      <c r="N374" s="43" t="e">
        <f t="shared" si="11"/>
        <v>#N/A</v>
      </c>
    </row>
    <row r="375" spans="1:14" ht="14.25" customHeight="1" x14ac:dyDescent="0.3">
      <c r="A375">
        <v>374</v>
      </c>
      <c r="B375">
        <v>11</v>
      </c>
      <c r="C375" t="s">
        <v>838</v>
      </c>
      <c r="D375" t="s">
        <v>483</v>
      </c>
      <c r="E375" t="s">
        <v>1173</v>
      </c>
      <c r="F375">
        <v>6</v>
      </c>
      <c r="G375" t="s">
        <v>1035</v>
      </c>
      <c r="H375" t="s">
        <v>1035</v>
      </c>
      <c r="I375" t="s">
        <v>1029</v>
      </c>
      <c r="J375" t="s">
        <v>1035</v>
      </c>
      <c r="K375">
        <v>374</v>
      </c>
      <c r="L375" t="str">
        <f t="shared" si="10"/>
        <v>Colbie Young</v>
      </c>
      <c r="M375" s="69">
        <f>IFERROR(VLOOKUP(E375,RISK!A:B,2,FALSE()),"")</f>
        <v>3.848101265822784</v>
      </c>
      <c r="N375" s="43" t="e">
        <f t="shared" si="11"/>
        <v>#N/A</v>
      </c>
    </row>
    <row r="376" spans="1:14" ht="14.25" customHeight="1" x14ac:dyDescent="0.3">
      <c r="A376">
        <v>375</v>
      </c>
      <c r="B376">
        <v>11</v>
      </c>
      <c r="C376" t="s">
        <v>558</v>
      </c>
      <c r="D376" t="s">
        <v>511</v>
      </c>
      <c r="E376" t="s">
        <v>403</v>
      </c>
      <c r="F376">
        <v>13</v>
      </c>
      <c r="G376" t="s">
        <v>1035</v>
      </c>
      <c r="H376" t="s">
        <v>1035</v>
      </c>
      <c r="I376" t="s">
        <v>1029</v>
      </c>
      <c r="J376" t="s">
        <v>1035</v>
      </c>
      <c r="K376">
        <v>375</v>
      </c>
      <c r="L376" t="str">
        <f t="shared" si="10"/>
        <v>Anthony Richardson Sr.</v>
      </c>
      <c r="M376" s="69">
        <f>IFERROR(VLOOKUP(E376,RISK!A:B,2,FALSE()),"")</f>
        <v>3.2</v>
      </c>
      <c r="N376" s="43">
        <f t="shared" si="11"/>
        <v>9.887294117647059</v>
      </c>
    </row>
    <row r="377" spans="1:14" ht="14.25" customHeight="1" x14ac:dyDescent="0.3">
      <c r="A377">
        <v>376</v>
      </c>
      <c r="B377">
        <v>11</v>
      </c>
      <c r="C377" t="s">
        <v>843</v>
      </c>
      <c r="D377" t="s">
        <v>513</v>
      </c>
      <c r="E377" t="s">
        <v>1176</v>
      </c>
      <c r="F377">
        <v>6</v>
      </c>
      <c r="G377" t="s">
        <v>1035</v>
      </c>
      <c r="H377" t="s">
        <v>1035</v>
      </c>
      <c r="I377" t="s">
        <v>1032</v>
      </c>
      <c r="J377" t="s">
        <v>1035</v>
      </c>
      <c r="K377">
        <v>376</v>
      </c>
      <c r="L377" t="str">
        <f t="shared" si="10"/>
        <v>Kevin Coleman Jr.</v>
      </c>
      <c r="M377" s="69">
        <f>IFERROR(VLOOKUP(E377,RISK!A:B,2,FALSE()),"")</f>
        <v>3.848101265822784</v>
      </c>
      <c r="N377" s="43" t="e">
        <f t="shared" si="11"/>
        <v>#N/A</v>
      </c>
    </row>
    <row r="378" spans="1:14" ht="14.25" customHeight="1" x14ac:dyDescent="0.3">
      <c r="A378">
        <v>377</v>
      </c>
      <c r="B378">
        <v>11</v>
      </c>
      <c r="C378" t="s">
        <v>1199</v>
      </c>
      <c r="D378" t="s">
        <v>515</v>
      </c>
      <c r="E378" t="s">
        <v>1196</v>
      </c>
      <c r="F378">
        <v>11</v>
      </c>
      <c r="G378" t="s">
        <v>1035</v>
      </c>
      <c r="H378" t="s">
        <v>1035</v>
      </c>
      <c r="I378" t="s">
        <v>1029</v>
      </c>
      <c r="J378">
        <v>-173</v>
      </c>
      <c r="K378">
        <v>377</v>
      </c>
      <c r="L378" t="str">
        <f t="shared" si="10"/>
        <v>Trey Smack</v>
      </c>
      <c r="M378" s="69" t="str">
        <f>IFERROR(VLOOKUP(E378,RISK!A:B,2,FALSE()),"")</f>
        <v/>
      </c>
      <c r="N378" s="43" t="e">
        <f t="shared" si="11"/>
        <v>#N/A</v>
      </c>
    </row>
    <row r="379" spans="1:14" ht="14.25" customHeight="1" x14ac:dyDescent="0.3">
      <c r="A379">
        <v>378</v>
      </c>
      <c r="B379">
        <v>11</v>
      </c>
      <c r="C379" t="s">
        <v>824</v>
      </c>
      <c r="D379" t="s">
        <v>515</v>
      </c>
      <c r="E379" t="s">
        <v>1177</v>
      </c>
      <c r="F379">
        <v>11</v>
      </c>
      <c r="G379" t="s">
        <v>1035</v>
      </c>
      <c r="H379" t="s">
        <v>1035</v>
      </c>
      <c r="I379" t="s">
        <v>1027</v>
      </c>
      <c r="J379" t="s">
        <v>1035</v>
      </c>
      <c r="K379">
        <v>378</v>
      </c>
      <c r="L379" t="str">
        <f t="shared" si="10"/>
        <v>Savion Williams</v>
      </c>
      <c r="M379" s="69">
        <f>IFERROR(VLOOKUP(E379,RISK!A:B,2,FALSE()),"")</f>
        <v>3.848101265822784</v>
      </c>
      <c r="N379" s="43" t="e">
        <f t="shared" si="11"/>
        <v>#N/A</v>
      </c>
    </row>
    <row r="380" spans="1:14" ht="14.25" customHeight="1" x14ac:dyDescent="0.3">
      <c r="A380">
        <v>379</v>
      </c>
      <c r="B380">
        <v>11</v>
      </c>
      <c r="C380" t="s">
        <v>1170</v>
      </c>
      <c r="D380" t="s">
        <v>507</v>
      </c>
      <c r="E380" t="s">
        <v>1171</v>
      </c>
      <c r="F380">
        <v>10</v>
      </c>
      <c r="G380" t="s">
        <v>1035</v>
      </c>
      <c r="H380" t="s">
        <v>1035</v>
      </c>
      <c r="I380" t="s">
        <v>1029</v>
      </c>
      <c r="J380" t="s">
        <v>1035</v>
      </c>
      <c r="K380">
        <v>379</v>
      </c>
      <c r="L380" t="str">
        <f t="shared" si="10"/>
        <v>Tampa Bay Buccaneers</v>
      </c>
      <c r="M380" s="69" t="str">
        <f>IFERROR(VLOOKUP(E380,RISK!A:B,2,FALSE()),"")</f>
        <v/>
      </c>
      <c r="N380" s="43" t="e">
        <f t="shared" si="11"/>
        <v>#N/A</v>
      </c>
    </row>
    <row r="381" spans="1:14" ht="14.25" customHeight="1" x14ac:dyDescent="0.3">
      <c r="A381">
        <v>380</v>
      </c>
      <c r="B381">
        <v>11</v>
      </c>
      <c r="C381" t="s">
        <v>860</v>
      </c>
      <c r="D381" t="s">
        <v>531</v>
      </c>
      <c r="E381" t="s">
        <v>1179</v>
      </c>
      <c r="F381">
        <v>13</v>
      </c>
      <c r="G381" t="s">
        <v>1035</v>
      </c>
      <c r="H381" t="s">
        <v>1035</v>
      </c>
      <c r="I381" t="s">
        <v>1028</v>
      </c>
      <c r="J381" t="s">
        <v>1035</v>
      </c>
      <c r="K381">
        <v>380</v>
      </c>
      <c r="L381" t="str">
        <f t="shared" si="10"/>
        <v>Dont'e Thornton Jr.</v>
      </c>
      <c r="M381" s="69">
        <f>IFERROR(VLOOKUP(E381,RISK!A:B,2,FALSE()),"")</f>
        <v>3.848101265822784</v>
      </c>
      <c r="N381" s="43" t="e">
        <f t="shared" si="11"/>
        <v>#N/A</v>
      </c>
    </row>
    <row r="382" spans="1:14" ht="14.25" customHeight="1" x14ac:dyDescent="0.3">
      <c r="A382">
        <v>381</v>
      </c>
      <c r="B382">
        <v>11</v>
      </c>
      <c r="C382" t="s">
        <v>709</v>
      </c>
      <c r="D382" t="s">
        <v>475</v>
      </c>
      <c r="E382" t="s">
        <v>1182</v>
      </c>
      <c r="F382">
        <v>13</v>
      </c>
      <c r="G382" t="s">
        <v>1035</v>
      </c>
      <c r="H382" t="s">
        <v>1035</v>
      </c>
      <c r="I382" t="s">
        <v>1032</v>
      </c>
      <c r="J382" t="s">
        <v>1035</v>
      </c>
      <c r="K382">
        <v>381</v>
      </c>
      <c r="L382" t="str">
        <f t="shared" si="10"/>
        <v>Rasheen Ali</v>
      </c>
      <c r="M382" s="69">
        <f>IFERROR(VLOOKUP(E382,RISK!A:B,2,FALSE()),"")</f>
        <v>4</v>
      </c>
      <c r="N382" s="43" t="e">
        <f t="shared" si="11"/>
        <v>#N/A</v>
      </c>
    </row>
    <row r="383" spans="1:14" ht="14.25" customHeight="1" x14ac:dyDescent="0.3">
      <c r="A383">
        <v>382</v>
      </c>
      <c r="B383">
        <v>11</v>
      </c>
      <c r="C383" t="s">
        <v>943</v>
      </c>
      <c r="D383" t="s">
        <v>505</v>
      </c>
      <c r="E383" t="s">
        <v>412</v>
      </c>
      <c r="F383">
        <v>8</v>
      </c>
      <c r="G383" t="s">
        <v>1035</v>
      </c>
      <c r="H383" t="s">
        <v>1035</v>
      </c>
      <c r="I383" t="s">
        <v>1028</v>
      </c>
      <c r="J383" t="s">
        <v>1035</v>
      </c>
      <c r="K383">
        <v>382</v>
      </c>
      <c r="L383" t="str">
        <f t="shared" si="10"/>
        <v>Noah Fant</v>
      </c>
      <c r="M383" s="69">
        <f>IFERROR(VLOOKUP(E383,RISK!A:B,2,FALSE()),"")</f>
        <v>2.2010999999999985</v>
      </c>
      <c r="N383" s="43" t="e">
        <f t="shared" si="11"/>
        <v>#N/A</v>
      </c>
    </row>
    <row r="384" spans="1:14" ht="14.25" customHeight="1" x14ac:dyDescent="0.3">
      <c r="A384">
        <v>383</v>
      </c>
      <c r="B384">
        <v>11</v>
      </c>
      <c r="C384" t="s">
        <v>827</v>
      </c>
      <c r="D384" t="s">
        <v>501</v>
      </c>
      <c r="E384" t="s">
        <v>1184</v>
      </c>
      <c r="F384">
        <v>11</v>
      </c>
      <c r="G384" t="s">
        <v>1035</v>
      </c>
      <c r="H384" t="s">
        <v>1035</v>
      </c>
      <c r="I384" t="s">
        <v>1031</v>
      </c>
      <c r="J384" t="s">
        <v>1035</v>
      </c>
      <c r="K384">
        <v>383</v>
      </c>
      <c r="L384" t="str">
        <f t="shared" si="10"/>
        <v>Tutu Atwell</v>
      </c>
      <c r="M384" s="69">
        <f>IFERROR(VLOOKUP(E384,RISK!A:B,2,FALSE()),"")</f>
        <v>3.848101265822784</v>
      </c>
      <c r="N384" s="43" t="e">
        <f t="shared" si="11"/>
        <v>#N/A</v>
      </c>
    </row>
    <row r="385" spans="1:14" ht="14.25" customHeight="1" x14ac:dyDescent="0.3">
      <c r="A385">
        <v>384</v>
      </c>
      <c r="B385">
        <v>11</v>
      </c>
      <c r="C385" t="s">
        <v>1213</v>
      </c>
      <c r="D385" t="s">
        <v>503</v>
      </c>
      <c r="E385" t="s">
        <v>1183</v>
      </c>
      <c r="F385">
        <v>6</v>
      </c>
      <c r="G385" t="s">
        <v>1035</v>
      </c>
      <c r="H385" t="s">
        <v>1035</v>
      </c>
      <c r="I385" t="s">
        <v>1027</v>
      </c>
      <c r="J385" t="s">
        <v>1035</v>
      </c>
      <c r="K385">
        <v>384</v>
      </c>
      <c r="L385" t="str">
        <f t="shared" si="10"/>
        <v>Sione Vaki</v>
      </c>
      <c r="M385" s="69">
        <f>IFERROR(VLOOKUP(E385,RISK!A:B,2,FALSE()),"")</f>
        <v>4</v>
      </c>
      <c r="N385" s="43" t="e">
        <f t="shared" si="11"/>
        <v>#N/A</v>
      </c>
    </row>
    <row r="386" spans="1:14" ht="14.25" customHeight="1" x14ac:dyDescent="0.3">
      <c r="A386">
        <v>385</v>
      </c>
      <c r="B386">
        <v>11</v>
      </c>
      <c r="C386" t="s">
        <v>852</v>
      </c>
      <c r="D386" t="s">
        <v>485</v>
      </c>
      <c r="E386" t="s">
        <v>1187</v>
      </c>
      <c r="F386">
        <v>8</v>
      </c>
      <c r="G386" t="s">
        <v>1035</v>
      </c>
      <c r="H386" t="s">
        <v>1035</v>
      </c>
      <c r="I386" t="s">
        <v>1029</v>
      </c>
      <c r="J386">
        <v>-113</v>
      </c>
      <c r="K386">
        <v>385</v>
      </c>
      <c r="L386" t="str">
        <f t="shared" ref="L386:L449" si="12">C386</f>
        <v>Odell Beckham Jr.</v>
      </c>
      <c r="M386" s="69">
        <f>IFERROR(VLOOKUP(E386,RISK!A:B,2,FALSE()),"")</f>
        <v>3.848101265822784</v>
      </c>
      <c r="N386" s="43" t="e">
        <f t="shared" si="11"/>
        <v>#N/A</v>
      </c>
    </row>
    <row r="387" spans="1:14" ht="14.25" customHeight="1" x14ac:dyDescent="0.3">
      <c r="A387">
        <v>386</v>
      </c>
      <c r="B387">
        <v>11</v>
      </c>
      <c r="C387" t="s">
        <v>953</v>
      </c>
      <c r="D387" t="s">
        <v>521</v>
      </c>
      <c r="E387" t="s">
        <v>413</v>
      </c>
      <c r="F387">
        <v>5</v>
      </c>
      <c r="G387" t="s">
        <v>1035</v>
      </c>
      <c r="H387" t="s">
        <v>1035</v>
      </c>
      <c r="I387" t="s">
        <v>1028</v>
      </c>
      <c r="J387" t="s">
        <v>1035</v>
      </c>
      <c r="K387">
        <v>386</v>
      </c>
      <c r="L387" t="str">
        <f t="shared" si="12"/>
        <v>Tommy Tremble</v>
      </c>
      <c r="M387" s="69">
        <f>IFERROR(VLOOKUP(E387,RISK!A:B,2,FALSE()),"")</f>
        <v>2.2010999999999985</v>
      </c>
      <c r="N387" s="43" t="e">
        <f t="shared" ref="N387:N450" si="13">VLOOKUP(E387,Q:R,2,FALSE)</f>
        <v>#N/A</v>
      </c>
    </row>
    <row r="388" spans="1:14" ht="14.25" customHeight="1" x14ac:dyDescent="0.3">
      <c r="A388">
        <v>387</v>
      </c>
      <c r="B388">
        <v>11</v>
      </c>
      <c r="C388" t="s">
        <v>971</v>
      </c>
      <c r="D388" t="s">
        <v>479</v>
      </c>
      <c r="E388" t="s">
        <v>414</v>
      </c>
      <c r="F388">
        <v>7</v>
      </c>
      <c r="G388" t="s">
        <v>1035</v>
      </c>
      <c r="H388" t="s">
        <v>1035</v>
      </c>
      <c r="I388" t="s">
        <v>1031</v>
      </c>
      <c r="J388" t="s">
        <v>1035</v>
      </c>
      <c r="K388">
        <v>387</v>
      </c>
      <c r="L388" t="str">
        <f t="shared" si="12"/>
        <v>Ben Sinnott</v>
      </c>
      <c r="M388" s="69">
        <f>IFERROR(VLOOKUP(E388,RISK!A:B,2,FALSE()),"")</f>
        <v>2.2010999999999985</v>
      </c>
      <c r="N388" s="43" t="e">
        <f t="shared" si="13"/>
        <v>#N/A</v>
      </c>
    </row>
    <row r="389" spans="1:14" ht="14.25" customHeight="1" x14ac:dyDescent="0.3">
      <c r="A389">
        <v>388</v>
      </c>
      <c r="B389">
        <v>11</v>
      </c>
      <c r="C389" t="s">
        <v>559</v>
      </c>
      <c r="D389" t="s">
        <v>483</v>
      </c>
      <c r="E389" t="s">
        <v>404</v>
      </c>
      <c r="F389">
        <v>6</v>
      </c>
      <c r="G389" t="s">
        <v>1035</v>
      </c>
      <c r="H389" t="s">
        <v>1035</v>
      </c>
      <c r="I389" t="s">
        <v>1032</v>
      </c>
      <c r="J389" t="s">
        <v>1035</v>
      </c>
      <c r="K389">
        <v>388</v>
      </c>
      <c r="L389" t="str">
        <f t="shared" si="12"/>
        <v>Joe Flacco</v>
      </c>
      <c r="M389" s="69">
        <f>IFERROR(VLOOKUP(E389,RISK!A:B,2,FALSE()),"")</f>
        <v>3.2</v>
      </c>
      <c r="N389" s="43">
        <f t="shared" si="13"/>
        <v>9.3856235294117667</v>
      </c>
    </row>
    <row r="390" spans="1:14" ht="14.25" customHeight="1" x14ac:dyDescent="0.3">
      <c r="A390">
        <v>389</v>
      </c>
      <c r="B390">
        <v>11</v>
      </c>
      <c r="C390" t="s">
        <v>1185</v>
      </c>
      <c r="D390" t="s">
        <v>489</v>
      </c>
      <c r="E390" t="s">
        <v>1186</v>
      </c>
      <c r="F390">
        <v>7</v>
      </c>
      <c r="G390" t="s">
        <v>1035</v>
      </c>
      <c r="H390" t="s">
        <v>1035</v>
      </c>
      <c r="I390" t="s">
        <v>1029</v>
      </c>
      <c r="J390" t="s">
        <v>1035</v>
      </c>
      <c r="K390">
        <v>389</v>
      </c>
      <c r="L390" t="str">
        <f t="shared" si="12"/>
        <v>J'Mari Taylor</v>
      </c>
      <c r="M390" s="69">
        <f>IFERROR(VLOOKUP(E390,RISK!A:B,2,FALSE()),"")</f>
        <v>4</v>
      </c>
      <c r="N390" s="43" t="e">
        <f t="shared" si="13"/>
        <v>#N/A</v>
      </c>
    </row>
    <row r="391" spans="1:14" ht="14.25" customHeight="1" x14ac:dyDescent="0.3">
      <c r="A391">
        <v>390</v>
      </c>
      <c r="B391">
        <v>11</v>
      </c>
      <c r="C391" t="s">
        <v>841</v>
      </c>
      <c r="D391" t="s">
        <v>479</v>
      </c>
      <c r="E391" t="s">
        <v>1188</v>
      </c>
      <c r="F391">
        <v>7</v>
      </c>
      <c r="G391" t="s">
        <v>1035</v>
      </c>
      <c r="H391" t="s">
        <v>1035</v>
      </c>
      <c r="I391" t="s">
        <v>1028</v>
      </c>
      <c r="J391" t="s">
        <v>1035</v>
      </c>
      <c r="K391">
        <v>390</v>
      </c>
      <c r="L391" t="str">
        <f t="shared" si="12"/>
        <v>Jaylin Lane</v>
      </c>
      <c r="M391" s="69">
        <f>IFERROR(VLOOKUP(E391,RISK!A:B,2,FALSE()),"")</f>
        <v>3.848101265822784</v>
      </c>
      <c r="N391" s="43" t="e">
        <f t="shared" si="13"/>
        <v>#N/A</v>
      </c>
    </row>
    <row r="392" spans="1:14" ht="14.25" customHeight="1" x14ac:dyDescent="0.3">
      <c r="A392">
        <v>391</v>
      </c>
      <c r="B392">
        <v>11</v>
      </c>
      <c r="C392" t="s">
        <v>869</v>
      </c>
      <c r="D392" t="s">
        <v>501</v>
      </c>
      <c r="E392" t="s">
        <v>1189</v>
      </c>
      <c r="F392">
        <v>11</v>
      </c>
      <c r="G392" t="s">
        <v>1035</v>
      </c>
      <c r="H392" t="s">
        <v>1035</v>
      </c>
      <c r="I392" t="s">
        <v>1031</v>
      </c>
      <c r="J392" t="s">
        <v>1035</v>
      </c>
      <c r="K392">
        <v>391</v>
      </c>
      <c r="L392" t="str">
        <f t="shared" si="12"/>
        <v>CJ Daniels</v>
      </c>
      <c r="M392" s="69">
        <f>IFERROR(VLOOKUP(E392,RISK!A:B,2,FALSE()),"")</f>
        <v>3.848101265822784</v>
      </c>
      <c r="N392" s="43" t="e">
        <f t="shared" si="13"/>
        <v>#N/A</v>
      </c>
    </row>
    <row r="393" spans="1:14" ht="14.25" customHeight="1" x14ac:dyDescent="0.3">
      <c r="A393">
        <v>392</v>
      </c>
      <c r="B393">
        <v>11</v>
      </c>
      <c r="C393" t="s">
        <v>1178</v>
      </c>
      <c r="D393" t="s">
        <v>521</v>
      </c>
      <c r="E393" t="s">
        <v>1190</v>
      </c>
      <c r="F393">
        <v>5</v>
      </c>
      <c r="G393" t="s">
        <v>1035</v>
      </c>
      <c r="H393" t="s">
        <v>1035</v>
      </c>
      <c r="I393" t="s">
        <v>1028</v>
      </c>
      <c r="J393" t="s">
        <v>1035</v>
      </c>
      <c r="K393">
        <v>392</v>
      </c>
      <c r="L393" t="str">
        <f t="shared" si="12"/>
        <v>John Metchie III</v>
      </c>
      <c r="M393" s="69">
        <f>IFERROR(VLOOKUP(E393,RISK!A:B,2,FALSE()),"")</f>
        <v>3.848101265822784</v>
      </c>
      <c r="N393" s="43" t="e">
        <f t="shared" si="13"/>
        <v>#N/A</v>
      </c>
    </row>
    <row r="394" spans="1:14" ht="14.25" customHeight="1" x14ac:dyDescent="0.3">
      <c r="A394">
        <v>393</v>
      </c>
      <c r="B394">
        <v>11</v>
      </c>
      <c r="C394" t="s">
        <v>655</v>
      </c>
      <c r="D394" t="s">
        <v>519</v>
      </c>
      <c r="E394" t="s">
        <v>1194</v>
      </c>
      <c r="F394">
        <v>8</v>
      </c>
      <c r="G394" t="s">
        <v>1035</v>
      </c>
      <c r="H394" t="s">
        <v>1035</v>
      </c>
      <c r="I394" t="s">
        <v>1029</v>
      </c>
      <c r="J394" t="s">
        <v>1035</v>
      </c>
      <c r="K394">
        <v>393</v>
      </c>
      <c r="L394" t="str">
        <f t="shared" si="12"/>
        <v>Jawhar Jordan</v>
      </c>
      <c r="M394" s="69">
        <f>IFERROR(VLOOKUP(E394,RISK!A:B,2,FALSE()),"")</f>
        <v>4</v>
      </c>
      <c r="N394" s="43" t="e">
        <f t="shared" si="13"/>
        <v>#N/A</v>
      </c>
    </row>
    <row r="395" spans="1:14" ht="14.25" customHeight="1" x14ac:dyDescent="0.3">
      <c r="A395">
        <v>394</v>
      </c>
      <c r="B395">
        <v>11</v>
      </c>
      <c r="C395" t="s">
        <v>658</v>
      </c>
      <c r="D395" t="s">
        <v>487</v>
      </c>
      <c r="E395" t="s">
        <v>1202</v>
      </c>
      <c r="F395">
        <v>8</v>
      </c>
      <c r="G395" t="s">
        <v>1035</v>
      </c>
      <c r="H395" t="s">
        <v>1035</v>
      </c>
      <c r="I395" t="s">
        <v>1028</v>
      </c>
      <c r="J395" t="s">
        <v>1035</v>
      </c>
      <c r="K395">
        <v>394</v>
      </c>
      <c r="L395" t="str">
        <f t="shared" si="12"/>
        <v>Kyle Juszczyk</v>
      </c>
      <c r="M395" s="69">
        <f>IFERROR(VLOOKUP(E395,RISK!A:B,2,FALSE()),"")</f>
        <v>4</v>
      </c>
      <c r="N395" s="43" t="e">
        <f t="shared" si="13"/>
        <v>#N/A</v>
      </c>
    </row>
    <row r="396" spans="1:14" ht="14.25" customHeight="1" x14ac:dyDescent="0.3">
      <c r="A396">
        <v>395</v>
      </c>
      <c r="B396">
        <v>11</v>
      </c>
      <c r="C396" t="s">
        <v>985</v>
      </c>
      <c r="D396" t="s">
        <v>521</v>
      </c>
      <c r="E396" t="s">
        <v>415</v>
      </c>
      <c r="F396">
        <v>5</v>
      </c>
      <c r="G396" t="s">
        <v>1035</v>
      </c>
      <c r="H396" t="s">
        <v>1035</v>
      </c>
      <c r="I396" t="s">
        <v>1028</v>
      </c>
      <c r="J396" t="s">
        <v>1035</v>
      </c>
      <c r="K396">
        <v>395</v>
      </c>
      <c r="L396" t="str">
        <f t="shared" si="12"/>
        <v>Mitchell Evans</v>
      </c>
      <c r="M396" s="69">
        <f>IFERROR(VLOOKUP(E396,RISK!A:B,2,FALSE()),"")</f>
        <v>2.2010999999999985</v>
      </c>
      <c r="N396" s="43" t="e">
        <f t="shared" si="13"/>
        <v>#N/A</v>
      </c>
    </row>
    <row r="397" spans="1:14" ht="14.25" customHeight="1" x14ac:dyDescent="0.3">
      <c r="A397">
        <v>396</v>
      </c>
      <c r="B397">
        <v>11</v>
      </c>
      <c r="C397" t="s">
        <v>950</v>
      </c>
      <c r="D397" t="s">
        <v>525</v>
      </c>
      <c r="E397" t="s">
        <v>416</v>
      </c>
      <c r="F397">
        <v>9</v>
      </c>
      <c r="G397" t="s">
        <v>1035</v>
      </c>
      <c r="H397" t="s">
        <v>1035</v>
      </c>
      <c r="I397" t="s">
        <v>1032</v>
      </c>
      <c r="J397" t="s">
        <v>1035</v>
      </c>
      <c r="K397">
        <v>396</v>
      </c>
      <c r="L397" t="str">
        <f t="shared" si="12"/>
        <v>Daniel Bellinger</v>
      </c>
      <c r="M397" s="69">
        <f>IFERROR(VLOOKUP(E397,RISK!A:B,2,FALSE()),"")</f>
        <v>2.2010999999999985</v>
      </c>
      <c r="N397" s="43" t="e">
        <f t="shared" si="13"/>
        <v>#N/A</v>
      </c>
    </row>
    <row r="398" spans="1:14" ht="14.25" customHeight="1" x14ac:dyDescent="0.3">
      <c r="A398">
        <v>397</v>
      </c>
      <c r="B398">
        <v>11</v>
      </c>
      <c r="C398" t="s">
        <v>1481</v>
      </c>
      <c r="D398" t="s">
        <v>515</v>
      </c>
      <c r="E398" t="s">
        <v>417</v>
      </c>
      <c r="F398">
        <v>11</v>
      </c>
      <c r="G398" t="s">
        <v>1035</v>
      </c>
      <c r="H398" t="s">
        <v>1035</v>
      </c>
      <c r="I398" t="s">
        <v>1028</v>
      </c>
      <c r="J398" t="s">
        <v>1035</v>
      </c>
      <c r="K398">
        <v>397</v>
      </c>
      <c r="L398" t="str">
        <f t="shared" si="12"/>
        <v>Jonnu Smith</v>
      </c>
      <c r="M398" s="69">
        <f>IFERROR(VLOOKUP(E398,RISK!A:B,2,FALSE()),"")</f>
        <v>2.2010999999999985</v>
      </c>
      <c r="N398" s="43" t="e">
        <f t="shared" si="13"/>
        <v>#N/A</v>
      </c>
    </row>
    <row r="399" spans="1:14" ht="14.25" customHeight="1" x14ac:dyDescent="0.3">
      <c r="A399">
        <v>398</v>
      </c>
      <c r="B399">
        <v>11</v>
      </c>
      <c r="C399" t="s">
        <v>542</v>
      </c>
      <c r="D399" t="s">
        <v>479</v>
      </c>
      <c r="E399" t="s">
        <v>405</v>
      </c>
      <c r="F399">
        <v>7</v>
      </c>
      <c r="G399" t="s">
        <v>1035</v>
      </c>
      <c r="H399" t="s">
        <v>1035</v>
      </c>
      <c r="I399" t="s">
        <v>1028</v>
      </c>
      <c r="J399" t="s">
        <v>1035</v>
      </c>
      <c r="K399">
        <v>398</v>
      </c>
      <c r="L399" t="str">
        <f t="shared" si="12"/>
        <v>Marcus Mariota</v>
      </c>
      <c r="M399" s="69">
        <f>IFERROR(VLOOKUP(E399,RISK!A:B,2,FALSE()),"")</f>
        <v>3.2</v>
      </c>
      <c r="N399" s="43">
        <f t="shared" si="13"/>
        <v>8.5624941176470593</v>
      </c>
    </row>
    <row r="400" spans="1:14" ht="14.25" customHeight="1" x14ac:dyDescent="0.3">
      <c r="A400">
        <v>399</v>
      </c>
      <c r="B400">
        <v>11</v>
      </c>
      <c r="C400" t="s">
        <v>545</v>
      </c>
      <c r="D400" t="s">
        <v>485</v>
      </c>
      <c r="E400" t="s">
        <v>406</v>
      </c>
      <c r="F400">
        <v>8</v>
      </c>
      <c r="G400" t="s">
        <v>1035</v>
      </c>
      <c r="H400" t="s">
        <v>1035</v>
      </c>
      <c r="I400" t="s">
        <v>1029</v>
      </c>
      <c r="J400" t="s">
        <v>1035</v>
      </c>
      <c r="K400">
        <v>399</v>
      </c>
      <c r="L400" t="str">
        <f t="shared" si="12"/>
        <v>Jameis Winston</v>
      </c>
      <c r="M400" s="69">
        <f>IFERROR(VLOOKUP(E400,RISK!A:B,2,FALSE()),"")</f>
        <v>3.2</v>
      </c>
      <c r="N400" s="43">
        <f t="shared" si="13"/>
        <v>8.5495058823529408</v>
      </c>
    </row>
    <row r="401" spans="1:14" ht="14.25" customHeight="1" x14ac:dyDescent="0.3">
      <c r="A401">
        <v>400</v>
      </c>
      <c r="B401">
        <v>11</v>
      </c>
      <c r="C401" t="s">
        <v>997</v>
      </c>
      <c r="D401" t="s">
        <v>513</v>
      </c>
      <c r="E401" t="s">
        <v>418</v>
      </c>
      <c r="F401">
        <v>6</v>
      </c>
      <c r="G401" t="s">
        <v>1035</v>
      </c>
      <c r="H401" t="s">
        <v>1035</v>
      </c>
      <c r="I401" t="s">
        <v>1027</v>
      </c>
      <c r="J401" t="s">
        <v>1035</v>
      </c>
      <c r="K401">
        <v>400</v>
      </c>
      <c r="L401" t="str">
        <f t="shared" si="12"/>
        <v>Justin Joly</v>
      </c>
      <c r="M401" s="69">
        <f>IFERROR(VLOOKUP(E401,RISK!A:B,2,FALSE()),"")</f>
        <v>2.2010999999999985</v>
      </c>
      <c r="N401" s="43" t="e">
        <f t="shared" si="13"/>
        <v>#N/A</v>
      </c>
    </row>
    <row r="402" spans="1:14" ht="14.25" customHeight="1" x14ac:dyDescent="0.3">
      <c r="A402">
        <v>401</v>
      </c>
      <c r="B402">
        <v>11</v>
      </c>
      <c r="C402" t="s">
        <v>710</v>
      </c>
      <c r="D402" t="s">
        <v>531</v>
      </c>
      <c r="E402" t="s">
        <v>1205</v>
      </c>
      <c r="F402">
        <v>13</v>
      </c>
      <c r="G402" t="s">
        <v>1035</v>
      </c>
      <c r="H402" t="s">
        <v>1035</v>
      </c>
      <c r="I402" t="s">
        <v>1028</v>
      </c>
      <c r="J402" t="s">
        <v>1035</v>
      </c>
      <c r="K402">
        <v>401</v>
      </c>
      <c r="L402" t="str">
        <f t="shared" si="12"/>
        <v>Dylan Laube</v>
      </c>
      <c r="M402" s="69">
        <f>IFERROR(VLOOKUP(E402,RISK!A:B,2,FALSE()),"")</f>
        <v>4</v>
      </c>
      <c r="N402" s="43" t="e">
        <f t="shared" si="13"/>
        <v>#N/A</v>
      </c>
    </row>
    <row r="403" spans="1:14" ht="14.25" customHeight="1" x14ac:dyDescent="0.3">
      <c r="A403">
        <v>402</v>
      </c>
      <c r="B403">
        <v>11</v>
      </c>
      <c r="C403" t="s">
        <v>863</v>
      </c>
      <c r="D403" t="s">
        <v>505</v>
      </c>
      <c r="E403" t="s">
        <v>1197</v>
      </c>
      <c r="F403">
        <v>8</v>
      </c>
      <c r="G403" t="s">
        <v>1035</v>
      </c>
      <c r="H403" t="s">
        <v>1035</v>
      </c>
      <c r="I403" t="s">
        <v>1032</v>
      </c>
      <c r="J403" t="s">
        <v>1035</v>
      </c>
      <c r="K403">
        <v>402</v>
      </c>
      <c r="L403" t="str">
        <f t="shared" si="12"/>
        <v>Barion Brown</v>
      </c>
      <c r="M403" s="69">
        <f>IFERROR(VLOOKUP(E403,RISK!A:B,2,FALSE()),"")</f>
        <v>3.848101265822784</v>
      </c>
      <c r="N403" s="43" t="e">
        <f t="shared" si="13"/>
        <v>#N/A</v>
      </c>
    </row>
    <row r="404" spans="1:14" ht="14.25" customHeight="1" x14ac:dyDescent="0.3">
      <c r="A404">
        <v>403</v>
      </c>
      <c r="B404">
        <v>11</v>
      </c>
      <c r="C404" t="s">
        <v>569</v>
      </c>
      <c r="D404" t="s">
        <v>523</v>
      </c>
      <c r="E404" t="s">
        <v>407</v>
      </c>
      <c r="F404">
        <v>13</v>
      </c>
      <c r="G404" t="s">
        <v>1035</v>
      </c>
      <c r="H404" t="s">
        <v>1035</v>
      </c>
      <c r="I404" t="s">
        <v>1029</v>
      </c>
      <c r="J404" t="s">
        <v>1035</v>
      </c>
      <c r="K404">
        <v>403</v>
      </c>
      <c r="L404" t="str">
        <f t="shared" si="12"/>
        <v>Cade Klubnik</v>
      </c>
      <c r="M404" s="69">
        <f>IFERROR(VLOOKUP(E404,RISK!A:B,2,FALSE()),"")</f>
        <v>3.2</v>
      </c>
      <c r="N404" s="43">
        <f t="shared" si="13"/>
        <v>8.4715764705882357</v>
      </c>
    </row>
    <row r="405" spans="1:14" ht="14.25" customHeight="1" x14ac:dyDescent="0.3">
      <c r="A405">
        <v>404</v>
      </c>
      <c r="B405">
        <v>11</v>
      </c>
      <c r="C405" t="s">
        <v>1193</v>
      </c>
      <c r="D405" t="s">
        <v>1124</v>
      </c>
      <c r="E405" t="s">
        <v>1209</v>
      </c>
      <c r="F405" t="s">
        <v>1035</v>
      </c>
      <c r="G405" t="s">
        <v>1035</v>
      </c>
      <c r="H405" t="s">
        <v>1035</v>
      </c>
      <c r="I405" t="s">
        <v>1035</v>
      </c>
      <c r="J405">
        <v>-152</v>
      </c>
      <c r="K405">
        <v>404</v>
      </c>
      <c r="L405" t="str">
        <f t="shared" si="12"/>
        <v>Austin Ekeler</v>
      </c>
      <c r="M405" s="69">
        <f>IFERROR(VLOOKUP(E405,RISK!A:B,2,FALSE()),"")</f>
        <v>4</v>
      </c>
      <c r="N405" s="43" t="e">
        <f t="shared" si="13"/>
        <v>#N/A</v>
      </c>
    </row>
    <row r="406" spans="1:14" ht="14.25" customHeight="1" x14ac:dyDescent="0.3">
      <c r="A406">
        <v>405</v>
      </c>
      <c r="B406">
        <v>11</v>
      </c>
      <c r="C406" t="s">
        <v>947</v>
      </c>
      <c r="D406" t="s">
        <v>533</v>
      </c>
      <c r="E406" t="s">
        <v>419</v>
      </c>
      <c r="F406">
        <v>11</v>
      </c>
      <c r="G406" t="s">
        <v>1035</v>
      </c>
      <c r="H406" t="s">
        <v>1035</v>
      </c>
      <c r="I406" t="s">
        <v>1032</v>
      </c>
      <c r="J406" t="s">
        <v>1035</v>
      </c>
      <c r="K406">
        <v>405</v>
      </c>
      <c r="L406" t="str">
        <f t="shared" si="12"/>
        <v>Austin Hooper</v>
      </c>
      <c r="M406" s="69">
        <f>IFERROR(VLOOKUP(E406,RISK!A:B,2,FALSE()),"")</f>
        <v>2.2010999999999985</v>
      </c>
      <c r="N406" s="43" t="e">
        <f t="shared" si="13"/>
        <v>#N/A</v>
      </c>
    </row>
    <row r="407" spans="1:14" ht="14.25" customHeight="1" x14ac:dyDescent="0.3">
      <c r="A407">
        <v>406</v>
      </c>
      <c r="B407">
        <v>11</v>
      </c>
      <c r="C407" t="s">
        <v>844</v>
      </c>
      <c r="D407" t="s">
        <v>501</v>
      </c>
      <c r="E407" t="s">
        <v>1198</v>
      </c>
      <c r="F407">
        <v>11</v>
      </c>
      <c r="G407" t="s">
        <v>1035</v>
      </c>
      <c r="H407" t="s">
        <v>1035</v>
      </c>
      <c r="I407" t="s">
        <v>1031</v>
      </c>
      <c r="J407" t="s">
        <v>1035</v>
      </c>
      <c r="K407">
        <v>406</v>
      </c>
      <c r="L407" t="str">
        <f t="shared" si="12"/>
        <v>Jordan Whittington</v>
      </c>
      <c r="M407" s="69">
        <f>IFERROR(VLOOKUP(E407,RISK!A:B,2,FALSE()),"")</f>
        <v>3.848101265822784</v>
      </c>
      <c r="N407" s="43" t="e">
        <f t="shared" si="13"/>
        <v>#N/A</v>
      </c>
    </row>
    <row r="408" spans="1:14" ht="14.25" customHeight="1" x14ac:dyDescent="0.3">
      <c r="A408">
        <v>407</v>
      </c>
      <c r="B408">
        <v>11</v>
      </c>
      <c r="C408" t="s">
        <v>817</v>
      </c>
      <c r="D408" t="s">
        <v>511</v>
      </c>
      <c r="E408" t="s">
        <v>1201</v>
      </c>
      <c r="F408">
        <v>13</v>
      </c>
      <c r="G408" t="s">
        <v>1035</v>
      </c>
      <c r="H408" t="s">
        <v>1035</v>
      </c>
      <c r="I408" t="s">
        <v>1029</v>
      </c>
      <c r="J408" t="s">
        <v>1035</v>
      </c>
      <c r="K408">
        <v>407</v>
      </c>
      <c r="L408" t="str">
        <f t="shared" si="12"/>
        <v>Ashton Dulin</v>
      </c>
      <c r="M408" s="69">
        <f>IFERROR(VLOOKUP(E408,RISK!A:B,2,FALSE()),"")</f>
        <v>3.848101265822784</v>
      </c>
      <c r="N408" s="43" t="e">
        <f t="shared" si="13"/>
        <v>#N/A</v>
      </c>
    </row>
    <row r="409" spans="1:14" ht="14.25" customHeight="1" x14ac:dyDescent="0.3">
      <c r="A409">
        <v>408</v>
      </c>
      <c r="B409">
        <v>11</v>
      </c>
      <c r="C409" t="s">
        <v>957</v>
      </c>
      <c r="D409" t="s">
        <v>519</v>
      </c>
      <c r="E409" t="s">
        <v>420</v>
      </c>
      <c r="F409">
        <v>8</v>
      </c>
      <c r="G409" t="s">
        <v>1035</v>
      </c>
      <c r="H409" t="s">
        <v>1035</v>
      </c>
      <c r="I409" t="s">
        <v>1029</v>
      </c>
      <c r="J409" t="s">
        <v>1035</v>
      </c>
      <c r="K409">
        <v>408</v>
      </c>
      <c r="L409" t="str">
        <f t="shared" si="12"/>
        <v>Marlin Klein</v>
      </c>
      <c r="M409" s="69">
        <f>IFERROR(VLOOKUP(E409,RISK!A:B,2,FALSE()),"")</f>
        <v>2.2010999999999985</v>
      </c>
      <c r="N409" s="43" t="e">
        <f t="shared" si="13"/>
        <v>#N/A</v>
      </c>
    </row>
    <row r="410" spans="1:14" ht="14.25" customHeight="1" x14ac:dyDescent="0.3">
      <c r="A410">
        <v>409</v>
      </c>
      <c r="B410">
        <v>11</v>
      </c>
      <c r="C410" t="s">
        <v>961</v>
      </c>
      <c r="D410" t="s">
        <v>527</v>
      </c>
      <c r="E410" t="s">
        <v>421</v>
      </c>
      <c r="F410">
        <v>14</v>
      </c>
      <c r="G410" t="s">
        <v>1035</v>
      </c>
      <c r="H410" t="s">
        <v>1035</v>
      </c>
      <c r="I410" t="s">
        <v>1028</v>
      </c>
      <c r="J410" t="s">
        <v>1035</v>
      </c>
      <c r="K410">
        <v>409</v>
      </c>
      <c r="L410" t="str">
        <f t="shared" si="12"/>
        <v>Elijah Higgins</v>
      </c>
      <c r="M410" s="69">
        <f>IFERROR(VLOOKUP(E410,RISK!A:B,2,FALSE()),"")</f>
        <v>2.2010999999999985</v>
      </c>
      <c r="N410" s="43" t="e">
        <f t="shared" si="13"/>
        <v>#N/A</v>
      </c>
    </row>
    <row r="411" spans="1:14" ht="14.25" customHeight="1" x14ac:dyDescent="0.3">
      <c r="A411">
        <v>410</v>
      </c>
      <c r="B411">
        <v>11</v>
      </c>
      <c r="C411" t="s">
        <v>1354</v>
      </c>
      <c r="D411" t="s">
        <v>511</v>
      </c>
      <c r="E411" t="s">
        <v>1200</v>
      </c>
      <c r="F411">
        <v>13</v>
      </c>
      <c r="G411" t="s">
        <v>1035</v>
      </c>
      <c r="H411" t="s">
        <v>1035</v>
      </c>
      <c r="I411" t="s">
        <v>1029</v>
      </c>
      <c r="J411">
        <v>-96</v>
      </c>
      <c r="K411">
        <v>410</v>
      </c>
      <c r="L411" t="str">
        <f t="shared" si="12"/>
        <v>Spencer Shrader</v>
      </c>
      <c r="M411" s="69" t="str">
        <f>IFERROR(VLOOKUP(E411,RISK!A:B,2,FALSE()),"")</f>
        <v/>
      </c>
      <c r="N411" s="43" t="e">
        <f t="shared" si="13"/>
        <v>#N/A</v>
      </c>
    </row>
    <row r="412" spans="1:14" ht="14.25" customHeight="1" x14ac:dyDescent="0.3">
      <c r="A412">
        <v>411</v>
      </c>
      <c r="B412">
        <v>11</v>
      </c>
      <c r="C412" t="s">
        <v>1291</v>
      </c>
      <c r="D412" t="s">
        <v>505</v>
      </c>
      <c r="E412" t="s">
        <v>1216</v>
      </c>
      <c r="F412">
        <v>8</v>
      </c>
      <c r="G412" t="s">
        <v>1035</v>
      </c>
      <c r="H412" t="s">
        <v>1035</v>
      </c>
      <c r="I412" t="s">
        <v>1027</v>
      </c>
      <c r="J412" t="s">
        <v>1035</v>
      </c>
      <c r="K412">
        <v>411</v>
      </c>
      <c r="L412" t="str">
        <f t="shared" si="12"/>
        <v>Daniel Carlson</v>
      </c>
      <c r="M412" s="69" t="str">
        <f>IFERROR(VLOOKUP(E412,RISK!A:B,2,FALSE()),"")</f>
        <v/>
      </c>
      <c r="N412" s="43" t="e">
        <f t="shared" si="13"/>
        <v>#N/A</v>
      </c>
    </row>
    <row r="413" spans="1:14" ht="14.25" customHeight="1" x14ac:dyDescent="0.3">
      <c r="A413">
        <v>412</v>
      </c>
      <c r="B413">
        <v>11</v>
      </c>
      <c r="C413" t="s">
        <v>673</v>
      </c>
      <c r="D413" t="s">
        <v>479</v>
      </c>
      <c r="E413" t="s">
        <v>1212</v>
      </c>
      <c r="F413">
        <v>7</v>
      </c>
      <c r="G413" t="s">
        <v>1035</v>
      </c>
      <c r="H413" t="s">
        <v>1035</v>
      </c>
      <c r="I413" t="s">
        <v>1029</v>
      </c>
      <c r="J413" t="s">
        <v>1035</v>
      </c>
      <c r="K413">
        <v>412</v>
      </c>
      <c r="L413" t="str">
        <f t="shared" si="12"/>
        <v>Jeremy McNichols</v>
      </c>
      <c r="M413" s="69">
        <f>IFERROR(VLOOKUP(E413,RISK!A:B,2,FALSE()),"")</f>
        <v>4</v>
      </c>
      <c r="N413" s="43" t="e">
        <f t="shared" si="13"/>
        <v>#N/A</v>
      </c>
    </row>
    <row r="414" spans="1:14" ht="14.25" customHeight="1" x14ac:dyDescent="0.3">
      <c r="A414">
        <v>413</v>
      </c>
      <c r="B414">
        <v>11</v>
      </c>
      <c r="C414" t="s">
        <v>1234</v>
      </c>
      <c r="D414" t="s">
        <v>475</v>
      </c>
      <c r="E414" t="s">
        <v>422</v>
      </c>
      <c r="F414">
        <v>13</v>
      </c>
      <c r="G414" t="s">
        <v>1035</v>
      </c>
      <c r="H414" t="s">
        <v>1035</v>
      </c>
      <c r="I414" t="s">
        <v>1029</v>
      </c>
      <c r="J414" t="s">
        <v>1035</v>
      </c>
      <c r="K414">
        <v>413</v>
      </c>
      <c r="L414" t="str">
        <f t="shared" si="12"/>
        <v>Matt Hibner</v>
      </c>
      <c r="M414" s="69">
        <f>IFERROR(VLOOKUP(E414,RISK!A:B,2,FALSE()),"")</f>
        <v>2.2010999999999985</v>
      </c>
      <c r="N414" s="43" t="e">
        <f t="shared" si="13"/>
        <v>#N/A</v>
      </c>
    </row>
    <row r="415" spans="1:14" ht="14.25" customHeight="1" x14ac:dyDescent="0.3">
      <c r="A415">
        <v>414</v>
      </c>
      <c r="B415">
        <v>11</v>
      </c>
      <c r="C415" t="s">
        <v>672</v>
      </c>
      <c r="D415" t="s">
        <v>1124</v>
      </c>
      <c r="E415" t="s">
        <v>1214</v>
      </c>
      <c r="F415" t="s">
        <v>1035</v>
      </c>
      <c r="G415" t="s">
        <v>1035</v>
      </c>
      <c r="H415" t="s">
        <v>1035</v>
      </c>
      <c r="I415" t="s">
        <v>1035</v>
      </c>
      <c r="J415" t="s">
        <v>1035</v>
      </c>
      <c r="K415">
        <v>414</v>
      </c>
      <c r="L415" t="str">
        <f t="shared" si="12"/>
        <v>Jam Miller</v>
      </c>
      <c r="M415" s="69">
        <f>IFERROR(VLOOKUP(E415,RISK!A:B,2,FALSE()),"")</f>
        <v>4</v>
      </c>
      <c r="N415" s="43" t="e">
        <f t="shared" si="13"/>
        <v>#N/A</v>
      </c>
    </row>
    <row r="416" spans="1:14" ht="14.25" customHeight="1" x14ac:dyDescent="0.3">
      <c r="A416">
        <v>415</v>
      </c>
      <c r="B416">
        <v>11</v>
      </c>
      <c r="C416" t="s">
        <v>1191</v>
      </c>
      <c r="D416" t="s">
        <v>525</v>
      </c>
      <c r="E416" t="s">
        <v>1181</v>
      </c>
      <c r="F416">
        <v>9</v>
      </c>
      <c r="G416" t="s">
        <v>1035</v>
      </c>
      <c r="H416" t="s">
        <v>1035</v>
      </c>
      <c r="I416" t="s">
        <v>1028</v>
      </c>
      <c r="J416" t="s">
        <v>1035</v>
      </c>
      <c r="K416">
        <v>415</v>
      </c>
      <c r="L416" t="str">
        <f t="shared" si="12"/>
        <v>Tennessee Titans</v>
      </c>
      <c r="M416" s="69" t="str">
        <f>IFERROR(VLOOKUP(E416,RISK!A:B,2,FALSE()),"")</f>
        <v/>
      </c>
      <c r="N416" s="43" t="e">
        <f t="shared" si="13"/>
        <v>#N/A</v>
      </c>
    </row>
    <row r="417" spans="1:14" ht="14.25" customHeight="1" x14ac:dyDescent="0.3">
      <c r="A417">
        <v>416</v>
      </c>
      <c r="B417">
        <v>11</v>
      </c>
      <c r="C417" t="s">
        <v>955</v>
      </c>
      <c r="D417" t="s">
        <v>515</v>
      </c>
      <c r="E417" t="s">
        <v>423</v>
      </c>
      <c r="F417">
        <v>11</v>
      </c>
      <c r="G417" t="s">
        <v>1035</v>
      </c>
      <c r="H417" t="s">
        <v>1035</v>
      </c>
      <c r="I417" t="s">
        <v>1028</v>
      </c>
      <c r="J417" t="s">
        <v>1035</v>
      </c>
      <c r="K417">
        <v>416</v>
      </c>
      <c r="L417" t="str">
        <f t="shared" si="12"/>
        <v>Luke Musgrave</v>
      </c>
      <c r="M417" s="69">
        <f>IFERROR(VLOOKUP(E417,RISK!A:B,2,FALSE()),"")</f>
        <v>2.2010999999999985</v>
      </c>
      <c r="N417" s="43" t="e">
        <f t="shared" si="13"/>
        <v>#N/A</v>
      </c>
    </row>
    <row r="418" spans="1:14" ht="14.25" customHeight="1" x14ac:dyDescent="0.3">
      <c r="A418">
        <v>417</v>
      </c>
      <c r="B418">
        <v>11</v>
      </c>
      <c r="C418" t="s">
        <v>870</v>
      </c>
      <c r="D418" t="s">
        <v>509</v>
      </c>
      <c r="E418" t="s">
        <v>1203</v>
      </c>
      <c r="F418">
        <v>6</v>
      </c>
      <c r="G418" t="s">
        <v>1035</v>
      </c>
      <c r="H418" t="s">
        <v>1035</v>
      </c>
      <c r="I418" t="s">
        <v>1027</v>
      </c>
      <c r="J418" t="s">
        <v>1035</v>
      </c>
      <c r="K418">
        <v>417</v>
      </c>
      <c r="L418" t="str">
        <f t="shared" si="12"/>
        <v>Tai Felton</v>
      </c>
      <c r="M418" s="69">
        <f>IFERROR(VLOOKUP(E418,RISK!A:B,2,FALSE()),"")</f>
        <v>3.848101265822784</v>
      </c>
      <c r="N418" s="43" t="e">
        <f t="shared" si="13"/>
        <v>#N/A</v>
      </c>
    </row>
    <row r="419" spans="1:14" ht="14.25" customHeight="1" x14ac:dyDescent="0.3">
      <c r="A419">
        <v>418</v>
      </c>
      <c r="B419">
        <v>11</v>
      </c>
      <c r="C419" t="s">
        <v>1514</v>
      </c>
      <c r="D419" t="s">
        <v>477</v>
      </c>
      <c r="E419" t="s">
        <v>1217</v>
      </c>
      <c r="F419">
        <v>11</v>
      </c>
      <c r="G419" t="s">
        <v>1035</v>
      </c>
      <c r="H419" t="s">
        <v>1035</v>
      </c>
      <c r="I419" t="s">
        <v>1028</v>
      </c>
      <c r="J419" t="s">
        <v>1035</v>
      </c>
      <c r="K419">
        <v>418</v>
      </c>
      <c r="L419" t="str">
        <f t="shared" si="12"/>
        <v>Corey Kiner</v>
      </c>
      <c r="M419" s="69">
        <f>IFERROR(VLOOKUP(E419,RISK!A:B,2,FALSE()),"")</f>
        <v>4</v>
      </c>
      <c r="N419" s="43" t="e">
        <f t="shared" si="13"/>
        <v>#N/A</v>
      </c>
    </row>
    <row r="420" spans="1:14" ht="14.25" customHeight="1" x14ac:dyDescent="0.3">
      <c r="A420">
        <v>419</v>
      </c>
      <c r="B420">
        <v>11</v>
      </c>
      <c r="C420" t="s">
        <v>1195</v>
      </c>
      <c r="D420" t="s">
        <v>1124</v>
      </c>
      <c r="E420" t="s">
        <v>1219</v>
      </c>
      <c r="F420" t="s">
        <v>1035</v>
      </c>
      <c r="G420" t="s">
        <v>1035</v>
      </c>
      <c r="H420" t="s">
        <v>1035</v>
      </c>
      <c r="I420" t="s">
        <v>1035</v>
      </c>
      <c r="J420" t="s">
        <v>1035</v>
      </c>
      <c r="K420">
        <v>419</v>
      </c>
      <c r="L420" t="str">
        <f t="shared" si="12"/>
        <v>Zane Gonzalez</v>
      </c>
      <c r="M420" s="69" t="str">
        <f>IFERROR(VLOOKUP(E420,RISK!A:B,2,FALSE()),"")</f>
        <v/>
      </c>
      <c r="N420" s="43" t="e">
        <f t="shared" si="13"/>
        <v>#N/A</v>
      </c>
    </row>
    <row r="421" spans="1:14" ht="14.25" customHeight="1" x14ac:dyDescent="0.3">
      <c r="A421">
        <v>420</v>
      </c>
      <c r="B421">
        <v>11</v>
      </c>
      <c r="C421" t="s">
        <v>681</v>
      </c>
      <c r="D421" t="s">
        <v>491</v>
      </c>
      <c r="E421" t="s">
        <v>1220</v>
      </c>
      <c r="F421">
        <v>14</v>
      </c>
      <c r="G421" t="s">
        <v>1035</v>
      </c>
      <c r="H421" t="s">
        <v>1035</v>
      </c>
      <c r="I421" t="s">
        <v>1029</v>
      </c>
      <c r="J421" t="s">
        <v>1035</v>
      </c>
      <c r="K421">
        <v>420</v>
      </c>
      <c r="L421" t="str">
        <f t="shared" si="12"/>
        <v>Hunter Luepke</v>
      </c>
      <c r="M421" s="69">
        <f>IFERROR(VLOOKUP(E421,RISK!A:B,2,FALSE()),"")</f>
        <v>4</v>
      </c>
      <c r="N421" s="43" t="e">
        <f t="shared" si="13"/>
        <v>#N/A</v>
      </c>
    </row>
    <row r="422" spans="1:14" ht="14.25" customHeight="1" x14ac:dyDescent="0.3">
      <c r="A422">
        <v>421</v>
      </c>
      <c r="B422">
        <v>11</v>
      </c>
      <c r="C422" t="s">
        <v>954</v>
      </c>
      <c r="D422" t="s">
        <v>499</v>
      </c>
      <c r="E422" t="s">
        <v>424</v>
      </c>
      <c r="F422">
        <v>10</v>
      </c>
      <c r="G422" t="s">
        <v>1035</v>
      </c>
      <c r="H422" t="s">
        <v>1035</v>
      </c>
      <c r="I422" t="s">
        <v>1029</v>
      </c>
      <c r="J422" t="s">
        <v>1035</v>
      </c>
      <c r="K422">
        <v>421</v>
      </c>
      <c r="L422" t="str">
        <f t="shared" si="12"/>
        <v>Adam Trautman</v>
      </c>
      <c r="M422" s="69">
        <f>IFERROR(VLOOKUP(E422,RISK!A:B,2,FALSE()),"")</f>
        <v>2.2010999999999985</v>
      </c>
      <c r="N422" s="43" t="e">
        <f t="shared" si="13"/>
        <v>#N/A</v>
      </c>
    </row>
    <row r="423" spans="1:14" ht="14.25" customHeight="1" x14ac:dyDescent="0.3">
      <c r="A423">
        <v>422</v>
      </c>
      <c r="B423">
        <v>11</v>
      </c>
      <c r="C423" t="s">
        <v>835</v>
      </c>
      <c r="D423" t="s">
        <v>475</v>
      </c>
      <c r="E423" t="s">
        <v>1206</v>
      </c>
      <c r="F423">
        <v>13</v>
      </c>
      <c r="G423" t="s">
        <v>1035</v>
      </c>
      <c r="H423" t="s">
        <v>1035</v>
      </c>
      <c r="I423" t="s">
        <v>1029</v>
      </c>
      <c r="J423" t="s">
        <v>1035</v>
      </c>
      <c r="K423">
        <v>422</v>
      </c>
      <c r="L423" t="str">
        <f t="shared" si="12"/>
        <v>Devontez Walker</v>
      </c>
      <c r="M423" s="69">
        <f>IFERROR(VLOOKUP(E423,RISK!A:B,2,FALSE()),"")</f>
        <v>3.848101265822784</v>
      </c>
      <c r="N423" s="43" t="e">
        <f t="shared" si="13"/>
        <v>#N/A</v>
      </c>
    </row>
    <row r="424" spans="1:14" ht="14.25" customHeight="1" x14ac:dyDescent="0.3">
      <c r="A424">
        <v>423</v>
      </c>
      <c r="B424">
        <v>11</v>
      </c>
      <c r="C424" t="s">
        <v>670</v>
      </c>
      <c r="D424" t="s">
        <v>1124</v>
      </c>
      <c r="E424" t="s">
        <v>1222</v>
      </c>
      <c r="F424" t="s">
        <v>1035</v>
      </c>
      <c r="G424" t="s">
        <v>1035</v>
      </c>
      <c r="H424" t="s">
        <v>1035</v>
      </c>
      <c r="I424" t="s">
        <v>1035</v>
      </c>
      <c r="J424" t="s">
        <v>1035</v>
      </c>
      <c r="K424">
        <v>423</v>
      </c>
      <c r="L424" t="str">
        <f t="shared" si="12"/>
        <v>Phil Mafah</v>
      </c>
      <c r="M424" s="69">
        <f>IFERROR(VLOOKUP(E424,RISK!A:B,2,FALSE()),"")</f>
        <v>4</v>
      </c>
      <c r="N424" s="43" t="e">
        <f t="shared" si="13"/>
        <v>#N/A</v>
      </c>
    </row>
    <row r="425" spans="1:14" ht="14.25" customHeight="1" x14ac:dyDescent="0.3">
      <c r="A425">
        <v>424</v>
      </c>
      <c r="B425">
        <v>11</v>
      </c>
      <c r="C425" t="s">
        <v>1226</v>
      </c>
      <c r="D425" t="s">
        <v>511</v>
      </c>
      <c r="E425" t="s">
        <v>1210</v>
      </c>
      <c r="F425">
        <v>13</v>
      </c>
      <c r="G425" t="s">
        <v>1035</v>
      </c>
      <c r="H425" t="s">
        <v>1035</v>
      </c>
      <c r="I425" t="s">
        <v>1029</v>
      </c>
      <c r="J425" t="s">
        <v>1035</v>
      </c>
      <c r="K425">
        <v>424</v>
      </c>
      <c r="L425" t="str">
        <f t="shared" si="12"/>
        <v>Deion Burks</v>
      </c>
      <c r="M425" s="69">
        <f>IFERROR(VLOOKUP(E425,RISK!A:B,2,FALSE()),"")</f>
        <v>3.848101265822784</v>
      </c>
      <c r="N425" s="43" t="e">
        <f t="shared" si="13"/>
        <v>#N/A</v>
      </c>
    </row>
    <row r="426" spans="1:14" ht="14.25" customHeight="1" x14ac:dyDescent="0.3">
      <c r="A426">
        <v>425</v>
      </c>
      <c r="B426">
        <v>11</v>
      </c>
      <c r="C426" t="s">
        <v>1241</v>
      </c>
      <c r="D426" t="s">
        <v>501</v>
      </c>
      <c r="E426" t="s">
        <v>1231</v>
      </c>
      <c r="F426">
        <v>11</v>
      </c>
      <c r="G426" t="s">
        <v>1035</v>
      </c>
      <c r="H426" t="s">
        <v>1035</v>
      </c>
      <c r="I426" t="s">
        <v>1027</v>
      </c>
      <c r="J426" t="s">
        <v>1035</v>
      </c>
      <c r="K426">
        <v>425</v>
      </c>
      <c r="L426" t="str">
        <f t="shared" si="12"/>
        <v>Ronnie Rivers</v>
      </c>
      <c r="M426" s="69">
        <f>IFERROR(VLOOKUP(E426,RISK!A:B,2,FALSE()),"")</f>
        <v>4</v>
      </c>
      <c r="N426" s="43" t="e">
        <f t="shared" si="13"/>
        <v>#N/A</v>
      </c>
    </row>
    <row r="427" spans="1:14" ht="14.25" customHeight="1" x14ac:dyDescent="0.3">
      <c r="A427">
        <v>426</v>
      </c>
      <c r="B427">
        <v>12</v>
      </c>
      <c r="C427" t="s">
        <v>1180</v>
      </c>
      <c r="D427" t="s">
        <v>483</v>
      </c>
      <c r="E427" t="s">
        <v>1192</v>
      </c>
      <c r="F427">
        <v>6</v>
      </c>
      <c r="G427" t="s">
        <v>1035</v>
      </c>
      <c r="H427" t="s">
        <v>1035</v>
      </c>
      <c r="I427" t="s">
        <v>1029</v>
      </c>
      <c r="J427" t="s">
        <v>1035</v>
      </c>
      <c r="K427">
        <v>426</v>
      </c>
      <c r="L427" t="str">
        <f t="shared" si="12"/>
        <v>Cincinnati Bengals</v>
      </c>
      <c r="M427" s="69" t="str">
        <f>IFERROR(VLOOKUP(E427,RISK!A:B,2,FALSE()),"")</f>
        <v/>
      </c>
      <c r="N427" s="43" t="e">
        <f t="shared" si="13"/>
        <v>#N/A</v>
      </c>
    </row>
    <row r="428" spans="1:14" ht="14.25" customHeight="1" x14ac:dyDescent="0.3">
      <c r="A428">
        <v>427</v>
      </c>
      <c r="B428">
        <v>12</v>
      </c>
      <c r="C428" t="s">
        <v>858</v>
      </c>
      <c r="D428" t="s">
        <v>1124</v>
      </c>
      <c r="E428" t="s">
        <v>1223</v>
      </c>
      <c r="F428" t="s">
        <v>1035</v>
      </c>
      <c r="G428" t="s">
        <v>1035</v>
      </c>
      <c r="H428" t="s">
        <v>1035</v>
      </c>
      <c r="I428" t="s">
        <v>1035</v>
      </c>
      <c r="J428" t="s">
        <v>1035</v>
      </c>
      <c r="K428">
        <v>427</v>
      </c>
      <c r="L428" t="str">
        <f t="shared" si="12"/>
        <v>Nick Westbrook-Ikhine</v>
      </c>
      <c r="M428" s="69">
        <f>IFERROR(VLOOKUP(E428,RISK!A:B,2,FALSE()),"")</f>
        <v>3.848101265822784</v>
      </c>
      <c r="N428" s="43" t="e">
        <f t="shared" si="13"/>
        <v>#N/A</v>
      </c>
    </row>
    <row r="429" spans="1:14" ht="14.25" customHeight="1" x14ac:dyDescent="0.3">
      <c r="A429">
        <v>428</v>
      </c>
      <c r="B429">
        <v>12</v>
      </c>
      <c r="C429" t="s">
        <v>832</v>
      </c>
      <c r="D429" t="s">
        <v>479</v>
      </c>
      <c r="E429" t="s">
        <v>1227</v>
      </c>
      <c r="F429">
        <v>7</v>
      </c>
      <c r="G429" t="s">
        <v>1035</v>
      </c>
      <c r="H429" t="s">
        <v>1035</v>
      </c>
      <c r="I429" t="s">
        <v>1028</v>
      </c>
      <c r="J429" t="s">
        <v>1035</v>
      </c>
      <c r="K429">
        <v>428</v>
      </c>
      <c r="L429" t="str">
        <f t="shared" si="12"/>
        <v>Dyami Brown</v>
      </c>
      <c r="M429" s="69">
        <f>IFERROR(VLOOKUP(E429,RISK!A:B,2,FALSE()),"")</f>
        <v>3.848101265822784</v>
      </c>
      <c r="N429" s="43" t="e">
        <f t="shared" si="13"/>
        <v>#N/A</v>
      </c>
    </row>
    <row r="430" spans="1:14" ht="14.25" customHeight="1" x14ac:dyDescent="0.3">
      <c r="A430">
        <v>429</v>
      </c>
      <c r="B430">
        <v>12</v>
      </c>
      <c r="C430" t="s">
        <v>634</v>
      </c>
      <c r="D430" t="s">
        <v>521</v>
      </c>
      <c r="E430" t="s">
        <v>1233</v>
      </c>
      <c r="F430">
        <v>5</v>
      </c>
      <c r="G430" t="s">
        <v>1035</v>
      </c>
      <c r="H430" t="s">
        <v>1035</v>
      </c>
      <c r="I430" t="s">
        <v>1031</v>
      </c>
      <c r="J430" t="s">
        <v>1035</v>
      </c>
      <c r="K430">
        <v>429</v>
      </c>
      <c r="L430" t="str">
        <f t="shared" si="12"/>
        <v>AJ Dillon</v>
      </c>
      <c r="M430" s="69">
        <f>IFERROR(VLOOKUP(E430,RISK!A:B,2,FALSE()),"")</f>
        <v>4</v>
      </c>
      <c r="N430" s="43" t="e">
        <f t="shared" si="13"/>
        <v>#N/A</v>
      </c>
    </row>
    <row r="431" spans="1:14" ht="14.25" customHeight="1" x14ac:dyDescent="0.3">
      <c r="A431">
        <v>430</v>
      </c>
      <c r="B431">
        <v>12</v>
      </c>
      <c r="C431" t="s">
        <v>1224</v>
      </c>
      <c r="D431" t="s">
        <v>531</v>
      </c>
      <c r="E431" t="s">
        <v>1208</v>
      </c>
      <c r="F431">
        <v>13</v>
      </c>
      <c r="G431" t="s">
        <v>1035</v>
      </c>
      <c r="H431" t="s">
        <v>1035</v>
      </c>
      <c r="I431" t="s">
        <v>1029</v>
      </c>
      <c r="J431" t="s">
        <v>1035</v>
      </c>
      <c r="K431">
        <v>430</v>
      </c>
      <c r="L431" t="str">
        <f t="shared" si="12"/>
        <v>Las Vegas Raiders</v>
      </c>
      <c r="M431" s="69" t="str">
        <f>IFERROR(VLOOKUP(E431,RISK!A:B,2,FALSE()),"")</f>
        <v/>
      </c>
      <c r="N431" s="43" t="e">
        <f t="shared" si="13"/>
        <v>#N/A</v>
      </c>
    </row>
    <row r="432" spans="1:14" ht="14.25" customHeight="1" x14ac:dyDescent="0.3">
      <c r="A432">
        <v>431</v>
      </c>
      <c r="B432">
        <v>12</v>
      </c>
      <c r="C432" t="s">
        <v>949</v>
      </c>
      <c r="D432" t="s">
        <v>509</v>
      </c>
      <c r="E432" t="s">
        <v>425</v>
      </c>
      <c r="F432">
        <v>6</v>
      </c>
      <c r="G432" t="s">
        <v>1035</v>
      </c>
      <c r="H432" t="s">
        <v>1035</v>
      </c>
      <c r="I432" t="s">
        <v>1029</v>
      </c>
      <c r="J432" t="s">
        <v>1035</v>
      </c>
      <c r="K432">
        <v>431</v>
      </c>
      <c r="L432" t="str">
        <f t="shared" si="12"/>
        <v>Josh Oliver</v>
      </c>
      <c r="M432" s="69">
        <f>IFERROR(VLOOKUP(E432,RISK!A:B,2,FALSE()),"")</f>
        <v>2.2010999999999985</v>
      </c>
      <c r="N432" s="43" t="e">
        <f t="shared" si="13"/>
        <v>#N/A</v>
      </c>
    </row>
    <row r="433" spans="1:14" ht="14.25" customHeight="1" x14ac:dyDescent="0.3">
      <c r="A433">
        <v>432</v>
      </c>
      <c r="B433">
        <v>12</v>
      </c>
      <c r="C433" t="s">
        <v>1207</v>
      </c>
      <c r="D433" t="s">
        <v>513</v>
      </c>
      <c r="E433" t="s">
        <v>1225</v>
      </c>
      <c r="F433">
        <v>6</v>
      </c>
      <c r="G433" t="s">
        <v>1035</v>
      </c>
      <c r="H433" t="s">
        <v>1035</v>
      </c>
      <c r="I433" t="s">
        <v>1032</v>
      </c>
      <c r="J433" t="s">
        <v>1035</v>
      </c>
      <c r="K433">
        <v>432</v>
      </c>
      <c r="L433" t="str">
        <f t="shared" si="12"/>
        <v>Miami Dolphins</v>
      </c>
      <c r="M433" s="69" t="str">
        <f>IFERROR(VLOOKUP(E433,RISK!A:B,2,FALSE()),"")</f>
        <v/>
      </c>
      <c r="N433" s="43" t="e">
        <f t="shared" si="13"/>
        <v>#N/A</v>
      </c>
    </row>
    <row r="434" spans="1:14" ht="14.25" customHeight="1" x14ac:dyDescent="0.3">
      <c r="A434">
        <v>433</v>
      </c>
      <c r="B434">
        <v>12</v>
      </c>
      <c r="C434" t="s">
        <v>1218</v>
      </c>
      <c r="D434" t="s">
        <v>523</v>
      </c>
      <c r="E434" t="s">
        <v>1277</v>
      </c>
      <c r="F434">
        <v>13</v>
      </c>
      <c r="G434" t="s">
        <v>1035</v>
      </c>
      <c r="H434" t="s">
        <v>1035</v>
      </c>
      <c r="I434" t="s">
        <v>1028</v>
      </c>
      <c r="J434" t="s">
        <v>1035</v>
      </c>
      <c r="K434">
        <v>433</v>
      </c>
      <c r="L434" t="str">
        <f t="shared" si="12"/>
        <v>Blake Grupe</v>
      </c>
      <c r="M434" s="69" t="str">
        <f>IFERROR(VLOOKUP(E434,RISK!A:B,2,FALSE()),"")</f>
        <v/>
      </c>
      <c r="N434" s="43" t="e">
        <f t="shared" si="13"/>
        <v>#N/A</v>
      </c>
    </row>
    <row r="435" spans="1:14" ht="14.25" customHeight="1" x14ac:dyDescent="0.3">
      <c r="A435">
        <v>434</v>
      </c>
      <c r="B435">
        <v>12</v>
      </c>
      <c r="C435" t="s">
        <v>675</v>
      </c>
      <c r="D435" t="s">
        <v>481</v>
      </c>
      <c r="E435" t="s">
        <v>1236</v>
      </c>
      <c r="F435">
        <v>10</v>
      </c>
      <c r="G435" t="s">
        <v>1035</v>
      </c>
      <c r="H435" t="s">
        <v>1035</v>
      </c>
      <c r="I435" t="s">
        <v>1029</v>
      </c>
      <c r="J435" t="s">
        <v>1035</v>
      </c>
      <c r="K435">
        <v>434</v>
      </c>
      <c r="L435" t="str">
        <f t="shared" si="12"/>
        <v>Dameon Pierce</v>
      </c>
      <c r="M435" s="69">
        <f>IFERROR(VLOOKUP(E435,RISK!A:B,2,FALSE()),"")</f>
        <v>4</v>
      </c>
      <c r="N435" s="43" t="e">
        <f t="shared" si="13"/>
        <v>#N/A</v>
      </c>
    </row>
    <row r="436" spans="1:14" ht="14.25" customHeight="1" x14ac:dyDescent="0.3">
      <c r="A436">
        <v>435</v>
      </c>
      <c r="B436">
        <v>12</v>
      </c>
      <c r="C436" t="s">
        <v>855</v>
      </c>
      <c r="D436" t="s">
        <v>521</v>
      </c>
      <c r="E436" t="s">
        <v>1228</v>
      </c>
      <c r="F436">
        <v>5</v>
      </c>
      <c r="G436" t="s">
        <v>1035</v>
      </c>
      <c r="H436" t="s">
        <v>1035</v>
      </c>
      <c r="I436" t="s">
        <v>1028</v>
      </c>
      <c r="J436" t="s">
        <v>1035</v>
      </c>
      <c r="K436">
        <v>435</v>
      </c>
      <c r="L436" t="str">
        <f t="shared" si="12"/>
        <v>Jimmy Horn Jr.</v>
      </c>
      <c r="M436" s="69">
        <f>IFERROR(VLOOKUP(E436,RISK!A:B,2,FALSE()),"")</f>
        <v>3.848101265822784</v>
      </c>
      <c r="N436" s="43" t="e">
        <f t="shared" si="13"/>
        <v>#N/A</v>
      </c>
    </row>
    <row r="437" spans="1:14" ht="14.25" customHeight="1" x14ac:dyDescent="0.3">
      <c r="A437">
        <v>436</v>
      </c>
      <c r="B437">
        <v>12</v>
      </c>
      <c r="C437" t="s">
        <v>1559</v>
      </c>
      <c r="D437" t="s">
        <v>489</v>
      </c>
      <c r="E437" t="s">
        <v>1237</v>
      </c>
      <c r="F437">
        <v>7</v>
      </c>
      <c r="G437" t="s">
        <v>1035</v>
      </c>
      <c r="H437" t="s">
        <v>1035</v>
      </c>
      <c r="I437" t="s">
        <v>1029</v>
      </c>
      <c r="J437" t="s">
        <v>1035</v>
      </c>
      <c r="K437">
        <v>436</v>
      </c>
      <c r="L437" t="str">
        <f t="shared" si="12"/>
        <v>Ameer Abdullah</v>
      </c>
      <c r="M437" s="69">
        <f>IFERROR(VLOOKUP(E437,RISK!A:B,2,FALSE()),"")</f>
        <v>4</v>
      </c>
      <c r="N437" s="43" t="e">
        <f t="shared" si="13"/>
        <v>#N/A</v>
      </c>
    </row>
    <row r="438" spans="1:14" ht="14.25" customHeight="1" x14ac:dyDescent="0.3">
      <c r="A438">
        <v>437</v>
      </c>
      <c r="B438">
        <v>12</v>
      </c>
      <c r="C438" t="s">
        <v>825</v>
      </c>
      <c r="D438" t="s">
        <v>495</v>
      </c>
      <c r="E438" t="s">
        <v>1230</v>
      </c>
      <c r="F438">
        <v>10</v>
      </c>
      <c r="G438" t="s">
        <v>1035</v>
      </c>
      <c r="H438" t="s">
        <v>1035</v>
      </c>
      <c r="I438" t="s">
        <v>1032</v>
      </c>
      <c r="J438" t="s">
        <v>1035</v>
      </c>
      <c r="K438">
        <v>437</v>
      </c>
      <c r="L438" t="str">
        <f t="shared" si="12"/>
        <v>Jahdae Walker</v>
      </c>
      <c r="M438" s="69">
        <f>IFERROR(VLOOKUP(E438,RISK!A:B,2,FALSE()),"")</f>
        <v>3.848101265822784</v>
      </c>
      <c r="N438" s="43" t="e">
        <f t="shared" si="13"/>
        <v>#N/A</v>
      </c>
    </row>
    <row r="439" spans="1:14" ht="14.25" customHeight="1" x14ac:dyDescent="0.3">
      <c r="A439">
        <v>438</v>
      </c>
      <c r="B439">
        <v>12</v>
      </c>
      <c r="C439" t="s">
        <v>970</v>
      </c>
      <c r="D439" t="s">
        <v>471</v>
      </c>
      <c r="E439" t="s">
        <v>426</v>
      </c>
      <c r="F439">
        <v>7</v>
      </c>
      <c r="G439" t="s">
        <v>1035</v>
      </c>
      <c r="H439" t="s">
        <v>1035</v>
      </c>
      <c r="I439" t="s">
        <v>1032</v>
      </c>
      <c r="J439" t="s">
        <v>1035</v>
      </c>
      <c r="K439">
        <v>438</v>
      </c>
      <c r="L439" t="str">
        <f t="shared" si="12"/>
        <v>Jackson Hawes</v>
      </c>
      <c r="M439" s="69">
        <f>IFERROR(VLOOKUP(E439,RISK!A:B,2,FALSE()),"")</f>
        <v>2.2010999999999985</v>
      </c>
      <c r="N439" s="43" t="e">
        <f t="shared" si="13"/>
        <v>#N/A</v>
      </c>
    </row>
    <row r="440" spans="1:14" ht="14.25" customHeight="1" x14ac:dyDescent="0.3">
      <c r="A440">
        <v>439</v>
      </c>
      <c r="B440">
        <v>12</v>
      </c>
      <c r="C440" t="s">
        <v>998</v>
      </c>
      <c r="D440" t="s">
        <v>489</v>
      </c>
      <c r="E440" t="s">
        <v>427</v>
      </c>
      <c r="F440">
        <v>7</v>
      </c>
      <c r="G440" t="s">
        <v>1035</v>
      </c>
      <c r="H440" t="s">
        <v>1035</v>
      </c>
      <c r="I440" t="s">
        <v>1032</v>
      </c>
      <c r="J440" t="s">
        <v>1035</v>
      </c>
      <c r="K440">
        <v>439</v>
      </c>
      <c r="L440" t="str">
        <f t="shared" si="12"/>
        <v>Tanner Koziol</v>
      </c>
      <c r="M440" s="69">
        <f>IFERROR(VLOOKUP(E440,RISK!A:B,2,FALSE()),"")</f>
        <v>2.2010999999999985</v>
      </c>
      <c r="N440" s="43" t="e">
        <f t="shared" si="13"/>
        <v>#N/A</v>
      </c>
    </row>
    <row r="441" spans="1:14" ht="14.25" customHeight="1" x14ac:dyDescent="0.3">
      <c r="A441">
        <v>440</v>
      </c>
      <c r="B441">
        <v>12</v>
      </c>
      <c r="C441" t="s">
        <v>704</v>
      </c>
      <c r="D441" t="s">
        <v>499</v>
      </c>
      <c r="E441" t="s">
        <v>1239</v>
      </c>
      <c r="F441">
        <v>10</v>
      </c>
      <c r="G441" t="s">
        <v>1035</v>
      </c>
      <c r="H441" t="s">
        <v>1035</v>
      </c>
      <c r="I441" t="s">
        <v>1028</v>
      </c>
      <c r="J441" t="s">
        <v>1035</v>
      </c>
      <c r="K441">
        <v>440</v>
      </c>
      <c r="L441" t="str">
        <f t="shared" si="12"/>
        <v>Tyler Badie</v>
      </c>
      <c r="M441" s="69">
        <f>IFERROR(VLOOKUP(E441,RISK!A:B,2,FALSE()),"")</f>
        <v>4</v>
      </c>
      <c r="N441" s="43" t="e">
        <f t="shared" si="13"/>
        <v>#N/A</v>
      </c>
    </row>
    <row r="442" spans="1:14" ht="14.25" customHeight="1" x14ac:dyDescent="0.3">
      <c r="A442">
        <v>441</v>
      </c>
      <c r="B442">
        <v>12</v>
      </c>
      <c r="C442" t="s">
        <v>962</v>
      </c>
      <c r="D442" t="s">
        <v>479</v>
      </c>
      <c r="E442" t="s">
        <v>428</v>
      </c>
      <c r="F442">
        <v>7</v>
      </c>
      <c r="G442" t="s">
        <v>1035</v>
      </c>
      <c r="H442" t="s">
        <v>1035</v>
      </c>
      <c r="I442" t="s">
        <v>1031</v>
      </c>
      <c r="J442" t="s">
        <v>1035</v>
      </c>
      <c r="K442">
        <v>441</v>
      </c>
      <c r="L442" t="str">
        <f t="shared" si="12"/>
        <v>John Bates</v>
      </c>
      <c r="M442" s="69">
        <f>IFERROR(VLOOKUP(E442,RISK!A:B,2,FALSE()),"")</f>
        <v>2.2010999999999985</v>
      </c>
      <c r="N442" s="43" t="e">
        <f t="shared" si="13"/>
        <v>#N/A</v>
      </c>
    </row>
    <row r="443" spans="1:14" ht="14.25" customHeight="1" x14ac:dyDescent="0.3">
      <c r="A443">
        <v>442</v>
      </c>
      <c r="B443">
        <v>12</v>
      </c>
      <c r="C443" t="s">
        <v>696</v>
      </c>
      <c r="D443" t="s">
        <v>477</v>
      </c>
      <c r="E443" t="s">
        <v>1242</v>
      </c>
      <c r="F443">
        <v>11</v>
      </c>
      <c r="G443" t="s">
        <v>1035</v>
      </c>
      <c r="H443" t="s">
        <v>1035</v>
      </c>
      <c r="I443" t="s">
        <v>1028</v>
      </c>
      <c r="J443" t="s">
        <v>1035</v>
      </c>
      <c r="K443">
        <v>442</v>
      </c>
      <c r="L443" t="str">
        <f t="shared" si="12"/>
        <v>Reggie Gilliam</v>
      </c>
      <c r="M443" s="69">
        <f>IFERROR(VLOOKUP(E443,RISK!A:B,2,FALSE()),"")</f>
        <v>4</v>
      </c>
      <c r="N443" s="43" t="e">
        <f t="shared" si="13"/>
        <v>#N/A</v>
      </c>
    </row>
    <row r="444" spans="1:14" ht="14.25" customHeight="1" x14ac:dyDescent="0.3">
      <c r="A444">
        <v>443</v>
      </c>
      <c r="B444">
        <v>12</v>
      </c>
      <c r="C444" t="s">
        <v>576</v>
      </c>
      <c r="D444" t="s">
        <v>491</v>
      </c>
      <c r="E444" t="s">
        <v>408</v>
      </c>
      <c r="F444">
        <v>14</v>
      </c>
      <c r="G444" t="s">
        <v>1035</v>
      </c>
      <c r="H444" t="s">
        <v>1035</v>
      </c>
      <c r="I444" t="s">
        <v>1028</v>
      </c>
      <c r="J444" t="s">
        <v>1035</v>
      </c>
      <c r="K444">
        <v>443</v>
      </c>
      <c r="L444" t="str">
        <f t="shared" si="12"/>
        <v>Joe Milton III</v>
      </c>
      <c r="M444" s="69">
        <f>IFERROR(VLOOKUP(E444,RISK!A:B,2,FALSE()),"")</f>
        <v>3.2</v>
      </c>
      <c r="N444" s="43">
        <f t="shared" si="13"/>
        <v>7.383811764705885</v>
      </c>
    </row>
    <row r="445" spans="1:14" ht="14.25" customHeight="1" x14ac:dyDescent="0.3">
      <c r="A445">
        <v>444</v>
      </c>
      <c r="B445">
        <v>12</v>
      </c>
      <c r="C445" t="s">
        <v>792</v>
      </c>
      <c r="D445" t="s">
        <v>1124</v>
      </c>
      <c r="E445" t="s">
        <v>1243</v>
      </c>
      <c r="F445" t="s">
        <v>1035</v>
      </c>
      <c r="G445" t="s">
        <v>1035</v>
      </c>
      <c r="H445" t="s">
        <v>1035</v>
      </c>
      <c r="I445" t="s">
        <v>1035</v>
      </c>
      <c r="J445" t="s">
        <v>1035</v>
      </c>
      <c r="K445">
        <v>444</v>
      </c>
      <c r="L445" t="str">
        <f t="shared" si="12"/>
        <v>Antonio Williams</v>
      </c>
      <c r="M445" s="69">
        <f>IFERROR(VLOOKUP(E445,RISK!A:B,2,FALSE()),"")</f>
        <v>4</v>
      </c>
      <c r="N445" s="43" t="e">
        <f t="shared" si="13"/>
        <v>#N/A</v>
      </c>
    </row>
    <row r="446" spans="1:14" ht="14.25" customHeight="1" x14ac:dyDescent="0.3">
      <c r="A446">
        <v>445</v>
      </c>
      <c r="B446">
        <v>12</v>
      </c>
      <c r="C446" t="s">
        <v>979</v>
      </c>
      <c r="D446" t="s">
        <v>483</v>
      </c>
      <c r="E446" t="s">
        <v>429</v>
      </c>
      <c r="F446">
        <v>6</v>
      </c>
      <c r="G446" t="s">
        <v>1035</v>
      </c>
      <c r="H446" t="s">
        <v>1035</v>
      </c>
      <c r="I446" t="s">
        <v>1032</v>
      </c>
      <c r="J446" t="s">
        <v>1035</v>
      </c>
      <c r="K446">
        <v>445</v>
      </c>
      <c r="L446" t="str">
        <f t="shared" si="12"/>
        <v>Tanner Hudson</v>
      </c>
      <c r="M446" s="69">
        <f>IFERROR(VLOOKUP(E446,RISK!A:B,2,FALSE()),"")</f>
        <v>2.2010999999999985</v>
      </c>
      <c r="N446" s="43" t="e">
        <f t="shared" si="13"/>
        <v>#N/A</v>
      </c>
    </row>
    <row r="447" spans="1:14" ht="14.25" customHeight="1" x14ac:dyDescent="0.3">
      <c r="A447">
        <v>446</v>
      </c>
      <c r="B447">
        <v>12</v>
      </c>
      <c r="C447" t="s">
        <v>1488</v>
      </c>
      <c r="D447" t="s">
        <v>1124</v>
      </c>
      <c r="E447" t="s">
        <v>430</v>
      </c>
      <c r="F447" t="s">
        <v>1035</v>
      </c>
      <c r="G447" t="s">
        <v>1035</v>
      </c>
      <c r="H447" t="s">
        <v>1035</v>
      </c>
      <c r="I447" t="s">
        <v>1035</v>
      </c>
      <c r="J447" t="s">
        <v>1035</v>
      </c>
      <c r="K447">
        <v>446</v>
      </c>
      <c r="L447" t="str">
        <f t="shared" si="12"/>
        <v>Zach Ertz</v>
      </c>
      <c r="M447" s="69">
        <f>IFERROR(VLOOKUP(E447,RISK!A:B,2,FALSE()),"")</f>
        <v>2.2010999999999985</v>
      </c>
      <c r="N447" s="43" t="e">
        <f t="shared" si="13"/>
        <v>#N/A</v>
      </c>
    </row>
    <row r="448" spans="1:14" ht="14.25" customHeight="1" x14ac:dyDescent="0.3">
      <c r="A448">
        <v>447</v>
      </c>
      <c r="B448">
        <v>12</v>
      </c>
      <c r="C448" t="s">
        <v>1229</v>
      </c>
      <c r="D448" t="s">
        <v>523</v>
      </c>
      <c r="E448" t="s">
        <v>1245</v>
      </c>
      <c r="F448">
        <v>13</v>
      </c>
      <c r="G448" t="s">
        <v>1035</v>
      </c>
      <c r="H448" t="s">
        <v>1035</v>
      </c>
      <c r="I448" t="s">
        <v>1029</v>
      </c>
      <c r="J448" t="s">
        <v>1035</v>
      </c>
      <c r="K448">
        <v>447</v>
      </c>
      <c r="L448" t="str">
        <f t="shared" si="12"/>
        <v>Tim Patrick</v>
      </c>
      <c r="M448" s="69">
        <f>IFERROR(VLOOKUP(E448,RISK!A:B,2,FALSE()),"")</f>
        <v>3.848101265822784</v>
      </c>
      <c r="N448" s="43" t="e">
        <f t="shared" si="13"/>
        <v>#N/A</v>
      </c>
    </row>
    <row r="449" spans="1:14" ht="14.25" customHeight="1" x14ac:dyDescent="0.3">
      <c r="A449">
        <v>448</v>
      </c>
      <c r="B449">
        <v>12</v>
      </c>
      <c r="C449" t="s">
        <v>837</v>
      </c>
      <c r="D449" t="s">
        <v>523</v>
      </c>
      <c r="E449" t="s">
        <v>1248</v>
      </c>
      <c r="F449">
        <v>13</v>
      </c>
      <c r="G449" t="s">
        <v>1035</v>
      </c>
      <c r="H449" t="s">
        <v>1035</v>
      </c>
      <c r="I449" t="s">
        <v>1029</v>
      </c>
      <c r="J449" t="s">
        <v>1035</v>
      </c>
      <c r="K449">
        <v>448</v>
      </c>
      <c r="L449" t="str">
        <f t="shared" si="12"/>
        <v>Isaiah Williams</v>
      </c>
      <c r="M449" s="69">
        <f>IFERROR(VLOOKUP(E449,RISK!A:B,2,FALSE()),"")</f>
        <v>3.848101265822784</v>
      </c>
      <c r="N449" s="43" t="e">
        <f t="shared" si="13"/>
        <v>#N/A</v>
      </c>
    </row>
    <row r="450" spans="1:14" ht="14.25" customHeight="1" x14ac:dyDescent="0.3">
      <c r="A450">
        <v>449</v>
      </c>
      <c r="B450">
        <v>12</v>
      </c>
      <c r="C450" t="s">
        <v>1492</v>
      </c>
      <c r="D450" t="s">
        <v>1124</v>
      </c>
      <c r="E450" t="s">
        <v>1244</v>
      </c>
      <c r="F450" t="s">
        <v>1035</v>
      </c>
      <c r="G450" t="s">
        <v>1035</v>
      </c>
      <c r="H450" t="s">
        <v>1035</v>
      </c>
      <c r="I450" t="s">
        <v>1035</v>
      </c>
      <c r="J450" t="s">
        <v>1035</v>
      </c>
      <c r="K450">
        <v>449</v>
      </c>
      <c r="L450" t="str">
        <f t="shared" ref="L450:L513" si="14">C450</f>
        <v>Khalil Herbert</v>
      </c>
      <c r="M450" s="69">
        <f>IFERROR(VLOOKUP(E450,RISK!A:B,2,FALSE()),"")</f>
        <v>4</v>
      </c>
      <c r="N450" s="43" t="e">
        <f t="shared" si="13"/>
        <v>#N/A</v>
      </c>
    </row>
    <row r="451" spans="1:14" ht="14.25" customHeight="1" x14ac:dyDescent="0.3">
      <c r="A451">
        <v>450</v>
      </c>
      <c r="B451">
        <v>12</v>
      </c>
      <c r="C451" t="s">
        <v>694</v>
      </c>
      <c r="D451" t="s">
        <v>509</v>
      </c>
      <c r="E451" t="s">
        <v>1247</v>
      </c>
      <c r="F451">
        <v>6</v>
      </c>
      <c r="G451" t="s">
        <v>1035</v>
      </c>
      <c r="H451" t="s">
        <v>1035</v>
      </c>
      <c r="I451" t="s">
        <v>1029</v>
      </c>
      <c r="J451" t="s">
        <v>1035</v>
      </c>
      <c r="K451">
        <v>450</v>
      </c>
      <c r="L451" t="str">
        <f t="shared" si="14"/>
        <v>Max Bredeson</v>
      </c>
      <c r="M451" s="69">
        <f>IFERROR(VLOOKUP(E451,RISK!A:B,2,FALSE()),"")</f>
        <v>4</v>
      </c>
      <c r="N451" s="43" t="e">
        <f t="shared" ref="N451:N514" si="15">VLOOKUP(E451,Q:R,2,FALSE)</f>
        <v>#N/A</v>
      </c>
    </row>
    <row r="452" spans="1:14" ht="14.25" customHeight="1" x14ac:dyDescent="0.3">
      <c r="A452">
        <v>451</v>
      </c>
      <c r="B452">
        <v>12</v>
      </c>
      <c r="C452" t="s">
        <v>1520</v>
      </c>
      <c r="D452" t="s">
        <v>483</v>
      </c>
      <c r="E452" t="s">
        <v>1249</v>
      </c>
      <c r="F452">
        <v>6</v>
      </c>
      <c r="G452" t="s">
        <v>1035</v>
      </c>
      <c r="H452" t="s">
        <v>1035</v>
      </c>
      <c r="I452" t="s">
        <v>1029</v>
      </c>
      <c r="J452" t="s">
        <v>1035</v>
      </c>
      <c r="K452">
        <v>451</v>
      </c>
      <c r="L452" t="str">
        <f t="shared" si="14"/>
        <v>Dohnte Meyers</v>
      </c>
      <c r="M452" s="69">
        <f>IFERROR(VLOOKUP(E452,RISK!A:B,2,FALSE()),"")</f>
        <v>3.848101265822784</v>
      </c>
      <c r="N452" s="43" t="e">
        <f t="shared" si="15"/>
        <v>#N/A</v>
      </c>
    </row>
    <row r="453" spans="1:14" ht="14.25" customHeight="1" x14ac:dyDescent="0.3">
      <c r="A453">
        <v>452</v>
      </c>
      <c r="B453">
        <v>12</v>
      </c>
      <c r="C453" t="s">
        <v>1343</v>
      </c>
      <c r="D453" t="s">
        <v>527</v>
      </c>
      <c r="E453" t="s">
        <v>1288</v>
      </c>
      <c r="F453">
        <v>14</v>
      </c>
      <c r="G453" t="s">
        <v>1035</v>
      </c>
      <c r="H453" t="s">
        <v>1035</v>
      </c>
      <c r="I453" t="s">
        <v>1028</v>
      </c>
      <c r="J453" t="s">
        <v>1035</v>
      </c>
      <c r="K453">
        <v>452</v>
      </c>
      <c r="L453" t="str">
        <f t="shared" si="14"/>
        <v>Chad Ryland</v>
      </c>
      <c r="M453" s="69" t="str">
        <f>IFERROR(VLOOKUP(E453,RISK!A:B,2,FALSE()),"")</f>
        <v/>
      </c>
      <c r="N453" s="43" t="e">
        <f t="shared" si="15"/>
        <v>#N/A</v>
      </c>
    </row>
    <row r="454" spans="1:14" ht="14.25" customHeight="1" x14ac:dyDescent="0.3">
      <c r="A454">
        <v>453</v>
      </c>
      <c r="B454">
        <v>12</v>
      </c>
      <c r="C454" t="s">
        <v>1798</v>
      </c>
      <c r="D454" t="s">
        <v>525</v>
      </c>
      <c r="E454" t="s">
        <v>1250</v>
      </c>
      <c r="F454">
        <v>9</v>
      </c>
      <c r="G454" t="s">
        <v>1035</v>
      </c>
      <c r="H454" t="s">
        <v>1035</v>
      </c>
      <c r="I454" t="s">
        <v>1032</v>
      </c>
      <c r="J454" t="s">
        <v>1035</v>
      </c>
      <c r="K454">
        <v>453</v>
      </c>
      <c r="L454" t="str">
        <f t="shared" si="14"/>
        <v>Julius Chestnut</v>
      </c>
      <c r="M454" s="69">
        <f>IFERROR(VLOOKUP(E454,RISK!A:B,2,FALSE()),"")</f>
        <v>4</v>
      </c>
      <c r="N454" s="43" t="e">
        <f t="shared" si="15"/>
        <v>#N/A</v>
      </c>
    </row>
    <row r="455" spans="1:14" ht="14.25" customHeight="1" x14ac:dyDescent="0.3">
      <c r="A455">
        <v>454</v>
      </c>
      <c r="B455">
        <v>12</v>
      </c>
      <c r="C455" t="s">
        <v>965</v>
      </c>
      <c r="D455" t="s">
        <v>489</v>
      </c>
      <c r="E455" t="s">
        <v>431</v>
      </c>
      <c r="F455">
        <v>7</v>
      </c>
      <c r="G455" t="s">
        <v>1035</v>
      </c>
      <c r="H455" t="s">
        <v>1035</v>
      </c>
      <c r="I455" t="s">
        <v>1032</v>
      </c>
      <c r="J455" t="s">
        <v>1035</v>
      </c>
      <c r="K455">
        <v>454</v>
      </c>
      <c r="L455" t="str">
        <f t="shared" si="14"/>
        <v>Nate Boerkircher</v>
      </c>
      <c r="M455" s="69">
        <f>IFERROR(VLOOKUP(E455,RISK!A:B,2,FALSE()),"")</f>
        <v>2.2010999999999985</v>
      </c>
      <c r="N455" s="43" t="e">
        <f t="shared" si="15"/>
        <v>#N/A</v>
      </c>
    </row>
    <row r="456" spans="1:14" ht="14.25" customHeight="1" x14ac:dyDescent="0.3">
      <c r="A456">
        <v>455</v>
      </c>
      <c r="B456">
        <v>12</v>
      </c>
      <c r="C456" t="s">
        <v>1494</v>
      </c>
      <c r="D456" t="s">
        <v>481</v>
      </c>
      <c r="E456" t="s">
        <v>1251</v>
      </c>
      <c r="F456">
        <v>10</v>
      </c>
      <c r="G456" t="s">
        <v>1035</v>
      </c>
      <c r="H456" t="s">
        <v>1035</v>
      </c>
      <c r="I456" t="s">
        <v>1029</v>
      </c>
      <c r="J456" t="s">
        <v>1035</v>
      </c>
      <c r="K456">
        <v>455</v>
      </c>
      <c r="L456" t="str">
        <f t="shared" si="14"/>
        <v>Elijah Moore</v>
      </c>
      <c r="M456" s="69">
        <f>IFERROR(VLOOKUP(E456,RISK!A:B,2,FALSE()),"")</f>
        <v>3.848101265822784</v>
      </c>
      <c r="N456" s="43" t="e">
        <f t="shared" si="15"/>
        <v>#N/A</v>
      </c>
    </row>
    <row r="457" spans="1:14" ht="14.25" customHeight="1" x14ac:dyDescent="0.3">
      <c r="A457">
        <v>456</v>
      </c>
      <c r="B457">
        <v>12</v>
      </c>
      <c r="C457" t="s">
        <v>948</v>
      </c>
      <c r="D457" t="s">
        <v>503</v>
      </c>
      <c r="E457" t="s">
        <v>432</v>
      </c>
      <c r="F457">
        <v>6</v>
      </c>
      <c r="G457" t="s">
        <v>1035</v>
      </c>
      <c r="H457" t="s">
        <v>1035</v>
      </c>
      <c r="I457" t="s">
        <v>1032</v>
      </c>
      <c r="J457" t="s">
        <v>1035</v>
      </c>
      <c r="K457">
        <v>456</v>
      </c>
      <c r="L457" t="str">
        <f t="shared" si="14"/>
        <v>Brock Wright</v>
      </c>
      <c r="M457" s="69">
        <f>IFERROR(VLOOKUP(E457,RISK!A:B,2,FALSE()),"")</f>
        <v>2.2010999999999985</v>
      </c>
      <c r="N457" s="43" t="e">
        <f t="shared" si="15"/>
        <v>#N/A</v>
      </c>
    </row>
    <row r="458" spans="1:14" ht="14.25" customHeight="1" x14ac:dyDescent="0.3">
      <c r="A458">
        <v>457</v>
      </c>
      <c r="B458">
        <v>12</v>
      </c>
      <c r="C458" t="s">
        <v>1297</v>
      </c>
      <c r="D458" t="s">
        <v>1124</v>
      </c>
      <c r="E458" t="s">
        <v>1292</v>
      </c>
      <c r="F458" t="s">
        <v>1035</v>
      </c>
      <c r="G458" t="s">
        <v>1035</v>
      </c>
      <c r="H458" t="s">
        <v>1035</v>
      </c>
      <c r="I458" t="s">
        <v>1035</v>
      </c>
      <c r="J458" t="s">
        <v>1035</v>
      </c>
      <c r="K458">
        <v>457</v>
      </c>
      <c r="L458" t="str">
        <f t="shared" si="14"/>
        <v>Brandon McManus</v>
      </c>
      <c r="M458" s="69" t="str">
        <f>IFERROR(VLOOKUP(E458,RISK!A:B,2,FALSE()),"")</f>
        <v/>
      </c>
      <c r="N458" s="43" t="e">
        <f t="shared" si="15"/>
        <v>#N/A</v>
      </c>
    </row>
    <row r="459" spans="1:14" ht="14.25" customHeight="1" x14ac:dyDescent="0.3">
      <c r="A459">
        <v>458</v>
      </c>
      <c r="B459">
        <v>12</v>
      </c>
      <c r="C459" t="s">
        <v>1238</v>
      </c>
      <c r="D459" t="s">
        <v>1124</v>
      </c>
      <c r="E459" t="s">
        <v>1269</v>
      </c>
      <c r="F459" t="s">
        <v>1035</v>
      </c>
      <c r="G459" t="s">
        <v>1035</v>
      </c>
      <c r="H459" t="s">
        <v>1035</v>
      </c>
      <c r="I459" t="s">
        <v>1035</v>
      </c>
      <c r="J459" t="s">
        <v>1035</v>
      </c>
      <c r="K459">
        <v>458</v>
      </c>
      <c r="L459" t="str">
        <f t="shared" si="14"/>
        <v>Antonio Gibson</v>
      </c>
      <c r="M459" s="69">
        <f>IFERROR(VLOOKUP(E459,RISK!A:B,2,FALSE()),"")</f>
        <v>4</v>
      </c>
      <c r="N459" s="43" t="e">
        <f t="shared" si="15"/>
        <v>#N/A</v>
      </c>
    </row>
    <row r="460" spans="1:14" ht="14.25" customHeight="1" x14ac:dyDescent="0.3">
      <c r="A460">
        <v>459</v>
      </c>
      <c r="B460">
        <v>12</v>
      </c>
      <c r="C460" t="s">
        <v>1276</v>
      </c>
      <c r="D460" t="s">
        <v>525</v>
      </c>
      <c r="E460" t="s">
        <v>1298</v>
      </c>
      <c r="F460">
        <v>9</v>
      </c>
      <c r="G460" t="s">
        <v>1035</v>
      </c>
      <c r="H460" t="s">
        <v>1035</v>
      </c>
      <c r="I460" t="s">
        <v>1029</v>
      </c>
      <c r="J460" t="s">
        <v>1035</v>
      </c>
      <c r="K460">
        <v>459</v>
      </c>
      <c r="L460" t="str">
        <f t="shared" si="14"/>
        <v>Joey Slye</v>
      </c>
      <c r="M460" s="69" t="str">
        <f>IFERROR(VLOOKUP(E460,RISK!A:B,2,FALSE()),"")</f>
        <v/>
      </c>
      <c r="N460" s="43" t="e">
        <f t="shared" si="15"/>
        <v>#N/A</v>
      </c>
    </row>
    <row r="461" spans="1:14" ht="14.25" customHeight="1" x14ac:dyDescent="0.3">
      <c r="A461">
        <v>460</v>
      </c>
      <c r="B461">
        <v>12</v>
      </c>
      <c r="C461" t="s">
        <v>1215</v>
      </c>
      <c r="D461" t="s">
        <v>533</v>
      </c>
      <c r="E461" t="s">
        <v>1299</v>
      </c>
      <c r="F461">
        <v>11</v>
      </c>
      <c r="G461" t="s">
        <v>1035</v>
      </c>
      <c r="H461" t="s">
        <v>1035</v>
      </c>
      <c r="I461" t="s">
        <v>1046</v>
      </c>
      <c r="J461">
        <v>-219</v>
      </c>
      <c r="K461">
        <v>460</v>
      </c>
      <c r="L461" t="str">
        <f t="shared" si="14"/>
        <v>Nick Folk</v>
      </c>
      <c r="M461" s="69" t="str">
        <f>IFERROR(VLOOKUP(E461,RISK!A:B,2,FALSE()),"")</f>
        <v/>
      </c>
      <c r="N461" s="43" t="e">
        <f t="shared" si="15"/>
        <v>#N/A</v>
      </c>
    </row>
    <row r="462" spans="1:14" ht="14.25" customHeight="1" x14ac:dyDescent="0.3">
      <c r="A462">
        <v>461</v>
      </c>
      <c r="B462">
        <v>12</v>
      </c>
      <c r="C462" t="s">
        <v>1315</v>
      </c>
      <c r="D462" t="s">
        <v>527</v>
      </c>
      <c r="E462" t="s">
        <v>1256</v>
      </c>
      <c r="F462">
        <v>14</v>
      </c>
      <c r="G462" t="s">
        <v>1035</v>
      </c>
      <c r="H462" t="s">
        <v>1035</v>
      </c>
      <c r="I462" t="s">
        <v>1028</v>
      </c>
      <c r="J462" t="s">
        <v>1035</v>
      </c>
      <c r="K462">
        <v>461</v>
      </c>
      <c r="L462" t="str">
        <f t="shared" si="14"/>
        <v>Arizona Cardinals</v>
      </c>
      <c r="M462" s="69" t="str">
        <f>IFERROR(VLOOKUP(E462,RISK!A:B,2,FALSE()),"")</f>
        <v/>
      </c>
      <c r="N462" s="43" t="e">
        <f t="shared" si="15"/>
        <v>#N/A</v>
      </c>
    </row>
    <row r="463" spans="1:14" ht="14.25" customHeight="1" x14ac:dyDescent="0.3">
      <c r="A463">
        <v>462</v>
      </c>
      <c r="B463">
        <v>12</v>
      </c>
      <c r="C463" t="s">
        <v>1350</v>
      </c>
      <c r="D463" t="s">
        <v>521</v>
      </c>
      <c r="E463" t="s">
        <v>1300</v>
      </c>
      <c r="F463">
        <v>5</v>
      </c>
      <c r="G463" t="s">
        <v>1035</v>
      </c>
      <c r="H463" t="s">
        <v>1035</v>
      </c>
      <c r="I463" t="s">
        <v>1046</v>
      </c>
      <c r="J463" t="s">
        <v>1035</v>
      </c>
      <c r="K463">
        <v>462</v>
      </c>
      <c r="L463" t="str">
        <f t="shared" si="14"/>
        <v>Ryan Fitzgerald</v>
      </c>
      <c r="M463" s="69" t="str">
        <f>IFERROR(VLOOKUP(E463,RISK!A:B,2,FALSE()),"")</f>
        <v/>
      </c>
      <c r="N463" s="43" t="e">
        <f t="shared" si="15"/>
        <v>#N/A</v>
      </c>
    </row>
    <row r="464" spans="1:14" ht="14.25" customHeight="1" x14ac:dyDescent="0.3">
      <c r="A464">
        <v>463</v>
      </c>
      <c r="B464">
        <v>12</v>
      </c>
      <c r="C464" t="s">
        <v>973</v>
      </c>
      <c r="D464" t="s">
        <v>491</v>
      </c>
      <c r="E464" t="s">
        <v>433</v>
      </c>
      <c r="F464">
        <v>14</v>
      </c>
      <c r="G464" t="s">
        <v>1035</v>
      </c>
      <c r="H464" t="s">
        <v>1035</v>
      </c>
      <c r="I464" t="s">
        <v>1028</v>
      </c>
      <c r="J464" t="s">
        <v>1035</v>
      </c>
      <c r="K464">
        <v>463</v>
      </c>
      <c r="L464" t="str">
        <f t="shared" si="14"/>
        <v>Luke Schoonmaker</v>
      </c>
      <c r="M464" s="69">
        <f>IFERROR(VLOOKUP(E464,RISK!A:B,2,FALSE()),"")</f>
        <v>2.2010999999999985</v>
      </c>
      <c r="N464" s="43" t="e">
        <f t="shared" si="15"/>
        <v>#N/A</v>
      </c>
    </row>
    <row r="465" spans="1:14" ht="14.25" customHeight="1" x14ac:dyDescent="0.3">
      <c r="A465">
        <v>464</v>
      </c>
      <c r="B465">
        <v>12</v>
      </c>
      <c r="C465" t="s">
        <v>712</v>
      </c>
      <c r="D465" t="s">
        <v>507</v>
      </c>
      <c r="E465" t="s">
        <v>1270</v>
      </c>
      <c r="F465">
        <v>10</v>
      </c>
      <c r="G465" t="s">
        <v>1035</v>
      </c>
      <c r="H465" t="s">
        <v>1035</v>
      </c>
      <c r="I465" t="s">
        <v>1028</v>
      </c>
      <c r="J465" t="s">
        <v>1035</v>
      </c>
      <c r="K465">
        <v>464</v>
      </c>
      <c r="L465" t="str">
        <f t="shared" si="14"/>
        <v>Josh Williams</v>
      </c>
      <c r="M465" s="69">
        <f>IFERROR(VLOOKUP(E465,RISK!A:B,2,FALSE()),"")</f>
        <v>4</v>
      </c>
      <c r="N465" s="43" t="e">
        <f t="shared" si="15"/>
        <v>#N/A</v>
      </c>
    </row>
    <row r="466" spans="1:14" ht="14.25" customHeight="1" x14ac:dyDescent="0.3">
      <c r="A466">
        <v>465</v>
      </c>
      <c r="B466">
        <v>12</v>
      </c>
      <c r="C466" t="s">
        <v>1204</v>
      </c>
      <c r="D466" t="s">
        <v>1124</v>
      </c>
      <c r="E466" t="s">
        <v>1271</v>
      </c>
      <c r="F466" t="s">
        <v>1035</v>
      </c>
      <c r="G466" t="s">
        <v>1035</v>
      </c>
      <c r="H466" t="s">
        <v>1035</v>
      </c>
      <c r="I466" t="s">
        <v>1035</v>
      </c>
      <c r="J466" t="s">
        <v>1035</v>
      </c>
      <c r="K466">
        <v>465</v>
      </c>
      <c r="L466" t="str">
        <f t="shared" si="14"/>
        <v>Damien Martinez</v>
      </c>
      <c r="M466" s="69">
        <f>IFERROR(VLOOKUP(E466,RISK!A:B,2,FALSE()),"")</f>
        <v>4</v>
      </c>
      <c r="N466" s="43" t="e">
        <f t="shared" si="15"/>
        <v>#N/A</v>
      </c>
    </row>
    <row r="467" spans="1:14" ht="14.25" customHeight="1" x14ac:dyDescent="0.3">
      <c r="A467">
        <v>466</v>
      </c>
      <c r="B467">
        <v>12</v>
      </c>
      <c r="C467" t="s">
        <v>1232</v>
      </c>
      <c r="D467" t="s">
        <v>533</v>
      </c>
      <c r="E467" t="s">
        <v>1272</v>
      </c>
      <c r="F467">
        <v>11</v>
      </c>
      <c r="G467" t="s">
        <v>1035</v>
      </c>
      <c r="H467" t="s">
        <v>1035</v>
      </c>
      <c r="I467" t="s">
        <v>1028</v>
      </c>
      <c r="J467" t="s">
        <v>1035</v>
      </c>
      <c r="K467">
        <v>466</v>
      </c>
      <c r="L467" t="str">
        <f t="shared" si="14"/>
        <v>Tyler Goodson</v>
      </c>
      <c r="M467" s="69">
        <f>IFERROR(VLOOKUP(E467,RISK!A:B,2,FALSE()),"")</f>
        <v>4</v>
      </c>
      <c r="N467" s="43" t="e">
        <f t="shared" si="15"/>
        <v>#N/A</v>
      </c>
    </row>
    <row r="468" spans="1:14" ht="14.25" customHeight="1" x14ac:dyDescent="0.3">
      <c r="A468">
        <v>467</v>
      </c>
      <c r="B468">
        <v>12</v>
      </c>
      <c r="C468" t="s">
        <v>1317</v>
      </c>
      <c r="D468" t="s">
        <v>533</v>
      </c>
      <c r="E468" t="s">
        <v>1252</v>
      </c>
      <c r="F468">
        <v>11</v>
      </c>
      <c r="G468" t="s">
        <v>1035</v>
      </c>
      <c r="H468" t="s">
        <v>1035</v>
      </c>
      <c r="I468" t="s">
        <v>1032</v>
      </c>
      <c r="J468" t="s">
        <v>1035</v>
      </c>
      <c r="K468">
        <v>467</v>
      </c>
      <c r="L468" t="str">
        <f t="shared" si="14"/>
        <v>Chris Blair</v>
      </c>
      <c r="M468" s="69">
        <f>IFERROR(VLOOKUP(E468,RISK!A:B,2,FALSE()),"")</f>
        <v>3.848101265822784</v>
      </c>
      <c r="N468" s="43" t="e">
        <f t="shared" si="15"/>
        <v>#N/A</v>
      </c>
    </row>
    <row r="469" spans="1:14" ht="14.25" customHeight="1" x14ac:dyDescent="0.3">
      <c r="A469">
        <v>468</v>
      </c>
      <c r="B469">
        <v>12</v>
      </c>
      <c r="C469" t="s">
        <v>1211</v>
      </c>
      <c r="D469" t="s">
        <v>479</v>
      </c>
      <c r="E469" t="s">
        <v>1273</v>
      </c>
      <c r="F469">
        <v>7</v>
      </c>
      <c r="G469" t="s">
        <v>1035</v>
      </c>
      <c r="H469" t="s">
        <v>1035</v>
      </c>
      <c r="I469" t="s">
        <v>1029</v>
      </c>
      <c r="J469" t="s">
        <v>1035</v>
      </c>
      <c r="K469">
        <v>468</v>
      </c>
      <c r="L469" t="str">
        <f t="shared" si="14"/>
        <v>Robert Henry Jr.</v>
      </c>
      <c r="M469" s="69">
        <f>IFERROR(VLOOKUP(E469,RISK!A:B,2,FALSE()),"")</f>
        <v>4</v>
      </c>
      <c r="N469" s="43" t="e">
        <f t="shared" si="15"/>
        <v>#N/A</v>
      </c>
    </row>
    <row r="470" spans="1:14" ht="14.25" customHeight="1" x14ac:dyDescent="0.3">
      <c r="A470">
        <v>469</v>
      </c>
      <c r="B470">
        <v>12</v>
      </c>
      <c r="C470" t="s">
        <v>1255</v>
      </c>
      <c r="D470" t="s">
        <v>479</v>
      </c>
      <c r="E470" t="s">
        <v>1259</v>
      </c>
      <c r="F470">
        <v>7</v>
      </c>
      <c r="G470" t="s">
        <v>1035</v>
      </c>
      <c r="H470" t="s">
        <v>1035</v>
      </c>
      <c r="I470" t="s">
        <v>1028</v>
      </c>
      <c r="J470" t="s">
        <v>1035</v>
      </c>
      <c r="K470">
        <v>469</v>
      </c>
      <c r="L470" t="str">
        <f t="shared" si="14"/>
        <v>Washington Commanders</v>
      </c>
      <c r="M470" s="69" t="str">
        <f>IFERROR(VLOOKUP(E470,RISK!A:B,2,FALSE()),"")</f>
        <v/>
      </c>
      <c r="N470" s="43" t="e">
        <f t="shared" si="15"/>
        <v>#N/A</v>
      </c>
    </row>
    <row r="471" spans="1:14" ht="14.25" customHeight="1" x14ac:dyDescent="0.3">
      <c r="A471">
        <v>470</v>
      </c>
      <c r="B471">
        <v>12</v>
      </c>
      <c r="C471" t="s">
        <v>1258</v>
      </c>
      <c r="D471" t="s">
        <v>523</v>
      </c>
      <c r="E471" t="s">
        <v>1316</v>
      </c>
      <c r="F471">
        <v>13</v>
      </c>
      <c r="G471" t="s">
        <v>1035</v>
      </c>
      <c r="H471" t="s">
        <v>1035</v>
      </c>
      <c r="I471" t="s">
        <v>1029</v>
      </c>
      <c r="J471" t="s">
        <v>1035</v>
      </c>
      <c r="K471">
        <v>470</v>
      </c>
      <c r="L471" t="str">
        <f t="shared" si="14"/>
        <v>New York Jets</v>
      </c>
      <c r="M471" s="69" t="str">
        <f>IFERROR(VLOOKUP(E471,RISK!A:B,2,FALSE()),"")</f>
        <v/>
      </c>
      <c r="N471" s="43" t="e">
        <f t="shared" si="15"/>
        <v>#N/A</v>
      </c>
    </row>
    <row r="472" spans="1:14" ht="14.25" customHeight="1" x14ac:dyDescent="0.3">
      <c r="A472">
        <v>471</v>
      </c>
      <c r="B472">
        <v>12</v>
      </c>
      <c r="C472" t="s">
        <v>900</v>
      </c>
      <c r="D472" t="s">
        <v>489</v>
      </c>
      <c r="E472" t="s">
        <v>1253</v>
      </c>
      <c r="F472">
        <v>7</v>
      </c>
      <c r="G472" t="s">
        <v>1035</v>
      </c>
      <c r="H472" t="s">
        <v>1035</v>
      </c>
      <c r="I472" t="s">
        <v>1029</v>
      </c>
      <c r="J472" t="s">
        <v>1035</v>
      </c>
      <c r="K472">
        <v>471</v>
      </c>
      <c r="L472" t="str">
        <f t="shared" si="14"/>
        <v>Josh Cameron</v>
      </c>
      <c r="M472" s="69">
        <f>IFERROR(VLOOKUP(E472,RISK!A:B,2,FALSE()),"")</f>
        <v>3.848101265822784</v>
      </c>
      <c r="N472" s="43" t="e">
        <f t="shared" si="15"/>
        <v>#N/A</v>
      </c>
    </row>
    <row r="473" spans="1:14" ht="14.25" customHeight="1" x14ac:dyDescent="0.3">
      <c r="A473">
        <v>472</v>
      </c>
      <c r="B473">
        <v>12</v>
      </c>
      <c r="C473" t="s">
        <v>1235</v>
      </c>
      <c r="D473" t="s">
        <v>1124</v>
      </c>
      <c r="E473" t="s">
        <v>434</v>
      </c>
      <c r="F473" t="s">
        <v>1035</v>
      </c>
      <c r="G473" t="s">
        <v>1035</v>
      </c>
      <c r="H473" t="s">
        <v>1035</v>
      </c>
      <c r="I473" t="s">
        <v>1035</v>
      </c>
      <c r="J473" t="s">
        <v>1035</v>
      </c>
      <c r="K473">
        <v>472</v>
      </c>
      <c r="L473" t="str">
        <f t="shared" si="14"/>
        <v>Tommy Myers</v>
      </c>
      <c r="M473" s="69">
        <f>IFERROR(VLOOKUP(E473,RISK!A:B,2,FALSE()),"")</f>
        <v>2.2010999999999985</v>
      </c>
      <c r="N473" s="43" t="e">
        <f t="shared" si="15"/>
        <v>#N/A</v>
      </c>
    </row>
    <row r="474" spans="1:14" ht="14.25" customHeight="1" x14ac:dyDescent="0.3">
      <c r="A474">
        <v>473</v>
      </c>
      <c r="B474">
        <v>12</v>
      </c>
      <c r="C474" t="s">
        <v>1714</v>
      </c>
      <c r="D474" t="s">
        <v>495</v>
      </c>
      <c r="E474" t="s">
        <v>1275</v>
      </c>
      <c r="F474">
        <v>10</v>
      </c>
      <c r="G474" t="s">
        <v>1035</v>
      </c>
      <c r="H474" t="s">
        <v>1035</v>
      </c>
      <c r="I474" t="s">
        <v>1028</v>
      </c>
      <c r="J474" t="s">
        <v>1035</v>
      </c>
      <c r="K474">
        <v>473</v>
      </c>
      <c r="L474" t="str">
        <f t="shared" si="14"/>
        <v>Brittain Brown</v>
      </c>
      <c r="M474" s="69">
        <f>IFERROR(VLOOKUP(E474,RISK!A:B,2,FALSE()),"")</f>
        <v>4</v>
      </c>
      <c r="N474" s="43" t="e">
        <f t="shared" si="15"/>
        <v>#N/A</v>
      </c>
    </row>
    <row r="475" spans="1:14" ht="14.25" customHeight="1" x14ac:dyDescent="0.3">
      <c r="A475">
        <v>474</v>
      </c>
      <c r="B475">
        <v>12</v>
      </c>
      <c r="C475" t="s">
        <v>1648</v>
      </c>
      <c r="D475" t="s">
        <v>503</v>
      </c>
      <c r="E475" t="s">
        <v>1254</v>
      </c>
      <c r="F475">
        <v>6</v>
      </c>
      <c r="G475" t="s">
        <v>1035</v>
      </c>
      <c r="H475" t="s">
        <v>1035</v>
      </c>
      <c r="I475" t="s">
        <v>1029</v>
      </c>
      <c r="J475" t="s">
        <v>1035</v>
      </c>
      <c r="K475">
        <v>474</v>
      </c>
      <c r="L475" t="str">
        <f t="shared" si="14"/>
        <v>Tay Martin</v>
      </c>
      <c r="M475" s="69">
        <f>IFERROR(VLOOKUP(E475,RISK!A:B,2,FALSE()),"")</f>
        <v>3.848101265822784</v>
      </c>
      <c r="N475" s="43" t="e">
        <f t="shared" si="15"/>
        <v>#N/A</v>
      </c>
    </row>
    <row r="476" spans="1:14" ht="14.25" customHeight="1" x14ac:dyDescent="0.3">
      <c r="A476">
        <v>475</v>
      </c>
      <c r="B476">
        <v>12</v>
      </c>
      <c r="C476" t="s">
        <v>1499</v>
      </c>
      <c r="D476" t="s">
        <v>531</v>
      </c>
      <c r="E476" t="s">
        <v>1257</v>
      </c>
      <c r="F476">
        <v>13</v>
      </c>
      <c r="G476" t="s">
        <v>1035</v>
      </c>
      <c r="H476" t="s">
        <v>1035</v>
      </c>
      <c r="I476" t="s">
        <v>1028</v>
      </c>
      <c r="J476" t="s">
        <v>1035</v>
      </c>
      <c r="K476">
        <v>475</v>
      </c>
      <c r="L476" t="str">
        <f t="shared" si="14"/>
        <v>Tyler Lockett</v>
      </c>
      <c r="M476" s="69">
        <f>IFERROR(VLOOKUP(E476,RISK!A:B,2,FALSE()),"")</f>
        <v>3.848101265822784</v>
      </c>
      <c r="N476" s="43" t="e">
        <f t="shared" si="15"/>
        <v>#N/A</v>
      </c>
    </row>
    <row r="477" spans="1:14" ht="14.25" customHeight="1" x14ac:dyDescent="0.3">
      <c r="A477">
        <v>476</v>
      </c>
      <c r="B477">
        <v>12</v>
      </c>
      <c r="C477" t="s">
        <v>944</v>
      </c>
      <c r="D477" t="s">
        <v>513</v>
      </c>
      <c r="E477" t="s">
        <v>435</v>
      </c>
      <c r="F477">
        <v>6</v>
      </c>
      <c r="G477" t="s">
        <v>1035</v>
      </c>
      <c r="H477" t="s">
        <v>1035</v>
      </c>
      <c r="I477" t="s">
        <v>1027</v>
      </c>
      <c r="J477" t="s">
        <v>1035</v>
      </c>
      <c r="K477">
        <v>476</v>
      </c>
      <c r="L477" t="str">
        <f t="shared" si="14"/>
        <v>Will Kacmarek</v>
      </c>
      <c r="M477" s="69">
        <f>IFERROR(VLOOKUP(E477,RISK!A:B,2,FALSE()),"")</f>
        <v>2.2010999999999985</v>
      </c>
      <c r="N477" s="43" t="e">
        <f t="shared" si="15"/>
        <v>#N/A</v>
      </c>
    </row>
    <row r="478" spans="1:14" ht="14.25" customHeight="1" x14ac:dyDescent="0.3">
      <c r="A478">
        <v>477</v>
      </c>
      <c r="B478">
        <v>12</v>
      </c>
      <c r="C478" t="s">
        <v>1010</v>
      </c>
      <c r="D478" t="s">
        <v>523</v>
      </c>
      <c r="E478" t="s">
        <v>436</v>
      </c>
      <c r="F478">
        <v>13</v>
      </c>
      <c r="G478" t="s">
        <v>1035</v>
      </c>
      <c r="H478" t="s">
        <v>1035</v>
      </c>
      <c r="I478" t="s">
        <v>1029</v>
      </c>
      <c r="J478" t="s">
        <v>1035</v>
      </c>
      <c r="K478">
        <v>477</v>
      </c>
      <c r="L478" t="str">
        <f t="shared" si="14"/>
        <v>Jelani Woods</v>
      </c>
      <c r="M478" s="69">
        <f>IFERROR(VLOOKUP(E478,RISK!A:B,2,FALSE()),"")</f>
        <v>2.2010999999999985</v>
      </c>
      <c r="N478" s="43" t="e">
        <f t="shared" si="15"/>
        <v>#N/A</v>
      </c>
    </row>
    <row r="479" spans="1:14" ht="14.25" customHeight="1" x14ac:dyDescent="0.3">
      <c r="A479">
        <v>478</v>
      </c>
      <c r="B479">
        <v>12</v>
      </c>
      <c r="C479" t="s">
        <v>874</v>
      </c>
      <c r="D479" t="s">
        <v>527</v>
      </c>
      <c r="E479" t="s">
        <v>1261</v>
      </c>
      <c r="F479">
        <v>14</v>
      </c>
      <c r="G479" t="s">
        <v>1035</v>
      </c>
      <c r="H479" t="s">
        <v>1035</v>
      </c>
      <c r="I479" t="s">
        <v>1028</v>
      </c>
      <c r="J479" t="s">
        <v>1035</v>
      </c>
      <c r="K479">
        <v>478</v>
      </c>
      <c r="L479" t="str">
        <f t="shared" si="14"/>
        <v>Reggie Virgil</v>
      </c>
      <c r="M479" s="69">
        <f>IFERROR(VLOOKUP(E479,RISK!A:B,2,FALSE()),"")</f>
        <v>3.848101265822784</v>
      </c>
      <c r="N479" s="43" t="e">
        <f t="shared" si="15"/>
        <v>#N/A</v>
      </c>
    </row>
    <row r="480" spans="1:14" ht="14.25" customHeight="1" x14ac:dyDescent="0.3">
      <c r="A480">
        <v>479</v>
      </c>
      <c r="B480">
        <v>12</v>
      </c>
      <c r="C480" t="s">
        <v>703</v>
      </c>
      <c r="D480" t="s">
        <v>523</v>
      </c>
      <c r="E480" t="s">
        <v>1278</v>
      </c>
      <c r="F480">
        <v>13</v>
      </c>
      <c r="G480" t="s">
        <v>1035</v>
      </c>
      <c r="H480" t="s">
        <v>1035</v>
      </c>
      <c r="I480" t="s">
        <v>1032</v>
      </c>
      <c r="J480" t="s">
        <v>1035</v>
      </c>
      <c r="K480">
        <v>479</v>
      </c>
      <c r="L480" t="str">
        <f t="shared" si="14"/>
        <v>Kene Nwangwu</v>
      </c>
      <c r="M480" s="69">
        <f>IFERROR(VLOOKUP(E480,RISK!A:B,2,FALSE()),"")</f>
        <v>4</v>
      </c>
      <c r="N480" s="43" t="e">
        <f t="shared" si="15"/>
        <v>#N/A</v>
      </c>
    </row>
    <row r="481" spans="1:14" ht="14.25" customHeight="1" x14ac:dyDescent="0.3">
      <c r="A481">
        <v>480</v>
      </c>
      <c r="B481">
        <v>12</v>
      </c>
      <c r="C481" t="s">
        <v>861</v>
      </c>
      <c r="D481" t="s">
        <v>471</v>
      </c>
      <c r="E481" t="s">
        <v>1264</v>
      </c>
      <c r="F481">
        <v>7</v>
      </c>
      <c r="G481" t="s">
        <v>1035</v>
      </c>
      <c r="H481" t="s">
        <v>1035</v>
      </c>
      <c r="I481" t="s">
        <v>1029</v>
      </c>
      <c r="J481" t="s">
        <v>1035</v>
      </c>
      <c r="K481">
        <v>480</v>
      </c>
      <c r="L481" t="str">
        <f t="shared" si="14"/>
        <v>Greg Dortch</v>
      </c>
      <c r="M481" s="69">
        <f>IFERROR(VLOOKUP(E481,RISK!A:B,2,FALSE()),"")</f>
        <v>3.848101265822784</v>
      </c>
      <c r="N481" s="43" t="e">
        <f t="shared" si="15"/>
        <v>#N/A</v>
      </c>
    </row>
    <row r="482" spans="1:14" ht="14.25" customHeight="1" x14ac:dyDescent="0.3">
      <c r="A482">
        <v>481</v>
      </c>
      <c r="B482">
        <v>12</v>
      </c>
      <c r="C482" t="s">
        <v>1263</v>
      </c>
      <c r="D482" t="s">
        <v>1124</v>
      </c>
      <c r="E482" t="s">
        <v>1266</v>
      </c>
      <c r="F482" t="s">
        <v>1035</v>
      </c>
      <c r="G482" t="s">
        <v>1035</v>
      </c>
      <c r="H482" t="s">
        <v>1035</v>
      </c>
      <c r="I482" t="s">
        <v>1035</v>
      </c>
      <c r="J482" t="s">
        <v>1035</v>
      </c>
      <c r="K482">
        <v>481</v>
      </c>
      <c r="L482" t="str">
        <f t="shared" si="14"/>
        <v>Marquez Valdes-Scantling</v>
      </c>
      <c r="M482" s="69">
        <f>IFERROR(VLOOKUP(E482,RISK!A:B,2,FALSE()),"")</f>
        <v>3.848101265822784</v>
      </c>
      <c r="N482" s="43" t="e">
        <f t="shared" si="15"/>
        <v>#N/A</v>
      </c>
    </row>
    <row r="483" spans="1:14" ht="14.25" customHeight="1" x14ac:dyDescent="0.3">
      <c r="A483">
        <v>482</v>
      </c>
      <c r="B483">
        <v>12</v>
      </c>
      <c r="C483" t="s">
        <v>1385</v>
      </c>
      <c r="D483" t="s">
        <v>535</v>
      </c>
      <c r="E483" t="s">
        <v>409</v>
      </c>
      <c r="F483">
        <v>11</v>
      </c>
      <c r="G483" t="s">
        <v>1035</v>
      </c>
      <c r="H483" t="s">
        <v>1035</v>
      </c>
      <c r="I483" t="s">
        <v>1029</v>
      </c>
      <c r="J483" t="s">
        <v>1035</v>
      </c>
      <c r="K483">
        <v>482</v>
      </c>
      <c r="L483" t="str">
        <f t="shared" si="14"/>
        <v>Taylen Green</v>
      </c>
      <c r="M483" s="69">
        <f>IFERROR(VLOOKUP(E483,RISK!A:B,2,FALSE()),"")</f>
        <v>3.2</v>
      </c>
      <c r="N483" s="43">
        <f t="shared" si="15"/>
        <v>4.9842352941176475</v>
      </c>
    </row>
    <row r="484" spans="1:14" ht="14.25" customHeight="1" x14ac:dyDescent="0.3">
      <c r="A484">
        <v>483</v>
      </c>
      <c r="B484">
        <v>12</v>
      </c>
      <c r="C484" t="s">
        <v>552</v>
      </c>
      <c r="D484" t="s">
        <v>515</v>
      </c>
      <c r="E484" t="s">
        <v>410</v>
      </c>
      <c r="F484">
        <v>11</v>
      </c>
      <c r="G484" t="s">
        <v>1035</v>
      </c>
      <c r="H484" t="s">
        <v>1035</v>
      </c>
      <c r="I484" t="s">
        <v>1029</v>
      </c>
      <c r="J484" t="s">
        <v>1035</v>
      </c>
      <c r="K484">
        <v>483</v>
      </c>
      <c r="L484" t="str">
        <f t="shared" si="14"/>
        <v>Tyrod Taylor</v>
      </c>
      <c r="M484" s="69">
        <f>IFERROR(VLOOKUP(E484,RISK!A:B,2,FALSE()),"")</f>
        <v>3.2</v>
      </c>
      <c r="N484" s="43">
        <f t="shared" si="15"/>
        <v>0</v>
      </c>
    </row>
    <row r="485" spans="1:14" ht="14.25" customHeight="1" x14ac:dyDescent="0.3">
      <c r="A485">
        <v>484</v>
      </c>
      <c r="B485">
        <v>12</v>
      </c>
      <c r="C485" t="s">
        <v>1260</v>
      </c>
      <c r="D485" t="s">
        <v>499</v>
      </c>
      <c r="E485" t="s">
        <v>1267</v>
      </c>
      <c r="F485">
        <v>10</v>
      </c>
      <c r="G485" t="s">
        <v>1035</v>
      </c>
      <c r="H485" t="s">
        <v>1035</v>
      </c>
      <c r="I485" t="s">
        <v>1028</v>
      </c>
      <c r="J485" t="s">
        <v>1035</v>
      </c>
      <c r="K485">
        <v>484</v>
      </c>
      <c r="L485" t="str">
        <f t="shared" si="14"/>
        <v>Lil'Jordan Humphrey</v>
      </c>
      <c r="M485" s="69">
        <f>IFERROR(VLOOKUP(E485,RISK!A:B,2,FALSE()),"")</f>
        <v>3.848101265822784</v>
      </c>
      <c r="N485" s="43" t="e">
        <f t="shared" si="15"/>
        <v>#N/A</v>
      </c>
    </row>
    <row r="486" spans="1:14" ht="14.25" customHeight="1" x14ac:dyDescent="0.3">
      <c r="A486">
        <v>485</v>
      </c>
      <c r="B486">
        <v>12</v>
      </c>
      <c r="C486" t="s">
        <v>967</v>
      </c>
      <c r="D486" t="s">
        <v>483</v>
      </c>
      <c r="E486" t="s">
        <v>437</v>
      </c>
      <c r="F486">
        <v>6</v>
      </c>
      <c r="G486" t="s">
        <v>1035</v>
      </c>
      <c r="H486" t="s">
        <v>1035</v>
      </c>
      <c r="I486" t="s">
        <v>1032</v>
      </c>
      <c r="J486" t="s">
        <v>1035</v>
      </c>
      <c r="K486">
        <v>485</v>
      </c>
      <c r="L486" t="str">
        <f t="shared" si="14"/>
        <v>Drew Sample</v>
      </c>
      <c r="M486" s="69">
        <f>IFERROR(VLOOKUP(E486,RISK!A:B,2,FALSE()),"")</f>
        <v>2.2010999999999985</v>
      </c>
      <c r="N486" s="43" t="e">
        <f t="shared" si="15"/>
        <v>#N/A</v>
      </c>
    </row>
    <row r="487" spans="1:14" ht="14.25" customHeight="1" x14ac:dyDescent="0.3">
      <c r="A487">
        <v>486</v>
      </c>
      <c r="B487">
        <v>12</v>
      </c>
      <c r="C487" t="s">
        <v>989</v>
      </c>
      <c r="D487" t="s">
        <v>495</v>
      </c>
      <c r="E487" t="s">
        <v>438</v>
      </c>
      <c r="F487">
        <v>10</v>
      </c>
      <c r="G487" t="s">
        <v>1035</v>
      </c>
      <c r="H487" t="s">
        <v>1035</v>
      </c>
      <c r="I487" t="s">
        <v>1028</v>
      </c>
      <c r="J487" t="s">
        <v>1035</v>
      </c>
      <c r="K487">
        <v>486</v>
      </c>
      <c r="L487" t="str">
        <f t="shared" si="14"/>
        <v>Sam Roush</v>
      </c>
      <c r="M487" s="69">
        <f>IFERROR(VLOOKUP(E487,RISK!A:B,2,FALSE()),"")</f>
        <v>2.2010999999999985</v>
      </c>
      <c r="N487" s="43" t="e">
        <f t="shared" si="15"/>
        <v>#N/A</v>
      </c>
    </row>
    <row r="488" spans="1:14" ht="14.25" customHeight="1" x14ac:dyDescent="0.3">
      <c r="A488">
        <v>487</v>
      </c>
      <c r="B488">
        <v>12</v>
      </c>
      <c r="C488" t="s">
        <v>981</v>
      </c>
      <c r="D488" t="s">
        <v>511</v>
      </c>
      <c r="E488" t="s">
        <v>439</v>
      </c>
      <c r="F488">
        <v>13</v>
      </c>
      <c r="G488" t="s">
        <v>1035</v>
      </c>
      <c r="H488" t="s">
        <v>1035</v>
      </c>
      <c r="I488" t="s">
        <v>1032</v>
      </c>
      <c r="J488" t="s">
        <v>1035</v>
      </c>
      <c r="K488">
        <v>487</v>
      </c>
      <c r="L488" t="str">
        <f t="shared" si="14"/>
        <v>Mo Alie-Cox</v>
      </c>
      <c r="M488" s="69">
        <f>IFERROR(VLOOKUP(E488,RISK!A:B,2,FALSE()),"")</f>
        <v>2.2010999999999985</v>
      </c>
      <c r="N488" s="43" t="e">
        <f t="shared" si="15"/>
        <v>#N/A</v>
      </c>
    </row>
    <row r="489" spans="1:14" ht="14.25" customHeight="1" x14ac:dyDescent="0.3">
      <c r="A489">
        <v>488</v>
      </c>
      <c r="B489">
        <v>12</v>
      </c>
      <c r="C489" t="s">
        <v>1501</v>
      </c>
      <c r="D489" t="s">
        <v>505</v>
      </c>
      <c r="E489" t="s">
        <v>1283</v>
      </c>
      <c r="F489">
        <v>8</v>
      </c>
      <c r="G489" t="s">
        <v>1035</v>
      </c>
      <c r="H489" t="s">
        <v>1035</v>
      </c>
      <c r="I489" t="s">
        <v>1032</v>
      </c>
      <c r="J489" t="s">
        <v>1035</v>
      </c>
      <c r="K489">
        <v>488</v>
      </c>
      <c r="L489" t="str">
        <f t="shared" si="14"/>
        <v>Kevin Austin Jr.</v>
      </c>
      <c r="M489" s="69">
        <f>IFERROR(VLOOKUP(E489,RISK!A:B,2,FALSE()),"")</f>
        <v>3.848101265822784</v>
      </c>
      <c r="N489" s="43" t="e">
        <f t="shared" si="15"/>
        <v>#N/A</v>
      </c>
    </row>
    <row r="490" spans="1:14" ht="14.25" customHeight="1" x14ac:dyDescent="0.3">
      <c r="A490">
        <v>489</v>
      </c>
      <c r="B490">
        <v>12</v>
      </c>
      <c r="C490" t="s">
        <v>991</v>
      </c>
      <c r="D490" t="s">
        <v>475</v>
      </c>
      <c r="E490" t="s">
        <v>440</v>
      </c>
      <c r="F490">
        <v>13</v>
      </c>
      <c r="G490" t="s">
        <v>1035</v>
      </c>
      <c r="H490" t="s">
        <v>1035</v>
      </c>
      <c r="I490" t="s">
        <v>1029</v>
      </c>
      <c r="J490" t="s">
        <v>1035</v>
      </c>
      <c r="K490">
        <v>489</v>
      </c>
      <c r="L490" t="str">
        <f t="shared" si="14"/>
        <v>Josh Cuevas</v>
      </c>
      <c r="M490" s="69">
        <f>IFERROR(VLOOKUP(E490,RISK!A:B,2,FALSE()),"")</f>
        <v>2.2010999999999985</v>
      </c>
      <c r="N490" s="43" t="e">
        <f t="shared" si="15"/>
        <v>#N/A</v>
      </c>
    </row>
    <row r="491" spans="1:14" ht="14.25" customHeight="1" x14ac:dyDescent="0.3">
      <c r="A491">
        <v>490</v>
      </c>
      <c r="B491">
        <v>12</v>
      </c>
      <c r="C491" t="s">
        <v>1402</v>
      </c>
      <c r="D491" t="s">
        <v>513</v>
      </c>
      <c r="E491" t="s">
        <v>441</v>
      </c>
      <c r="F491">
        <v>6</v>
      </c>
      <c r="G491" t="s">
        <v>1035</v>
      </c>
      <c r="H491" t="s">
        <v>1035</v>
      </c>
      <c r="I491" t="s">
        <v>1027</v>
      </c>
      <c r="J491" t="s">
        <v>1035</v>
      </c>
      <c r="K491">
        <v>490</v>
      </c>
      <c r="L491" t="str">
        <f t="shared" si="14"/>
        <v>Seydou Traore</v>
      </c>
      <c r="M491" s="69">
        <f>IFERROR(VLOOKUP(E491,RISK!A:B,2,FALSE()),"")</f>
        <v>2.2010999999999985</v>
      </c>
      <c r="N491" s="43" t="e">
        <f t="shared" si="15"/>
        <v>#N/A</v>
      </c>
    </row>
    <row r="492" spans="1:14" ht="14.25" customHeight="1" x14ac:dyDescent="0.3">
      <c r="A492">
        <v>491</v>
      </c>
      <c r="B492">
        <v>12</v>
      </c>
      <c r="C492" t="s">
        <v>708</v>
      </c>
      <c r="D492" t="s">
        <v>495</v>
      </c>
      <c r="E492" t="s">
        <v>1279</v>
      </c>
      <c r="F492">
        <v>10</v>
      </c>
      <c r="G492" t="s">
        <v>1035</v>
      </c>
      <c r="H492" t="s">
        <v>1035</v>
      </c>
      <c r="I492" t="s">
        <v>1028</v>
      </c>
      <c r="J492" t="s">
        <v>1035</v>
      </c>
      <c r="K492">
        <v>491</v>
      </c>
      <c r="L492" t="str">
        <f t="shared" si="14"/>
        <v>Zavier Scott</v>
      </c>
      <c r="M492" s="69">
        <f>IFERROR(VLOOKUP(E492,RISK!A:B,2,FALSE()),"")</f>
        <v>4</v>
      </c>
      <c r="N492" s="43" t="e">
        <f t="shared" si="15"/>
        <v>#N/A</v>
      </c>
    </row>
    <row r="493" spans="1:14" ht="14.25" customHeight="1" x14ac:dyDescent="0.3">
      <c r="A493">
        <v>492</v>
      </c>
      <c r="B493">
        <v>12</v>
      </c>
      <c r="C493" t="s">
        <v>837</v>
      </c>
      <c r="D493" t="s">
        <v>1124</v>
      </c>
      <c r="E493" t="s">
        <v>1285</v>
      </c>
      <c r="F493" t="s">
        <v>1035</v>
      </c>
      <c r="G493" t="s">
        <v>1035</v>
      </c>
      <c r="H493" t="s">
        <v>1035</v>
      </c>
      <c r="I493" t="s">
        <v>1035</v>
      </c>
      <c r="J493" t="s">
        <v>1035</v>
      </c>
      <c r="K493">
        <v>492</v>
      </c>
      <c r="L493" t="str">
        <f t="shared" si="14"/>
        <v>Isaiah Williams</v>
      </c>
      <c r="M493" s="69">
        <f>IFERROR(VLOOKUP(E493,RISK!A:B,2,FALSE()),"")</f>
        <v>3.848101265822784</v>
      </c>
      <c r="N493" s="43" t="e">
        <f t="shared" si="15"/>
        <v>#N/A</v>
      </c>
    </row>
    <row r="494" spans="1:14" ht="14.25" customHeight="1" x14ac:dyDescent="0.3">
      <c r="A494">
        <v>493</v>
      </c>
      <c r="B494">
        <v>12</v>
      </c>
      <c r="C494" t="s">
        <v>871</v>
      </c>
      <c r="D494" t="s">
        <v>491</v>
      </c>
      <c r="E494" t="s">
        <v>1290</v>
      </c>
      <c r="F494">
        <v>14</v>
      </c>
      <c r="G494" t="s">
        <v>1035</v>
      </c>
      <c r="H494" t="s">
        <v>1035</v>
      </c>
      <c r="I494" t="s">
        <v>1028</v>
      </c>
      <c r="J494" t="s">
        <v>1035</v>
      </c>
      <c r="K494">
        <v>493</v>
      </c>
      <c r="L494" t="str">
        <f t="shared" si="14"/>
        <v>Jonathan Mingo</v>
      </c>
      <c r="M494" s="69">
        <f>IFERROR(VLOOKUP(E494,RISK!A:B,2,FALSE()),"")</f>
        <v>3.848101265822784</v>
      </c>
      <c r="N494" s="43" t="e">
        <f t="shared" si="15"/>
        <v>#N/A</v>
      </c>
    </row>
    <row r="495" spans="1:14" ht="14.25" customHeight="1" x14ac:dyDescent="0.3">
      <c r="A495">
        <v>494</v>
      </c>
      <c r="B495">
        <v>12</v>
      </c>
      <c r="C495" t="s">
        <v>1329</v>
      </c>
      <c r="D495" t="s">
        <v>491</v>
      </c>
      <c r="E495" t="s">
        <v>442</v>
      </c>
      <c r="F495">
        <v>14</v>
      </c>
      <c r="G495" t="s">
        <v>1035</v>
      </c>
      <c r="H495" t="s">
        <v>1035</v>
      </c>
      <c r="I495" t="s">
        <v>1028</v>
      </c>
      <c r="J495" t="s">
        <v>1035</v>
      </c>
      <c r="K495">
        <v>494</v>
      </c>
      <c r="L495" t="str">
        <f t="shared" si="14"/>
        <v>Michael Trigg</v>
      </c>
      <c r="M495" s="69">
        <f>IFERROR(VLOOKUP(E495,RISK!A:B,2,FALSE()),"")</f>
        <v>2.2010999999999985</v>
      </c>
      <c r="N495" s="43" t="e">
        <f t="shared" si="15"/>
        <v>#N/A</v>
      </c>
    </row>
    <row r="496" spans="1:14" ht="14.25" customHeight="1" x14ac:dyDescent="0.3">
      <c r="A496">
        <v>495</v>
      </c>
      <c r="B496">
        <v>12</v>
      </c>
      <c r="C496" t="s">
        <v>1284</v>
      </c>
      <c r="D496" t="s">
        <v>517</v>
      </c>
      <c r="E496" t="s">
        <v>1295</v>
      </c>
      <c r="F496">
        <v>11</v>
      </c>
      <c r="G496" t="s">
        <v>1035</v>
      </c>
      <c r="H496" t="s">
        <v>1035</v>
      </c>
      <c r="I496" t="s">
        <v>1032</v>
      </c>
      <c r="J496" t="s">
        <v>1035</v>
      </c>
      <c r="K496">
        <v>495</v>
      </c>
      <c r="L496" t="str">
        <f t="shared" si="14"/>
        <v>Jake Bobo</v>
      </c>
      <c r="M496" s="69">
        <f>IFERROR(VLOOKUP(E496,RISK!A:B,2,FALSE()),"")</f>
        <v>3.848101265822784</v>
      </c>
      <c r="N496" s="43" t="e">
        <f t="shared" si="15"/>
        <v>#N/A</v>
      </c>
    </row>
    <row r="497" spans="1:14" ht="14.25" customHeight="1" x14ac:dyDescent="0.3">
      <c r="A497">
        <v>496</v>
      </c>
      <c r="B497">
        <v>12</v>
      </c>
      <c r="C497" t="s">
        <v>880</v>
      </c>
      <c r="D497" t="s">
        <v>529</v>
      </c>
      <c r="E497" t="s">
        <v>1296</v>
      </c>
      <c r="F497">
        <v>9</v>
      </c>
      <c r="G497" t="s">
        <v>1035</v>
      </c>
      <c r="H497" t="s">
        <v>1035</v>
      </c>
      <c r="I497" t="s">
        <v>1032</v>
      </c>
      <c r="J497" t="s">
        <v>1035</v>
      </c>
      <c r="K497">
        <v>496</v>
      </c>
      <c r="L497" t="str">
        <f t="shared" si="14"/>
        <v>Kaden Wetjen</v>
      </c>
      <c r="M497" s="69">
        <f>IFERROR(VLOOKUP(E497,RISK!A:B,2,FALSE()),"")</f>
        <v>3.848101265822784</v>
      </c>
      <c r="N497" s="43" t="e">
        <f t="shared" si="15"/>
        <v>#N/A</v>
      </c>
    </row>
    <row r="498" spans="1:14" ht="14.25" customHeight="1" x14ac:dyDescent="0.3">
      <c r="A498">
        <v>497</v>
      </c>
      <c r="B498">
        <v>12</v>
      </c>
      <c r="C498" t="s">
        <v>1987</v>
      </c>
      <c r="D498" t="s">
        <v>533</v>
      </c>
      <c r="E498" t="s">
        <v>1280</v>
      </c>
      <c r="F498">
        <v>11</v>
      </c>
      <c r="G498" t="s">
        <v>1035</v>
      </c>
      <c r="H498" t="s">
        <v>1035</v>
      </c>
      <c r="I498" t="s">
        <v>1028</v>
      </c>
      <c r="J498" t="s">
        <v>1035</v>
      </c>
      <c r="K498">
        <v>497</v>
      </c>
      <c r="L498" t="str">
        <f t="shared" si="14"/>
        <v>Trey Sermon</v>
      </c>
      <c r="M498" s="69">
        <f>IFERROR(VLOOKUP(E498,RISK!A:B,2,FALSE()),"")</f>
        <v>4</v>
      </c>
      <c r="N498" s="43" t="e">
        <f t="shared" si="15"/>
        <v>#N/A</v>
      </c>
    </row>
    <row r="499" spans="1:14" ht="14.25" customHeight="1" x14ac:dyDescent="0.3">
      <c r="A499">
        <v>498</v>
      </c>
      <c r="B499">
        <v>12</v>
      </c>
      <c r="C499" t="s">
        <v>1221</v>
      </c>
      <c r="D499" t="s">
        <v>1124</v>
      </c>
      <c r="E499" t="s">
        <v>1281</v>
      </c>
      <c r="F499" t="s">
        <v>1035</v>
      </c>
      <c r="G499" t="s">
        <v>1035</v>
      </c>
      <c r="H499" t="s">
        <v>1035</v>
      </c>
      <c r="I499" t="s">
        <v>1035</v>
      </c>
      <c r="J499" t="s">
        <v>1035</v>
      </c>
      <c r="K499">
        <v>498</v>
      </c>
      <c r="L499" t="str">
        <f t="shared" si="14"/>
        <v>Terrell Jennings</v>
      </c>
      <c r="M499" s="69">
        <f>IFERROR(VLOOKUP(E499,RISK!A:B,2,FALSE()),"")</f>
        <v>4</v>
      </c>
      <c r="N499" s="43" t="e">
        <f t="shared" si="15"/>
        <v>#N/A</v>
      </c>
    </row>
    <row r="500" spans="1:14" ht="14.25" customHeight="1" x14ac:dyDescent="0.3">
      <c r="A500">
        <v>499</v>
      </c>
      <c r="B500">
        <v>12</v>
      </c>
      <c r="C500" t="s">
        <v>868</v>
      </c>
      <c r="D500" t="s">
        <v>501</v>
      </c>
      <c r="E500" t="s">
        <v>1303</v>
      </c>
      <c r="F500">
        <v>11</v>
      </c>
      <c r="G500" t="s">
        <v>1035</v>
      </c>
      <c r="H500" t="s">
        <v>1035</v>
      </c>
      <c r="I500" t="s">
        <v>1031</v>
      </c>
      <c r="J500" t="s">
        <v>1035</v>
      </c>
      <c r="K500">
        <v>499</v>
      </c>
      <c r="L500" t="str">
        <f t="shared" si="14"/>
        <v>Xavier Smith</v>
      </c>
      <c r="M500" s="69">
        <f>IFERROR(VLOOKUP(E500,RISK!A:B,2,FALSE()),"")</f>
        <v>3.848101265822784</v>
      </c>
      <c r="N500" s="43" t="e">
        <f t="shared" si="15"/>
        <v>#N/A</v>
      </c>
    </row>
    <row r="501" spans="1:14" ht="14.25" customHeight="1" x14ac:dyDescent="0.3">
      <c r="A501">
        <v>500</v>
      </c>
      <c r="B501">
        <v>12</v>
      </c>
      <c r="C501" t="s">
        <v>993</v>
      </c>
      <c r="D501" t="s">
        <v>535</v>
      </c>
      <c r="E501" t="s">
        <v>443</v>
      </c>
      <c r="F501">
        <v>11</v>
      </c>
      <c r="G501" t="s">
        <v>1035</v>
      </c>
      <c r="H501" t="s">
        <v>1035</v>
      </c>
      <c r="I501" t="s">
        <v>1032</v>
      </c>
      <c r="J501" t="s">
        <v>1035</v>
      </c>
      <c r="K501">
        <v>500</v>
      </c>
      <c r="L501" t="str">
        <f t="shared" si="14"/>
        <v>Joe Royer</v>
      </c>
      <c r="M501" s="69">
        <f>IFERROR(VLOOKUP(E501,RISK!A:B,2,FALSE()),"")</f>
        <v>2.2010999999999985</v>
      </c>
      <c r="N501" s="43" t="e">
        <f t="shared" si="15"/>
        <v>#N/A</v>
      </c>
    </row>
    <row r="502" spans="1:14" ht="14.25" customHeight="1" x14ac:dyDescent="0.3">
      <c r="A502">
        <v>501</v>
      </c>
      <c r="B502">
        <v>12</v>
      </c>
      <c r="C502" t="s">
        <v>1508</v>
      </c>
      <c r="D502" t="s">
        <v>487</v>
      </c>
      <c r="E502" t="s">
        <v>1308</v>
      </c>
      <c r="F502">
        <v>8</v>
      </c>
      <c r="G502" t="s">
        <v>1035</v>
      </c>
      <c r="H502" t="s">
        <v>1035</v>
      </c>
      <c r="I502" t="s">
        <v>1028</v>
      </c>
      <c r="J502" t="s">
        <v>1035</v>
      </c>
      <c r="K502">
        <v>501</v>
      </c>
      <c r="L502" t="str">
        <f t="shared" si="14"/>
        <v>Jordan Watkins</v>
      </c>
      <c r="M502" s="69">
        <f>IFERROR(VLOOKUP(E502,RISK!A:B,2,FALSE()),"")</f>
        <v>3.848101265822784</v>
      </c>
      <c r="N502" s="43" t="e">
        <f t="shared" si="15"/>
        <v>#N/A</v>
      </c>
    </row>
    <row r="503" spans="1:14" ht="14.25" customHeight="1" x14ac:dyDescent="0.3">
      <c r="A503">
        <v>502</v>
      </c>
      <c r="B503">
        <v>12</v>
      </c>
      <c r="C503" t="s">
        <v>1515</v>
      </c>
      <c r="D503" t="s">
        <v>1124</v>
      </c>
      <c r="E503" t="s">
        <v>1286</v>
      </c>
      <c r="F503" t="s">
        <v>1035</v>
      </c>
      <c r="G503" t="s">
        <v>1035</v>
      </c>
      <c r="H503" t="s">
        <v>1035</v>
      </c>
      <c r="I503" t="s">
        <v>1035</v>
      </c>
      <c r="J503" t="s">
        <v>1035</v>
      </c>
      <c r="K503">
        <v>502</v>
      </c>
      <c r="L503" t="str">
        <f t="shared" si="14"/>
        <v>Miles Sanders</v>
      </c>
      <c r="M503" s="69">
        <f>IFERROR(VLOOKUP(E503,RISK!A:B,2,FALSE()),"")</f>
        <v>4</v>
      </c>
      <c r="N503" s="43" t="e">
        <f t="shared" si="15"/>
        <v>#N/A</v>
      </c>
    </row>
    <row r="504" spans="1:14" ht="14.25" customHeight="1" x14ac:dyDescent="0.3">
      <c r="A504">
        <v>503</v>
      </c>
      <c r="B504">
        <v>12</v>
      </c>
      <c r="C504" t="s">
        <v>968</v>
      </c>
      <c r="D504" t="s">
        <v>519</v>
      </c>
      <c r="E504" t="s">
        <v>444</v>
      </c>
      <c r="F504">
        <v>8</v>
      </c>
      <c r="G504" t="s">
        <v>1035</v>
      </c>
      <c r="H504" t="s">
        <v>1035</v>
      </c>
      <c r="I504" t="s">
        <v>1029</v>
      </c>
      <c r="J504" t="s">
        <v>1035</v>
      </c>
      <c r="K504">
        <v>503</v>
      </c>
      <c r="L504" t="str">
        <f t="shared" si="14"/>
        <v>Cade Stover</v>
      </c>
      <c r="M504" s="69">
        <f>IFERROR(VLOOKUP(E504,RISK!A:B,2,FALSE()),"")</f>
        <v>2.2010999999999985</v>
      </c>
      <c r="N504" s="43" t="e">
        <f t="shared" si="15"/>
        <v>#N/A</v>
      </c>
    </row>
    <row r="505" spans="1:14" ht="14.25" customHeight="1" x14ac:dyDescent="0.3">
      <c r="A505">
        <v>504</v>
      </c>
      <c r="B505">
        <v>12</v>
      </c>
      <c r="C505" t="s">
        <v>691</v>
      </c>
      <c r="D505" t="s">
        <v>497</v>
      </c>
      <c r="E505" t="s">
        <v>1289</v>
      </c>
      <c r="F505">
        <v>7</v>
      </c>
      <c r="G505" t="s">
        <v>1035</v>
      </c>
      <c r="H505" t="s">
        <v>1035</v>
      </c>
      <c r="I505" t="s">
        <v>1032</v>
      </c>
      <c r="J505" t="s">
        <v>1035</v>
      </c>
      <c r="K505">
        <v>504</v>
      </c>
      <c r="L505" t="str">
        <f t="shared" si="14"/>
        <v>Alec Ingold</v>
      </c>
      <c r="M505" s="69">
        <f>IFERROR(VLOOKUP(E505,RISK!A:B,2,FALSE()),"")</f>
        <v>4</v>
      </c>
      <c r="N505" s="43" t="e">
        <f t="shared" si="15"/>
        <v>#N/A</v>
      </c>
    </row>
    <row r="506" spans="1:14" ht="14.25" customHeight="1" x14ac:dyDescent="0.3">
      <c r="A506">
        <v>505</v>
      </c>
      <c r="B506">
        <v>12</v>
      </c>
      <c r="C506" t="s">
        <v>977</v>
      </c>
      <c r="D506" t="s">
        <v>519</v>
      </c>
      <c r="E506" t="s">
        <v>445</v>
      </c>
      <c r="F506">
        <v>8</v>
      </c>
      <c r="G506" t="s">
        <v>1035</v>
      </c>
      <c r="H506" t="s">
        <v>1035</v>
      </c>
      <c r="I506" t="s">
        <v>1029</v>
      </c>
      <c r="J506" t="s">
        <v>1035</v>
      </c>
      <c r="K506">
        <v>505</v>
      </c>
      <c r="L506" t="str">
        <f t="shared" si="14"/>
        <v>Foster Moreau</v>
      </c>
      <c r="M506" s="69">
        <f>IFERROR(VLOOKUP(E506,RISK!A:B,2,FALSE()),"")</f>
        <v>2.2010999999999985</v>
      </c>
      <c r="N506" s="43" t="e">
        <f t="shared" si="15"/>
        <v>#N/A</v>
      </c>
    </row>
    <row r="507" spans="1:14" ht="14.25" customHeight="1" x14ac:dyDescent="0.3">
      <c r="A507">
        <v>506</v>
      </c>
      <c r="B507">
        <v>12</v>
      </c>
      <c r="C507" t="s">
        <v>1764</v>
      </c>
      <c r="D507" t="s">
        <v>505</v>
      </c>
      <c r="E507" t="s">
        <v>1293</v>
      </c>
      <c r="F507">
        <v>8</v>
      </c>
      <c r="G507" t="s">
        <v>1035</v>
      </c>
      <c r="H507" t="s">
        <v>1035</v>
      </c>
      <c r="I507" t="s">
        <v>1032</v>
      </c>
      <c r="J507" t="s">
        <v>1035</v>
      </c>
      <c r="K507">
        <v>506</v>
      </c>
      <c r="L507" t="str">
        <f t="shared" si="14"/>
        <v>Zamir White</v>
      </c>
      <c r="M507" s="69">
        <f>IFERROR(VLOOKUP(E507,RISK!A:B,2,FALSE()),"")</f>
        <v>4</v>
      </c>
      <c r="N507" s="43" t="e">
        <f t="shared" si="15"/>
        <v>#N/A</v>
      </c>
    </row>
    <row r="508" spans="1:14" ht="14.25" customHeight="1" x14ac:dyDescent="0.3">
      <c r="A508">
        <v>507</v>
      </c>
      <c r="B508">
        <v>12</v>
      </c>
      <c r="C508" t="s">
        <v>1497</v>
      </c>
      <c r="D508" t="s">
        <v>475</v>
      </c>
      <c r="E508" t="s">
        <v>1309</v>
      </c>
      <c r="F508">
        <v>13</v>
      </c>
      <c r="G508" t="s">
        <v>1035</v>
      </c>
      <c r="H508" t="s">
        <v>1035</v>
      </c>
      <c r="I508" t="s">
        <v>1029</v>
      </c>
      <c r="J508" t="s">
        <v>1035</v>
      </c>
      <c r="K508">
        <v>507</v>
      </c>
      <c r="L508" t="str">
        <f t="shared" si="14"/>
        <v>DeAndre Hopkins</v>
      </c>
      <c r="M508" s="69">
        <f>IFERROR(VLOOKUP(E508,RISK!A:B,2,FALSE()),"")</f>
        <v>3.848101265822784</v>
      </c>
      <c r="N508" s="43" t="e">
        <f t="shared" si="15"/>
        <v>#N/A</v>
      </c>
    </row>
    <row r="509" spans="1:14" ht="14.25" customHeight="1" x14ac:dyDescent="0.3">
      <c r="A509">
        <v>508</v>
      </c>
      <c r="B509">
        <v>12</v>
      </c>
      <c r="C509" t="s">
        <v>996</v>
      </c>
      <c r="D509" t="s">
        <v>487</v>
      </c>
      <c r="E509" t="s">
        <v>446</v>
      </c>
      <c r="F509">
        <v>8</v>
      </c>
      <c r="G509" t="s">
        <v>1035</v>
      </c>
      <c r="H509" t="s">
        <v>1035</v>
      </c>
      <c r="I509" t="s">
        <v>1032</v>
      </c>
      <c r="J509" t="s">
        <v>1035</v>
      </c>
      <c r="K509">
        <v>508</v>
      </c>
      <c r="L509" t="str">
        <f t="shared" si="14"/>
        <v>Luke Farrell</v>
      </c>
      <c r="M509" s="69">
        <f>IFERROR(VLOOKUP(E509,RISK!A:B,2,FALSE()),"")</f>
        <v>2.2010999999999985</v>
      </c>
      <c r="N509" s="43" t="e">
        <f t="shared" si="15"/>
        <v>#N/A</v>
      </c>
    </row>
    <row r="510" spans="1:14" ht="14.25" customHeight="1" x14ac:dyDescent="0.3">
      <c r="A510">
        <v>509</v>
      </c>
      <c r="B510">
        <v>12</v>
      </c>
      <c r="C510" t="s">
        <v>969</v>
      </c>
      <c r="D510" t="s">
        <v>499</v>
      </c>
      <c r="E510" t="s">
        <v>447</v>
      </c>
      <c r="F510">
        <v>10</v>
      </c>
      <c r="G510" t="s">
        <v>1035</v>
      </c>
      <c r="H510" t="s">
        <v>1035</v>
      </c>
      <c r="I510" t="s">
        <v>1029</v>
      </c>
      <c r="J510" t="s">
        <v>1035</v>
      </c>
      <c r="K510">
        <v>509</v>
      </c>
      <c r="L510" t="str">
        <f t="shared" si="14"/>
        <v>Nate Adkins</v>
      </c>
      <c r="M510" s="69">
        <f>IFERROR(VLOOKUP(E510,RISK!A:B,2,FALSE()),"")</f>
        <v>2.2010999999999985</v>
      </c>
      <c r="N510" s="43" t="e">
        <f t="shared" si="15"/>
        <v>#N/A</v>
      </c>
    </row>
    <row r="511" spans="1:14" ht="14.25" customHeight="1" x14ac:dyDescent="0.3">
      <c r="A511">
        <v>510</v>
      </c>
      <c r="B511">
        <v>12</v>
      </c>
      <c r="C511" t="s">
        <v>1491</v>
      </c>
      <c r="D511" t="s">
        <v>525</v>
      </c>
      <c r="E511" t="s">
        <v>1310</v>
      </c>
      <c r="F511">
        <v>9</v>
      </c>
      <c r="G511" t="s">
        <v>1035</v>
      </c>
      <c r="H511" t="s">
        <v>1035</v>
      </c>
      <c r="I511" t="s">
        <v>1032</v>
      </c>
      <c r="J511" t="s">
        <v>1035</v>
      </c>
      <c r="K511">
        <v>510</v>
      </c>
      <c r="L511" t="str">
        <f t="shared" si="14"/>
        <v>Xavier Restrepo</v>
      </c>
      <c r="M511" s="69">
        <f>IFERROR(VLOOKUP(E511,RISK!A:B,2,FALSE()),"")</f>
        <v>3.848101265822784</v>
      </c>
      <c r="N511" s="43" t="e">
        <f t="shared" si="15"/>
        <v>#N/A</v>
      </c>
    </row>
    <row r="512" spans="1:14" ht="14.25" customHeight="1" x14ac:dyDescent="0.3">
      <c r="A512">
        <v>511</v>
      </c>
      <c r="B512">
        <v>12</v>
      </c>
      <c r="C512" t="s">
        <v>697</v>
      </c>
      <c r="D512" t="s">
        <v>485</v>
      </c>
      <c r="E512" t="s">
        <v>1294</v>
      </c>
      <c r="F512">
        <v>8</v>
      </c>
      <c r="G512" t="s">
        <v>1035</v>
      </c>
      <c r="H512" t="s">
        <v>1035</v>
      </c>
      <c r="I512" t="s">
        <v>1029</v>
      </c>
      <c r="J512" t="s">
        <v>1035</v>
      </c>
      <c r="K512">
        <v>511</v>
      </c>
      <c r="L512" t="str">
        <f t="shared" si="14"/>
        <v>Patrick Ricard</v>
      </c>
      <c r="M512" s="69">
        <f>IFERROR(VLOOKUP(E512,RISK!A:B,2,FALSE()),"")</f>
        <v>4</v>
      </c>
      <c r="N512" s="43" t="e">
        <f t="shared" si="15"/>
        <v>#N/A</v>
      </c>
    </row>
    <row r="513" spans="1:14" ht="14.25" customHeight="1" x14ac:dyDescent="0.3">
      <c r="A513">
        <v>512</v>
      </c>
      <c r="B513">
        <v>12</v>
      </c>
      <c r="C513" t="s">
        <v>895</v>
      </c>
      <c r="D513" t="s">
        <v>477</v>
      </c>
      <c r="E513" t="s">
        <v>1311</v>
      </c>
      <c r="F513">
        <v>11</v>
      </c>
      <c r="G513" t="s">
        <v>1035</v>
      </c>
      <c r="H513" t="s">
        <v>1035</v>
      </c>
      <c r="I513" t="s">
        <v>1028</v>
      </c>
      <c r="J513" t="s">
        <v>1035</v>
      </c>
      <c r="K513">
        <v>512</v>
      </c>
      <c r="L513" t="str">
        <f t="shared" si="14"/>
        <v>Efton Chism III</v>
      </c>
      <c r="M513" s="69">
        <f>IFERROR(VLOOKUP(E513,RISK!A:B,2,FALSE()),"")</f>
        <v>3.848101265822784</v>
      </c>
      <c r="N513" s="43" t="e">
        <f t="shared" si="15"/>
        <v>#N/A</v>
      </c>
    </row>
    <row r="514" spans="1:14" ht="14.25" customHeight="1" x14ac:dyDescent="0.3">
      <c r="A514">
        <v>513</v>
      </c>
      <c r="B514">
        <v>12</v>
      </c>
      <c r="C514" t="s">
        <v>1274</v>
      </c>
      <c r="D514" t="s">
        <v>493</v>
      </c>
      <c r="E514" t="s">
        <v>1301</v>
      </c>
      <c r="F514">
        <v>5</v>
      </c>
      <c r="G514" t="s">
        <v>1035</v>
      </c>
      <c r="H514" t="s">
        <v>1035</v>
      </c>
      <c r="I514" t="s">
        <v>1032</v>
      </c>
      <c r="J514" t="s">
        <v>1035</v>
      </c>
      <c r="K514">
        <v>513</v>
      </c>
      <c r="L514" t="str">
        <f t="shared" ref="L514:L577" si="16">C514</f>
        <v>Jaydn Ott</v>
      </c>
      <c r="M514" s="69">
        <f>IFERROR(VLOOKUP(E514,RISK!A:B,2,FALSE()),"")</f>
        <v>4</v>
      </c>
      <c r="N514" s="43" t="e">
        <f t="shared" si="15"/>
        <v>#N/A</v>
      </c>
    </row>
    <row r="515" spans="1:14" ht="14.25" customHeight="1" x14ac:dyDescent="0.3">
      <c r="A515">
        <v>514</v>
      </c>
      <c r="B515">
        <v>12</v>
      </c>
      <c r="C515" t="s">
        <v>964</v>
      </c>
      <c r="D515" t="s">
        <v>523</v>
      </c>
      <c r="E515" t="s">
        <v>448</v>
      </c>
      <c r="F515">
        <v>13</v>
      </c>
      <c r="G515" t="s">
        <v>1035</v>
      </c>
      <c r="H515" t="s">
        <v>1035</v>
      </c>
      <c r="I515" t="s">
        <v>1029</v>
      </c>
      <c r="J515" t="s">
        <v>1035</v>
      </c>
      <c r="K515">
        <v>514</v>
      </c>
      <c r="L515" t="str">
        <f t="shared" si="16"/>
        <v>Jeremy Ruckert</v>
      </c>
      <c r="M515" s="69">
        <f>IFERROR(VLOOKUP(E515,RISK!A:B,2,FALSE()),"")</f>
        <v>2.2010999999999985</v>
      </c>
      <c r="N515" s="43" t="e">
        <f t="shared" ref="N515:N578" si="17">VLOOKUP(E515,Q:R,2,FALSE)</f>
        <v>#N/A</v>
      </c>
    </row>
    <row r="516" spans="1:14" ht="14.25" customHeight="1" x14ac:dyDescent="0.3">
      <c r="A516">
        <v>515</v>
      </c>
      <c r="B516">
        <v>12</v>
      </c>
      <c r="C516" t="s">
        <v>983</v>
      </c>
      <c r="D516" t="s">
        <v>475</v>
      </c>
      <c r="E516" t="s">
        <v>449</v>
      </c>
      <c r="F516">
        <v>13</v>
      </c>
      <c r="G516" t="s">
        <v>1035</v>
      </c>
      <c r="H516" t="s">
        <v>1035</v>
      </c>
      <c r="I516" t="s">
        <v>1029</v>
      </c>
      <c r="J516" t="s">
        <v>1035</v>
      </c>
      <c r="K516">
        <v>515</v>
      </c>
      <c r="L516" t="str">
        <f t="shared" si="16"/>
        <v>Durham Smythe</v>
      </c>
      <c r="M516" s="69">
        <f>IFERROR(VLOOKUP(E516,RISK!A:B,2,FALSE()),"")</f>
        <v>2.2010999999999985</v>
      </c>
      <c r="N516" s="43" t="e">
        <f t="shared" si="17"/>
        <v>#N/A</v>
      </c>
    </row>
    <row r="517" spans="1:14" ht="14.25" customHeight="1" x14ac:dyDescent="0.3">
      <c r="A517">
        <v>516</v>
      </c>
      <c r="B517">
        <v>12</v>
      </c>
      <c r="C517" t="s">
        <v>1525</v>
      </c>
      <c r="D517" t="s">
        <v>485</v>
      </c>
      <c r="E517" t="s">
        <v>1306</v>
      </c>
      <c r="F517">
        <v>8</v>
      </c>
      <c r="G517" t="s">
        <v>1035</v>
      </c>
      <c r="H517" t="s">
        <v>1035</v>
      </c>
      <c r="I517" t="s">
        <v>1028</v>
      </c>
      <c r="J517" t="s">
        <v>1035</v>
      </c>
      <c r="K517">
        <v>516</v>
      </c>
      <c r="L517" t="str">
        <f t="shared" si="16"/>
        <v>Dominic Zvada</v>
      </c>
      <c r="M517" s="69" t="str">
        <f>IFERROR(VLOOKUP(E517,RISK!A:B,2,FALSE()),"")</f>
        <v/>
      </c>
      <c r="N517" s="43" t="e">
        <f t="shared" si="17"/>
        <v>#N/A</v>
      </c>
    </row>
    <row r="518" spans="1:14" ht="14.25" customHeight="1" x14ac:dyDescent="0.3">
      <c r="A518">
        <v>517</v>
      </c>
      <c r="B518">
        <v>12</v>
      </c>
      <c r="C518" t="s">
        <v>891</v>
      </c>
      <c r="D518" t="s">
        <v>527</v>
      </c>
      <c r="E518" t="s">
        <v>1312</v>
      </c>
      <c r="F518">
        <v>14</v>
      </c>
      <c r="G518" t="s">
        <v>1035</v>
      </c>
      <c r="H518" t="s">
        <v>1035</v>
      </c>
      <c r="I518" t="s">
        <v>1028</v>
      </c>
      <c r="J518" t="s">
        <v>1035</v>
      </c>
      <c r="K518">
        <v>517</v>
      </c>
      <c r="L518" t="str">
        <f t="shared" si="16"/>
        <v>Jalen Brooks</v>
      </c>
      <c r="M518" s="69">
        <f>IFERROR(VLOOKUP(E518,RISK!A:B,2,FALSE()),"")</f>
        <v>3.848101265822784</v>
      </c>
      <c r="N518" s="43" t="e">
        <f t="shared" si="17"/>
        <v>#N/A</v>
      </c>
    </row>
    <row r="519" spans="1:14" ht="14.25" customHeight="1" x14ac:dyDescent="0.3">
      <c r="A519">
        <v>518</v>
      </c>
      <c r="B519">
        <v>12</v>
      </c>
      <c r="C519" t="s">
        <v>1482</v>
      </c>
      <c r="D519" t="s">
        <v>507</v>
      </c>
      <c r="E519" t="s">
        <v>450</v>
      </c>
      <c r="F519">
        <v>10</v>
      </c>
      <c r="G519" t="s">
        <v>1035</v>
      </c>
      <c r="H519" t="s">
        <v>1035</v>
      </c>
      <c r="I519" t="s">
        <v>1028</v>
      </c>
      <c r="J519" t="s">
        <v>1035</v>
      </c>
      <c r="K519">
        <v>518</v>
      </c>
      <c r="L519" t="str">
        <f t="shared" si="16"/>
        <v>Bauer Sharp</v>
      </c>
      <c r="M519" s="69">
        <f>IFERROR(VLOOKUP(E519,RISK!A:B,2,FALSE()),"")</f>
        <v>2.2010999999999985</v>
      </c>
      <c r="N519" s="43" t="e">
        <f t="shared" si="17"/>
        <v>#N/A</v>
      </c>
    </row>
    <row r="520" spans="1:14" ht="14.25" customHeight="1" x14ac:dyDescent="0.3">
      <c r="A520">
        <v>519</v>
      </c>
      <c r="B520">
        <v>12</v>
      </c>
      <c r="C520" t="s">
        <v>1528</v>
      </c>
      <c r="D520" t="s">
        <v>525</v>
      </c>
      <c r="E520" t="s">
        <v>1302</v>
      </c>
      <c r="F520">
        <v>9</v>
      </c>
      <c r="G520" t="s">
        <v>1035</v>
      </c>
      <c r="H520" t="s">
        <v>1035</v>
      </c>
      <c r="I520" t="s">
        <v>1032</v>
      </c>
      <c r="J520" t="s">
        <v>1035</v>
      </c>
      <c r="K520">
        <v>519</v>
      </c>
      <c r="L520" t="str">
        <f t="shared" si="16"/>
        <v>Kalel Mullings</v>
      </c>
      <c r="M520" s="69">
        <f>IFERROR(VLOOKUP(E520,RISK!A:B,2,FALSE()),"")</f>
        <v>4</v>
      </c>
      <c r="N520" s="43" t="e">
        <f t="shared" si="17"/>
        <v>#N/A</v>
      </c>
    </row>
    <row r="521" spans="1:14" ht="14.25" customHeight="1" x14ac:dyDescent="0.3">
      <c r="A521">
        <v>520</v>
      </c>
      <c r="B521">
        <v>12</v>
      </c>
      <c r="C521" t="s">
        <v>1791</v>
      </c>
      <c r="D521" t="s">
        <v>1124</v>
      </c>
      <c r="E521" t="s">
        <v>1330</v>
      </c>
      <c r="F521" t="s">
        <v>1035</v>
      </c>
      <c r="G521" t="s">
        <v>1035</v>
      </c>
      <c r="H521" t="s">
        <v>1035</v>
      </c>
      <c r="I521" t="s">
        <v>1035</v>
      </c>
      <c r="J521" t="s">
        <v>1035</v>
      </c>
      <c r="K521">
        <v>520</v>
      </c>
      <c r="L521" t="str">
        <f t="shared" si="16"/>
        <v>Myles Montgomery</v>
      </c>
      <c r="M521" s="69">
        <f>IFERROR(VLOOKUP(E521,RISK!A:B,2,FALSE()),"")</f>
        <v>4</v>
      </c>
      <c r="N521" s="43" t="e">
        <f t="shared" si="17"/>
        <v>#N/A</v>
      </c>
    </row>
    <row r="522" spans="1:14" ht="14.25" customHeight="1" x14ac:dyDescent="0.3">
      <c r="A522">
        <v>521</v>
      </c>
      <c r="B522">
        <v>12</v>
      </c>
      <c r="C522" t="s">
        <v>975</v>
      </c>
      <c r="D522" t="s">
        <v>533</v>
      </c>
      <c r="E522" t="s">
        <v>451</v>
      </c>
      <c r="F522">
        <v>11</v>
      </c>
      <c r="G522" t="s">
        <v>1035</v>
      </c>
      <c r="H522" t="s">
        <v>1035</v>
      </c>
      <c r="I522" t="s">
        <v>1032</v>
      </c>
      <c r="J522" t="s">
        <v>1035</v>
      </c>
      <c r="K522">
        <v>521</v>
      </c>
      <c r="L522" t="str">
        <f t="shared" si="16"/>
        <v>Charlie Woerner</v>
      </c>
      <c r="M522" s="69">
        <f>IFERROR(VLOOKUP(E522,RISK!A:B,2,FALSE()),"")</f>
        <v>2.2010999999999985</v>
      </c>
      <c r="N522" s="43" t="e">
        <f t="shared" si="17"/>
        <v>#N/A</v>
      </c>
    </row>
    <row r="523" spans="1:14" ht="14.25" customHeight="1" x14ac:dyDescent="0.3">
      <c r="A523">
        <v>522</v>
      </c>
      <c r="B523">
        <v>12</v>
      </c>
      <c r="C523" t="s">
        <v>543</v>
      </c>
      <c r="D523" t="s">
        <v>511</v>
      </c>
      <c r="E523" t="s">
        <v>1240</v>
      </c>
      <c r="F523">
        <v>13</v>
      </c>
      <c r="G523" t="s">
        <v>1035</v>
      </c>
      <c r="H523" t="s">
        <v>1035</v>
      </c>
      <c r="I523" t="s">
        <v>1029</v>
      </c>
      <c r="J523" t="s">
        <v>1035</v>
      </c>
      <c r="K523">
        <v>522</v>
      </c>
      <c r="L523" t="str">
        <f t="shared" si="16"/>
        <v>Riley Leonard</v>
      </c>
      <c r="M523" s="69">
        <f>IFERROR(VLOOKUP(E523,RISK!A:B,2,FALSE()),"")</f>
        <v>3.2</v>
      </c>
      <c r="N523" s="43" t="e">
        <f t="shared" si="17"/>
        <v>#N/A</v>
      </c>
    </row>
    <row r="524" spans="1:14" ht="14.25" customHeight="1" x14ac:dyDescent="0.3">
      <c r="A524">
        <v>523</v>
      </c>
      <c r="B524">
        <v>12</v>
      </c>
      <c r="C524" t="s">
        <v>976</v>
      </c>
      <c r="D524" t="s">
        <v>481</v>
      </c>
      <c r="E524" t="s">
        <v>452</v>
      </c>
      <c r="F524">
        <v>10</v>
      </c>
      <c r="G524" t="s">
        <v>1035</v>
      </c>
      <c r="H524" t="s">
        <v>1035</v>
      </c>
      <c r="I524" t="s">
        <v>1029</v>
      </c>
      <c r="J524" t="s">
        <v>1035</v>
      </c>
      <c r="K524">
        <v>523</v>
      </c>
      <c r="L524" t="str">
        <f t="shared" si="16"/>
        <v>Grant Calcaterra</v>
      </c>
      <c r="M524" s="69">
        <f>IFERROR(VLOOKUP(E524,RISK!A:B,2,FALSE()),"")</f>
        <v>2.2010999999999985</v>
      </c>
      <c r="N524" s="43" t="e">
        <f t="shared" si="17"/>
        <v>#N/A</v>
      </c>
    </row>
    <row r="525" spans="1:14" ht="14.25" customHeight="1" x14ac:dyDescent="0.3">
      <c r="A525">
        <v>524</v>
      </c>
      <c r="B525">
        <v>12</v>
      </c>
      <c r="C525" t="s">
        <v>1487</v>
      </c>
      <c r="D525" t="s">
        <v>479</v>
      </c>
      <c r="E525" t="s">
        <v>1344</v>
      </c>
      <c r="F525">
        <v>7</v>
      </c>
      <c r="G525" t="s">
        <v>1035</v>
      </c>
      <c r="H525" t="s">
        <v>1035</v>
      </c>
      <c r="I525" t="s">
        <v>1027</v>
      </c>
      <c r="J525" t="s">
        <v>1035</v>
      </c>
      <c r="K525">
        <v>524</v>
      </c>
      <c r="L525" t="str">
        <f t="shared" si="16"/>
        <v>Drew Stevens</v>
      </c>
      <c r="M525" s="69" t="str">
        <f>IFERROR(VLOOKUP(E525,RISK!A:B,2,FALSE()),"")</f>
        <v/>
      </c>
      <c r="N525" s="43" t="e">
        <f t="shared" si="17"/>
        <v>#N/A</v>
      </c>
    </row>
    <row r="526" spans="1:14" ht="14.25" customHeight="1" x14ac:dyDescent="0.3">
      <c r="A526">
        <v>525</v>
      </c>
      <c r="B526">
        <v>12</v>
      </c>
      <c r="C526" t="s">
        <v>1002</v>
      </c>
      <c r="D526" t="s">
        <v>511</v>
      </c>
      <c r="E526" t="s">
        <v>453</v>
      </c>
      <c r="F526">
        <v>13</v>
      </c>
      <c r="G526" t="s">
        <v>1035</v>
      </c>
      <c r="H526" t="s">
        <v>1035</v>
      </c>
      <c r="I526" t="s">
        <v>1032</v>
      </c>
      <c r="J526" t="s">
        <v>1035</v>
      </c>
      <c r="K526">
        <v>525</v>
      </c>
      <c r="L526" t="str">
        <f t="shared" si="16"/>
        <v>Drew Ogletree</v>
      </c>
      <c r="M526" s="69">
        <f>IFERROR(VLOOKUP(E526,RISK!A:B,2,FALSE()),"")</f>
        <v>2.2010999999999985</v>
      </c>
      <c r="N526" s="43" t="e">
        <f t="shared" si="17"/>
        <v>#N/A</v>
      </c>
    </row>
    <row r="527" spans="1:14" ht="14.25" customHeight="1" x14ac:dyDescent="0.3">
      <c r="A527">
        <v>526</v>
      </c>
      <c r="B527">
        <v>12</v>
      </c>
      <c r="C527" t="s">
        <v>987</v>
      </c>
      <c r="D527" t="s">
        <v>491</v>
      </c>
      <c r="E527" t="s">
        <v>454</v>
      </c>
      <c r="F527">
        <v>14</v>
      </c>
      <c r="G527" t="s">
        <v>1035</v>
      </c>
      <c r="H527" t="s">
        <v>1035</v>
      </c>
      <c r="I527" t="s">
        <v>1028</v>
      </c>
      <c r="J527" t="s">
        <v>1035</v>
      </c>
      <c r="K527">
        <v>526</v>
      </c>
      <c r="L527" t="str">
        <f t="shared" si="16"/>
        <v>Brevyn Spann-Ford</v>
      </c>
      <c r="M527" s="69">
        <f>IFERROR(VLOOKUP(E527,RISK!A:B,2,FALSE()),"")</f>
        <v>2.2010999999999985</v>
      </c>
      <c r="N527" s="43" t="e">
        <f t="shared" si="17"/>
        <v>#N/A</v>
      </c>
    </row>
    <row r="528" spans="1:14" ht="14.25" customHeight="1" x14ac:dyDescent="0.3">
      <c r="A528">
        <v>527</v>
      </c>
      <c r="B528">
        <v>12</v>
      </c>
      <c r="C528" t="s">
        <v>958</v>
      </c>
      <c r="D528" t="s">
        <v>501</v>
      </c>
      <c r="E528" t="s">
        <v>455</v>
      </c>
      <c r="F528">
        <v>11</v>
      </c>
      <c r="G528" t="s">
        <v>1035</v>
      </c>
      <c r="H528" t="s">
        <v>1035</v>
      </c>
      <c r="I528" t="s">
        <v>1029</v>
      </c>
      <c r="J528" t="s">
        <v>1035</v>
      </c>
      <c r="K528">
        <v>527</v>
      </c>
      <c r="L528" t="str">
        <f t="shared" si="16"/>
        <v>Davis Allen</v>
      </c>
      <c r="M528" s="69">
        <f>IFERROR(VLOOKUP(E528,RISK!A:B,2,FALSE()),"")</f>
        <v>2.2010999999999985</v>
      </c>
      <c r="N528" s="43" t="e">
        <f t="shared" si="17"/>
        <v>#N/A</v>
      </c>
    </row>
    <row r="529" spans="1:14" ht="14.25" customHeight="1" x14ac:dyDescent="0.3">
      <c r="A529">
        <v>528</v>
      </c>
      <c r="B529">
        <v>12</v>
      </c>
      <c r="C529" t="s">
        <v>898</v>
      </c>
      <c r="D529" t="s">
        <v>509</v>
      </c>
      <c r="E529" t="s">
        <v>1313</v>
      </c>
      <c r="F529">
        <v>6</v>
      </c>
      <c r="G529" t="s">
        <v>1035</v>
      </c>
      <c r="H529" t="s">
        <v>1035</v>
      </c>
      <c r="I529" t="s">
        <v>1027</v>
      </c>
      <c r="J529" t="s">
        <v>1035</v>
      </c>
      <c r="K529">
        <v>528</v>
      </c>
      <c r="L529" t="str">
        <f t="shared" si="16"/>
        <v>Myles Price</v>
      </c>
      <c r="M529" s="69">
        <f>IFERROR(VLOOKUP(E529,RISK!A:B,2,FALSE()),"")</f>
        <v>3.848101265822784</v>
      </c>
      <c r="N529" s="43" t="e">
        <f t="shared" si="17"/>
        <v>#N/A</v>
      </c>
    </row>
    <row r="530" spans="1:14" ht="14.25" customHeight="1" x14ac:dyDescent="0.3">
      <c r="A530">
        <v>529</v>
      </c>
      <c r="B530">
        <v>12</v>
      </c>
      <c r="C530" t="s">
        <v>959</v>
      </c>
      <c r="D530" t="s">
        <v>513</v>
      </c>
      <c r="E530" t="s">
        <v>456</v>
      </c>
      <c r="F530">
        <v>6</v>
      </c>
      <c r="G530" t="s">
        <v>1035</v>
      </c>
      <c r="H530" t="s">
        <v>1035</v>
      </c>
      <c r="I530" t="s">
        <v>1027</v>
      </c>
      <c r="J530" t="s">
        <v>1035</v>
      </c>
      <c r="K530">
        <v>529</v>
      </c>
      <c r="L530" t="str">
        <f t="shared" si="16"/>
        <v>Ben Sims</v>
      </c>
      <c r="M530" s="69">
        <f>IFERROR(VLOOKUP(E530,RISK!A:B,2,FALSE()),"")</f>
        <v>2.2010999999999985</v>
      </c>
      <c r="N530" s="43" t="e">
        <f t="shared" si="17"/>
        <v>#N/A</v>
      </c>
    </row>
    <row r="531" spans="1:14" ht="14.25" customHeight="1" x14ac:dyDescent="0.3">
      <c r="A531">
        <v>530</v>
      </c>
      <c r="B531">
        <v>12</v>
      </c>
      <c r="C531" t="s">
        <v>1006</v>
      </c>
      <c r="D531" t="s">
        <v>481</v>
      </c>
      <c r="E531" t="s">
        <v>457</v>
      </c>
      <c r="F531">
        <v>10</v>
      </c>
      <c r="G531" t="s">
        <v>1035</v>
      </c>
      <c r="H531" t="s">
        <v>1035</v>
      </c>
      <c r="I531" t="s">
        <v>1029</v>
      </c>
      <c r="J531" t="s">
        <v>1035</v>
      </c>
      <c r="K531">
        <v>530</v>
      </c>
      <c r="L531" t="str">
        <f t="shared" si="16"/>
        <v>Johnny Mundt</v>
      </c>
      <c r="M531" s="69">
        <f>IFERROR(VLOOKUP(E531,RISK!A:B,2,FALSE()),"")</f>
        <v>2.2010999999999985</v>
      </c>
      <c r="N531" s="43" t="e">
        <f t="shared" si="17"/>
        <v>#N/A</v>
      </c>
    </row>
    <row r="532" spans="1:14" ht="14.25" customHeight="1" x14ac:dyDescent="0.3">
      <c r="A532">
        <v>531</v>
      </c>
      <c r="B532">
        <v>12</v>
      </c>
      <c r="C532" t="s">
        <v>1003</v>
      </c>
      <c r="D532" t="s">
        <v>515</v>
      </c>
      <c r="E532" t="s">
        <v>458</v>
      </c>
      <c r="F532">
        <v>11</v>
      </c>
      <c r="G532" t="s">
        <v>1035</v>
      </c>
      <c r="H532" t="s">
        <v>1035</v>
      </c>
      <c r="I532" t="s">
        <v>1028</v>
      </c>
      <c r="J532" t="s">
        <v>1035</v>
      </c>
      <c r="K532">
        <v>531</v>
      </c>
      <c r="L532" t="str">
        <f t="shared" si="16"/>
        <v>Josh Whyle</v>
      </c>
      <c r="M532" s="69">
        <f>IFERROR(VLOOKUP(E532,RISK!A:B,2,FALSE()),"")</f>
        <v>2.2010999999999985</v>
      </c>
      <c r="N532" s="43" t="e">
        <f t="shared" si="17"/>
        <v>#N/A</v>
      </c>
    </row>
    <row r="533" spans="1:14" ht="14.25" customHeight="1" x14ac:dyDescent="0.3">
      <c r="A533">
        <v>532</v>
      </c>
      <c r="B533">
        <v>12</v>
      </c>
      <c r="C533" t="s">
        <v>1012</v>
      </c>
      <c r="D533" t="s">
        <v>477</v>
      </c>
      <c r="E533" t="s">
        <v>459</v>
      </c>
      <c r="F533">
        <v>11</v>
      </c>
      <c r="G533" t="s">
        <v>1035</v>
      </c>
      <c r="H533" t="s">
        <v>1035</v>
      </c>
      <c r="I533" t="s">
        <v>1029</v>
      </c>
      <c r="J533" t="s">
        <v>1035</v>
      </c>
      <c r="K533">
        <v>532</v>
      </c>
      <c r="L533" t="str">
        <f t="shared" si="16"/>
        <v>Julian Hill</v>
      </c>
      <c r="M533" s="69">
        <f>IFERROR(VLOOKUP(E533,RISK!A:B,2,FALSE()),"")</f>
        <v>2.2010999999999985</v>
      </c>
      <c r="N533" s="43" t="e">
        <f t="shared" si="17"/>
        <v>#N/A</v>
      </c>
    </row>
    <row r="534" spans="1:14" ht="14.25" customHeight="1" x14ac:dyDescent="0.3">
      <c r="A534">
        <v>533</v>
      </c>
      <c r="B534">
        <v>12</v>
      </c>
      <c r="C534" t="s">
        <v>1246</v>
      </c>
      <c r="D534" t="s">
        <v>519</v>
      </c>
      <c r="E534" t="s">
        <v>1331</v>
      </c>
      <c r="F534">
        <v>8</v>
      </c>
      <c r="G534" t="s">
        <v>1035</v>
      </c>
      <c r="H534" t="s">
        <v>1035</v>
      </c>
      <c r="I534" t="s">
        <v>1029</v>
      </c>
      <c r="J534" t="s">
        <v>1035</v>
      </c>
      <c r="K534">
        <v>533</v>
      </c>
      <c r="L534" t="str">
        <f t="shared" si="16"/>
        <v>Noah Whittington</v>
      </c>
      <c r="M534" s="69">
        <f>IFERROR(VLOOKUP(E534,RISK!A:B,2,FALSE()),"")</f>
        <v>4</v>
      </c>
      <c r="N534" s="43" t="e">
        <f t="shared" si="17"/>
        <v>#N/A</v>
      </c>
    </row>
    <row r="535" spans="1:14" ht="14.25" customHeight="1" x14ac:dyDescent="0.3">
      <c r="A535">
        <v>534</v>
      </c>
      <c r="B535">
        <v>12</v>
      </c>
      <c r="C535" t="s">
        <v>1001</v>
      </c>
      <c r="D535" t="s">
        <v>503</v>
      </c>
      <c r="E535" t="s">
        <v>460</v>
      </c>
      <c r="F535">
        <v>6</v>
      </c>
      <c r="G535" t="s">
        <v>1035</v>
      </c>
      <c r="H535" t="s">
        <v>1035</v>
      </c>
      <c r="I535" t="s">
        <v>1032</v>
      </c>
      <c r="J535" t="s">
        <v>1035</v>
      </c>
      <c r="K535">
        <v>534</v>
      </c>
      <c r="L535" t="str">
        <f t="shared" si="16"/>
        <v>Tyler Conklin</v>
      </c>
      <c r="M535" s="69">
        <f>IFERROR(VLOOKUP(E535,RISK!A:B,2,FALSE()),"")</f>
        <v>2.2010999999999985</v>
      </c>
      <c r="N535" s="43" t="e">
        <f t="shared" si="17"/>
        <v>#N/A</v>
      </c>
    </row>
    <row r="536" spans="1:14" ht="14.25" customHeight="1" x14ac:dyDescent="0.3">
      <c r="A536">
        <v>535</v>
      </c>
      <c r="B536">
        <v>12</v>
      </c>
      <c r="C536" t="s">
        <v>1485</v>
      </c>
      <c r="D536" t="s">
        <v>493</v>
      </c>
      <c r="E536" t="s">
        <v>1388</v>
      </c>
      <c r="F536">
        <v>5</v>
      </c>
      <c r="G536" t="s">
        <v>1035</v>
      </c>
      <c r="H536" t="s">
        <v>1035</v>
      </c>
      <c r="I536" t="s">
        <v>1029</v>
      </c>
      <c r="J536" t="s">
        <v>1035</v>
      </c>
      <c r="K536">
        <v>535</v>
      </c>
      <c r="L536" t="str">
        <f t="shared" si="16"/>
        <v>Jared Wiley</v>
      </c>
      <c r="M536" s="69">
        <f>IFERROR(VLOOKUP(E536,RISK!A:B,2,FALSE()),"")</f>
        <v>2.2010999999999985</v>
      </c>
      <c r="N536" s="43" t="e">
        <f t="shared" si="17"/>
        <v>#N/A</v>
      </c>
    </row>
    <row r="537" spans="1:14" ht="14.25" customHeight="1" x14ac:dyDescent="0.3">
      <c r="A537">
        <v>536</v>
      </c>
      <c r="B537">
        <v>12</v>
      </c>
      <c r="C537" t="s">
        <v>1004</v>
      </c>
      <c r="D537" t="s">
        <v>517</v>
      </c>
      <c r="E537" t="s">
        <v>1400</v>
      </c>
      <c r="F537">
        <v>11</v>
      </c>
      <c r="G537" t="s">
        <v>1035</v>
      </c>
      <c r="H537" t="s">
        <v>1035</v>
      </c>
      <c r="I537" t="s">
        <v>1032</v>
      </c>
      <c r="J537" t="s">
        <v>1035</v>
      </c>
      <c r="K537">
        <v>536</v>
      </c>
      <c r="L537" t="str">
        <f t="shared" si="16"/>
        <v>Eric Saubert</v>
      </c>
      <c r="M537" s="69">
        <f>IFERROR(VLOOKUP(E537,RISK!A:B,2,FALSE()),"")</f>
        <v>2.2010999999999985</v>
      </c>
      <c r="N537" s="43" t="e">
        <f t="shared" si="17"/>
        <v>#N/A</v>
      </c>
    </row>
    <row r="538" spans="1:14" ht="14.25" customHeight="1" x14ac:dyDescent="0.3">
      <c r="A538">
        <v>537</v>
      </c>
      <c r="B538">
        <v>12</v>
      </c>
      <c r="C538" t="s">
        <v>990</v>
      </c>
      <c r="D538" t="s">
        <v>507</v>
      </c>
      <c r="E538" t="s">
        <v>1401</v>
      </c>
      <c r="F538">
        <v>10</v>
      </c>
      <c r="G538" t="s">
        <v>1035</v>
      </c>
      <c r="H538" t="s">
        <v>1035</v>
      </c>
      <c r="I538" t="s">
        <v>1028</v>
      </c>
      <c r="J538" t="s">
        <v>1035</v>
      </c>
      <c r="K538">
        <v>537</v>
      </c>
      <c r="L538" t="str">
        <f t="shared" si="16"/>
        <v>Payne Durham</v>
      </c>
      <c r="M538" s="69">
        <f>IFERROR(VLOOKUP(E538,RISK!A:B,2,FALSE()),"")</f>
        <v>2.2010999999999985</v>
      </c>
      <c r="N538" s="43" t="e">
        <f t="shared" si="17"/>
        <v>#N/A</v>
      </c>
    </row>
    <row r="539" spans="1:14" ht="14.25" customHeight="1" x14ac:dyDescent="0.3">
      <c r="A539">
        <v>538</v>
      </c>
      <c r="B539">
        <v>12</v>
      </c>
      <c r="C539" t="s">
        <v>1503</v>
      </c>
      <c r="D539" t="s">
        <v>519</v>
      </c>
      <c r="E539" t="s">
        <v>1314</v>
      </c>
      <c r="F539">
        <v>8</v>
      </c>
      <c r="G539" t="s">
        <v>1035</v>
      </c>
      <c r="H539" t="s">
        <v>1035</v>
      </c>
      <c r="I539" t="s">
        <v>1032</v>
      </c>
      <c r="J539" t="s">
        <v>1035</v>
      </c>
      <c r="K539">
        <v>538</v>
      </c>
      <c r="L539" t="str">
        <f t="shared" si="16"/>
        <v>Jared Wayne</v>
      </c>
      <c r="M539" s="69">
        <f>IFERROR(VLOOKUP(E539,RISK!A:B,2,FALSE()),"")</f>
        <v>3.848101265822784</v>
      </c>
      <c r="N539" s="43" t="e">
        <f t="shared" si="17"/>
        <v>#N/A</v>
      </c>
    </row>
    <row r="540" spans="1:14" ht="14.25" customHeight="1" x14ac:dyDescent="0.3">
      <c r="A540">
        <v>539</v>
      </c>
      <c r="B540">
        <v>12</v>
      </c>
      <c r="C540" t="s">
        <v>1007</v>
      </c>
      <c r="D540" t="s">
        <v>531</v>
      </c>
      <c r="E540" t="s">
        <v>1403</v>
      </c>
      <c r="F540">
        <v>13</v>
      </c>
      <c r="G540" t="s">
        <v>1035</v>
      </c>
      <c r="H540" t="s">
        <v>1035</v>
      </c>
      <c r="I540" t="s">
        <v>1032</v>
      </c>
      <c r="J540" t="s">
        <v>1035</v>
      </c>
      <c r="K540">
        <v>539</v>
      </c>
      <c r="L540" t="str">
        <f t="shared" si="16"/>
        <v>Ian Thomas</v>
      </c>
      <c r="M540" s="69">
        <f>IFERROR(VLOOKUP(E540,RISK!A:B,2,FALSE()),"")</f>
        <v>2.2010999999999985</v>
      </c>
      <c r="N540" s="43" t="e">
        <f t="shared" si="17"/>
        <v>#N/A</v>
      </c>
    </row>
    <row r="541" spans="1:14" ht="14.25" customHeight="1" x14ac:dyDescent="0.3">
      <c r="A541">
        <v>540</v>
      </c>
      <c r="B541">
        <v>12</v>
      </c>
      <c r="C541" t="s">
        <v>1480</v>
      </c>
      <c r="D541" t="s">
        <v>497</v>
      </c>
      <c r="E541" t="s">
        <v>1318</v>
      </c>
      <c r="F541">
        <v>7</v>
      </c>
      <c r="G541" t="s">
        <v>1035</v>
      </c>
      <c r="H541" t="s">
        <v>1035</v>
      </c>
      <c r="I541" t="s">
        <v>1028</v>
      </c>
      <c r="J541" t="s">
        <v>1035</v>
      </c>
      <c r="K541">
        <v>540</v>
      </c>
      <c r="L541" t="str">
        <f t="shared" si="16"/>
        <v>Theo Wease Jr.</v>
      </c>
      <c r="M541" s="69">
        <f>IFERROR(VLOOKUP(E541,RISK!A:B,2,FALSE()),"")</f>
        <v>3.848101265822784</v>
      </c>
      <c r="N541" s="43" t="e">
        <f t="shared" si="17"/>
        <v>#N/A</v>
      </c>
    </row>
    <row r="542" spans="1:14" ht="14.25" customHeight="1" x14ac:dyDescent="0.3">
      <c r="A542">
        <v>541</v>
      </c>
      <c r="B542">
        <v>12</v>
      </c>
      <c r="C542" t="s">
        <v>663</v>
      </c>
      <c r="D542" t="s">
        <v>471</v>
      </c>
      <c r="E542" t="s">
        <v>1332</v>
      </c>
      <c r="F542">
        <v>7</v>
      </c>
      <c r="G542" t="s">
        <v>1035</v>
      </c>
      <c r="H542" t="s">
        <v>1035</v>
      </c>
      <c r="I542" t="s">
        <v>1028</v>
      </c>
      <c r="J542" t="s">
        <v>1035</v>
      </c>
      <c r="K542">
        <v>541</v>
      </c>
      <c r="L542" t="str">
        <f t="shared" si="16"/>
        <v>Frank Gore Jr.</v>
      </c>
      <c r="M542" s="69">
        <f>IFERROR(VLOOKUP(E542,RISK!A:B,2,FALSE()),"")</f>
        <v>4</v>
      </c>
      <c r="N542" s="43" t="e">
        <f t="shared" si="17"/>
        <v>#N/A</v>
      </c>
    </row>
    <row r="543" spans="1:14" ht="14.25" customHeight="1" x14ac:dyDescent="0.3">
      <c r="A543">
        <v>542</v>
      </c>
      <c r="B543">
        <v>12</v>
      </c>
      <c r="C543" t="s">
        <v>862</v>
      </c>
      <c r="D543" t="s">
        <v>515</v>
      </c>
      <c r="E543" t="s">
        <v>1319</v>
      </c>
      <c r="F543">
        <v>11</v>
      </c>
      <c r="G543" t="s">
        <v>1035</v>
      </c>
      <c r="H543" t="s">
        <v>1035</v>
      </c>
      <c r="I543" t="s">
        <v>1027</v>
      </c>
      <c r="J543" t="s">
        <v>1035</v>
      </c>
      <c r="K543">
        <v>542</v>
      </c>
      <c r="L543" t="str">
        <f t="shared" si="16"/>
        <v>Bo Melton</v>
      </c>
      <c r="M543" s="69">
        <f>IFERROR(VLOOKUP(E543,RISK!A:B,2,FALSE()),"")</f>
        <v>3.848101265822784</v>
      </c>
      <c r="N543" s="43" t="e">
        <f t="shared" si="17"/>
        <v>#N/A</v>
      </c>
    </row>
    <row r="544" spans="1:14" ht="14.25" customHeight="1" x14ac:dyDescent="0.3">
      <c r="A544">
        <v>543</v>
      </c>
      <c r="B544">
        <v>12</v>
      </c>
      <c r="C544" t="s">
        <v>1510</v>
      </c>
      <c r="D544" t="s">
        <v>505</v>
      </c>
      <c r="E544" t="s">
        <v>1405</v>
      </c>
      <c r="F544">
        <v>8</v>
      </c>
      <c r="G544" t="s">
        <v>1035</v>
      </c>
      <c r="H544" t="s">
        <v>1035</v>
      </c>
      <c r="I544" t="s">
        <v>1028</v>
      </c>
      <c r="J544" t="s">
        <v>1035</v>
      </c>
      <c r="K544">
        <v>543</v>
      </c>
      <c r="L544" t="str">
        <f t="shared" si="16"/>
        <v>Moliki Matavao</v>
      </c>
      <c r="M544" s="69">
        <f>IFERROR(VLOOKUP(E544,RISK!A:B,2,FALSE()),"")</f>
        <v>2.2010999999999985</v>
      </c>
      <c r="N544" s="43" t="e">
        <f t="shared" si="17"/>
        <v>#N/A</v>
      </c>
    </row>
    <row r="545" spans="1:14" ht="14.25" customHeight="1" x14ac:dyDescent="0.3">
      <c r="A545">
        <v>544</v>
      </c>
      <c r="B545">
        <v>12</v>
      </c>
      <c r="C545" t="s">
        <v>974</v>
      </c>
      <c r="D545" t="s">
        <v>511</v>
      </c>
      <c r="E545" t="s">
        <v>1406</v>
      </c>
      <c r="F545">
        <v>13</v>
      </c>
      <c r="G545" t="s">
        <v>1035</v>
      </c>
      <c r="H545" t="s">
        <v>1035</v>
      </c>
      <c r="I545" t="s">
        <v>1032</v>
      </c>
      <c r="J545" t="s">
        <v>1035</v>
      </c>
      <c r="K545">
        <v>544</v>
      </c>
      <c r="L545" t="str">
        <f t="shared" si="16"/>
        <v>Will Mallory</v>
      </c>
      <c r="M545" s="69">
        <f>IFERROR(VLOOKUP(E545,RISK!A:B,2,FALSE()),"")</f>
        <v>2.2010999999999985</v>
      </c>
      <c r="N545" s="43" t="e">
        <f t="shared" si="17"/>
        <v>#N/A</v>
      </c>
    </row>
    <row r="546" spans="1:14" ht="14.25" customHeight="1" x14ac:dyDescent="0.3">
      <c r="A546">
        <v>545</v>
      </c>
      <c r="B546">
        <v>12</v>
      </c>
      <c r="C546" t="s">
        <v>857</v>
      </c>
      <c r="D546" t="s">
        <v>497</v>
      </c>
      <c r="E546" t="s">
        <v>1320</v>
      </c>
      <c r="F546">
        <v>7</v>
      </c>
      <c r="G546" t="s">
        <v>1035</v>
      </c>
      <c r="H546" t="s">
        <v>1035</v>
      </c>
      <c r="I546" t="s">
        <v>1028</v>
      </c>
      <c r="J546" t="s">
        <v>1035</v>
      </c>
      <c r="K546">
        <v>545</v>
      </c>
      <c r="L546" t="str">
        <f t="shared" si="16"/>
        <v>KeAndre Lambert-Smith</v>
      </c>
      <c r="M546" s="69">
        <f>IFERROR(VLOOKUP(E546,RISK!A:B,2,FALSE()),"")</f>
        <v>3.848101265822784</v>
      </c>
      <c r="N546" s="43" t="e">
        <f t="shared" si="17"/>
        <v>#N/A</v>
      </c>
    </row>
    <row r="547" spans="1:14" ht="14.25" customHeight="1" x14ac:dyDescent="0.3">
      <c r="A547">
        <v>546</v>
      </c>
      <c r="B547">
        <v>13</v>
      </c>
      <c r="C547" t="s">
        <v>992</v>
      </c>
      <c r="D547" t="s">
        <v>527</v>
      </c>
      <c r="E547" t="s">
        <v>1407</v>
      </c>
      <c r="F547">
        <v>14</v>
      </c>
      <c r="G547" t="s">
        <v>1035</v>
      </c>
      <c r="H547" t="s">
        <v>1035</v>
      </c>
      <c r="I547" t="s">
        <v>1028</v>
      </c>
      <c r="J547" t="s">
        <v>1035</v>
      </c>
      <c r="K547">
        <v>546</v>
      </c>
      <c r="L547" t="str">
        <f t="shared" si="16"/>
        <v>Hunter Long</v>
      </c>
      <c r="M547" s="69">
        <f>IFERROR(VLOOKUP(E547,RISK!A:B,2,FALSE()),"")</f>
        <v>2.2010999999999985</v>
      </c>
      <c r="N547" s="43" t="e">
        <f t="shared" si="17"/>
        <v>#N/A</v>
      </c>
    </row>
    <row r="548" spans="1:14" ht="14.25" customHeight="1" x14ac:dyDescent="0.3">
      <c r="A548">
        <v>547</v>
      </c>
      <c r="B548">
        <v>13</v>
      </c>
      <c r="C548" t="s">
        <v>867</v>
      </c>
      <c r="D548" t="s">
        <v>519</v>
      </c>
      <c r="E548" t="s">
        <v>1321</v>
      </c>
      <c r="F548">
        <v>8</v>
      </c>
      <c r="G548" t="s">
        <v>1035</v>
      </c>
      <c r="H548" t="s">
        <v>1035</v>
      </c>
      <c r="I548" t="s">
        <v>1032</v>
      </c>
      <c r="J548" t="s">
        <v>1035</v>
      </c>
      <c r="K548">
        <v>547</v>
      </c>
      <c r="L548" t="str">
        <f t="shared" si="16"/>
        <v>Mitch Tinsley</v>
      </c>
      <c r="M548" s="69">
        <f>IFERROR(VLOOKUP(E548,RISK!A:B,2,FALSE()),"")</f>
        <v>3.848101265822784</v>
      </c>
      <c r="N548" s="43" t="e">
        <f t="shared" si="17"/>
        <v>#N/A</v>
      </c>
    </row>
    <row r="549" spans="1:14" ht="14.25" customHeight="1" x14ac:dyDescent="0.3">
      <c r="A549">
        <v>548</v>
      </c>
      <c r="B549">
        <v>13</v>
      </c>
      <c r="C549" t="s">
        <v>1011</v>
      </c>
      <c r="D549" t="s">
        <v>535</v>
      </c>
      <c r="E549" t="s">
        <v>1408</v>
      </c>
      <c r="F549">
        <v>11</v>
      </c>
      <c r="G549" t="s">
        <v>1035</v>
      </c>
      <c r="H549" t="s">
        <v>1035</v>
      </c>
      <c r="I549" t="s">
        <v>1032</v>
      </c>
      <c r="J549" t="s">
        <v>1035</v>
      </c>
      <c r="K549">
        <v>548</v>
      </c>
      <c r="L549" t="str">
        <f t="shared" si="16"/>
        <v>Blake Whiteheart</v>
      </c>
      <c r="M549" s="69">
        <f>IFERROR(VLOOKUP(E549,RISK!A:B,2,FALSE()),"")</f>
        <v>2.2010999999999985</v>
      </c>
      <c r="N549" s="43" t="e">
        <f t="shared" si="17"/>
        <v>#N/A</v>
      </c>
    </row>
    <row r="550" spans="1:14" ht="14.25" customHeight="1" x14ac:dyDescent="0.3">
      <c r="A550">
        <v>549</v>
      </c>
      <c r="B550">
        <v>13</v>
      </c>
      <c r="C550" t="s">
        <v>1506</v>
      </c>
      <c r="D550" t="s">
        <v>521</v>
      </c>
      <c r="E550" t="s">
        <v>1322</v>
      </c>
      <c r="F550">
        <v>5</v>
      </c>
      <c r="G550" t="s">
        <v>1035</v>
      </c>
      <c r="H550" t="s">
        <v>1035</v>
      </c>
      <c r="I550" t="s">
        <v>1028</v>
      </c>
      <c r="J550">
        <v>-245</v>
      </c>
      <c r="K550">
        <v>549</v>
      </c>
      <c r="L550" t="str">
        <f t="shared" si="16"/>
        <v>Casey Washington</v>
      </c>
      <c r="M550" s="69">
        <f>IFERROR(VLOOKUP(E550,RISK!A:B,2,FALSE()),"")</f>
        <v>3.848101265822784</v>
      </c>
      <c r="N550" s="43" t="e">
        <f t="shared" si="17"/>
        <v>#N/A</v>
      </c>
    </row>
    <row r="551" spans="1:14" ht="14.25" customHeight="1" x14ac:dyDescent="0.3">
      <c r="A551">
        <v>550</v>
      </c>
      <c r="B551">
        <v>13</v>
      </c>
      <c r="C551" t="s">
        <v>872</v>
      </c>
      <c r="D551" t="s">
        <v>481</v>
      </c>
      <c r="E551" t="s">
        <v>1326</v>
      </c>
      <c r="F551">
        <v>10</v>
      </c>
      <c r="G551" t="s">
        <v>1035</v>
      </c>
      <c r="H551" t="s">
        <v>1035</v>
      </c>
      <c r="I551" t="s">
        <v>1029</v>
      </c>
      <c r="J551" t="s">
        <v>1035</v>
      </c>
      <c r="K551">
        <v>550</v>
      </c>
      <c r="L551" t="str">
        <f t="shared" si="16"/>
        <v>Darius Cooper</v>
      </c>
      <c r="M551" s="69">
        <f>IFERROR(VLOOKUP(E551,RISK!A:B,2,FALSE()),"")</f>
        <v>3.848101265822784</v>
      </c>
      <c r="N551" s="43" t="e">
        <f t="shared" si="17"/>
        <v>#N/A</v>
      </c>
    </row>
    <row r="552" spans="1:14" ht="14.25" customHeight="1" x14ac:dyDescent="0.3">
      <c r="A552">
        <v>551</v>
      </c>
      <c r="B552">
        <v>13</v>
      </c>
      <c r="C552" t="s">
        <v>875</v>
      </c>
      <c r="D552" t="s">
        <v>521</v>
      </c>
      <c r="E552" t="s">
        <v>1328</v>
      </c>
      <c r="F552">
        <v>5</v>
      </c>
      <c r="G552" t="s">
        <v>1035</v>
      </c>
      <c r="H552" t="s">
        <v>1035</v>
      </c>
      <c r="I552" t="s">
        <v>1028</v>
      </c>
      <c r="J552" t="s">
        <v>1035</v>
      </c>
      <c r="K552">
        <v>551</v>
      </c>
      <c r="L552" t="str">
        <f t="shared" si="16"/>
        <v>Brycen Tremayne</v>
      </c>
      <c r="M552" s="69">
        <f>IFERROR(VLOOKUP(E552,RISK!A:B,2,FALSE()),"")</f>
        <v>3.848101265822784</v>
      </c>
      <c r="N552" s="43" t="e">
        <f t="shared" si="17"/>
        <v>#N/A</v>
      </c>
    </row>
    <row r="553" spans="1:14" ht="14.25" customHeight="1" x14ac:dyDescent="0.3">
      <c r="A553">
        <v>552</v>
      </c>
      <c r="B553">
        <v>13</v>
      </c>
      <c r="C553" t="s">
        <v>1542</v>
      </c>
      <c r="D553" t="s">
        <v>525</v>
      </c>
      <c r="E553" t="s">
        <v>1409</v>
      </c>
      <c r="F553">
        <v>9</v>
      </c>
      <c r="G553" t="s">
        <v>1035</v>
      </c>
      <c r="H553" t="s">
        <v>1035</v>
      </c>
      <c r="I553" t="s">
        <v>1032</v>
      </c>
      <c r="J553" t="s">
        <v>1035</v>
      </c>
      <c r="K553">
        <v>552</v>
      </c>
      <c r="L553" t="str">
        <f t="shared" si="16"/>
        <v>Kylen Granson</v>
      </c>
      <c r="M553" s="69">
        <f>IFERROR(VLOOKUP(E553,RISK!A:B,2,FALSE()),"")</f>
        <v>2.2010999999999985</v>
      </c>
      <c r="N553" s="43" t="e">
        <f t="shared" si="17"/>
        <v>#N/A</v>
      </c>
    </row>
    <row r="554" spans="1:14" ht="14.25" customHeight="1" x14ac:dyDescent="0.3">
      <c r="A554">
        <v>553</v>
      </c>
      <c r="B554">
        <v>13</v>
      </c>
      <c r="C554" t="s">
        <v>573</v>
      </c>
      <c r="D554" t="s">
        <v>517</v>
      </c>
      <c r="E554" t="s">
        <v>1262</v>
      </c>
      <c r="F554">
        <v>11</v>
      </c>
      <c r="G554" t="s">
        <v>1035</v>
      </c>
      <c r="H554" t="s">
        <v>1035</v>
      </c>
      <c r="I554" t="s">
        <v>1029</v>
      </c>
      <c r="J554" t="s">
        <v>1035</v>
      </c>
      <c r="K554">
        <v>553</v>
      </c>
      <c r="L554" t="str">
        <f t="shared" si="16"/>
        <v>Jalen Milroe</v>
      </c>
      <c r="M554" s="69">
        <f>IFERROR(VLOOKUP(E554,RISK!A:B,2,FALSE()),"")</f>
        <v>3.2</v>
      </c>
      <c r="N554" s="43" t="e">
        <f t="shared" si="17"/>
        <v>#N/A</v>
      </c>
    </row>
    <row r="555" spans="1:14" ht="14.25" customHeight="1" x14ac:dyDescent="0.3">
      <c r="A555">
        <v>554</v>
      </c>
      <c r="B555">
        <v>13</v>
      </c>
      <c r="C555" t="s">
        <v>1335</v>
      </c>
      <c r="D555" t="s">
        <v>529</v>
      </c>
      <c r="E555" t="s">
        <v>1333</v>
      </c>
      <c r="F555">
        <v>9</v>
      </c>
      <c r="G555" t="s">
        <v>1035</v>
      </c>
      <c r="H555" t="s">
        <v>1035</v>
      </c>
      <c r="I555" t="s">
        <v>1028</v>
      </c>
      <c r="J555" t="s">
        <v>1035</v>
      </c>
      <c r="K555">
        <v>554</v>
      </c>
      <c r="L555" t="str">
        <f t="shared" si="16"/>
        <v>Lew Nichols III</v>
      </c>
      <c r="M555" s="69">
        <f>IFERROR(VLOOKUP(E555,RISK!A:B,2,FALSE()),"")</f>
        <v>4</v>
      </c>
      <c r="N555" s="43" t="e">
        <f t="shared" si="17"/>
        <v>#N/A</v>
      </c>
    </row>
    <row r="556" spans="1:14" ht="14.25" customHeight="1" x14ac:dyDescent="0.3">
      <c r="A556">
        <v>555</v>
      </c>
      <c r="B556">
        <v>13</v>
      </c>
      <c r="C556" t="s">
        <v>551</v>
      </c>
      <c r="D556" t="s">
        <v>519</v>
      </c>
      <c r="E556" t="s">
        <v>1265</v>
      </c>
      <c r="F556">
        <v>8</v>
      </c>
      <c r="G556" t="s">
        <v>1035</v>
      </c>
      <c r="H556" t="s">
        <v>1035</v>
      </c>
      <c r="I556" t="s">
        <v>1029</v>
      </c>
      <c r="J556" t="s">
        <v>1035</v>
      </c>
      <c r="K556">
        <v>555</v>
      </c>
      <c r="L556" t="str">
        <f t="shared" si="16"/>
        <v>Davis Mills</v>
      </c>
      <c r="M556" s="69">
        <f>IFERROR(VLOOKUP(E556,RISK!A:B,2,FALSE()),"")</f>
        <v>3.2</v>
      </c>
      <c r="N556" s="43" t="e">
        <f t="shared" si="17"/>
        <v>#N/A</v>
      </c>
    </row>
    <row r="557" spans="1:14" ht="14.25" customHeight="1" x14ac:dyDescent="0.3">
      <c r="A557">
        <v>556</v>
      </c>
      <c r="B557">
        <v>13</v>
      </c>
      <c r="C557" t="s">
        <v>889</v>
      </c>
      <c r="D557" t="s">
        <v>487</v>
      </c>
      <c r="E557" t="s">
        <v>1339</v>
      </c>
      <c r="F557">
        <v>8</v>
      </c>
      <c r="G557" t="s">
        <v>1035</v>
      </c>
      <c r="H557" t="s">
        <v>1035</v>
      </c>
      <c r="I557" t="s">
        <v>1028</v>
      </c>
      <c r="J557" t="s">
        <v>1035</v>
      </c>
      <c r="K557">
        <v>556</v>
      </c>
      <c r="L557" t="str">
        <f t="shared" si="16"/>
        <v>Jacob Cowing</v>
      </c>
      <c r="M557" s="69">
        <f>IFERROR(VLOOKUP(E557,RISK!A:B,2,FALSE()),"")</f>
        <v>3.848101265822784</v>
      </c>
      <c r="N557" s="43" t="e">
        <f t="shared" si="17"/>
        <v>#N/A</v>
      </c>
    </row>
    <row r="558" spans="1:14" ht="14.25" customHeight="1" x14ac:dyDescent="0.3">
      <c r="A558">
        <v>557</v>
      </c>
      <c r="B558">
        <v>13</v>
      </c>
      <c r="C558" t="s">
        <v>1282</v>
      </c>
      <c r="D558" t="s">
        <v>495</v>
      </c>
      <c r="E558" t="s">
        <v>1340</v>
      </c>
      <c r="F558">
        <v>10</v>
      </c>
      <c r="G558" t="s">
        <v>1035</v>
      </c>
      <c r="H558" t="s">
        <v>1035</v>
      </c>
      <c r="I558" t="s">
        <v>1032</v>
      </c>
      <c r="J558" t="s">
        <v>1035</v>
      </c>
      <c r="K558">
        <v>557</v>
      </c>
      <c r="L558" t="str">
        <f t="shared" si="16"/>
        <v>Scotty Miller</v>
      </c>
      <c r="M558" s="69">
        <f>IFERROR(VLOOKUP(E558,RISK!A:B,2,FALSE()),"")</f>
        <v>3.848101265822784</v>
      </c>
      <c r="N558" s="43" t="e">
        <f t="shared" si="17"/>
        <v>#N/A</v>
      </c>
    </row>
    <row r="559" spans="1:14" ht="14.25" customHeight="1" x14ac:dyDescent="0.3">
      <c r="A559">
        <v>558</v>
      </c>
      <c r="B559">
        <v>13</v>
      </c>
      <c r="C559" t="s">
        <v>1504</v>
      </c>
      <c r="D559" t="s">
        <v>529</v>
      </c>
      <c r="E559" t="s">
        <v>1334</v>
      </c>
      <c r="F559">
        <v>9</v>
      </c>
      <c r="G559" t="s">
        <v>1035</v>
      </c>
      <c r="H559" t="s">
        <v>1035</v>
      </c>
      <c r="I559" t="s">
        <v>1028</v>
      </c>
      <c r="J559" t="s">
        <v>1035</v>
      </c>
      <c r="K559">
        <v>558</v>
      </c>
      <c r="L559" t="str">
        <f t="shared" si="16"/>
        <v>Travis Homer</v>
      </c>
      <c r="M559" s="69">
        <f>IFERROR(VLOOKUP(E559,RISK!A:B,2,FALSE()),"")</f>
        <v>4</v>
      </c>
      <c r="N559" s="43" t="e">
        <f t="shared" si="17"/>
        <v>#N/A</v>
      </c>
    </row>
    <row r="560" spans="1:14" ht="14.25" customHeight="1" x14ac:dyDescent="0.3">
      <c r="A560">
        <v>559</v>
      </c>
      <c r="B560">
        <v>13</v>
      </c>
      <c r="C560" t="s">
        <v>1833</v>
      </c>
      <c r="D560" t="s">
        <v>1124</v>
      </c>
      <c r="E560" t="s">
        <v>1346</v>
      </c>
      <c r="F560" t="s">
        <v>1035</v>
      </c>
      <c r="G560" t="s">
        <v>1035</v>
      </c>
      <c r="H560" t="s">
        <v>1035</v>
      </c>
      <c r="I560" t="s">
        <v>1035</v>
      </c>
      <c r="J560" t="s">
        <v>1035</v>
      </c>
      <c r="K560">
        <v>559</v>
      </c>
      <c r="L560" t="str">
        <f t="shared" si="16"/>
        <v>JuJu Smith-Schuster</v>
      </c>
      <c r="M560" s="69">
        <f>IFERROR(VLOOKUP(E560,RISK!A:B,2,FALSE()),"")</f>
        <v>3.848101265822784</v>
      </c>
      <c r="N560" s="43" t="e">
        <f t="shared" si="17"/>
        <v>#N/A</v>
      </c>
    </row>
    <row r="561" spans="1:14" ht="14.25" customHeight="1" x14ac:dyDescent="0.3">
      <c r="A561">
        <v>560</v>
      </c>
      <c r="B561">
        <v>13</v>
      </c>
      <c r="C561" t="s">
        <v>878</v>
      </c>
      <c r="D561" t="s">
        <v>1124</v>
      </c>
      <c r="E561" t="s">
        <v>1352</v>
      </c>
      <c r="F561" t="s">
        <v>1035</v>
      </c>
      <c r="G561" t="s">
        <v>1035</v>
      </c>
      <c r="H561" t="s">
        <v>1035</v>
      </c>
      <c r="I561" t="s">
        <v>1035</v>
      </c>
      <c r="J561">
        <v>-218</v>
      </c>
      <c r="K561">
        <v>560</v>
      </c>
      <c r="L561" t="str">
        <f t="shared" si="16"/>
        <v>Jalen Reagor</v>
      </c>
      <c r="M561" s="69">
        <f>IFERROR(VLOOKUP(E561,RISK!A:B,2,FALSE()),"")</f>
        <v>3.848101265822784</v>
      </c>
      <c r="N561" s="43" t="e">
        <f t="shared" si="17"/>
        <v>#N/A</v>
      </c>
    </row>
    <row r="562" spans="1:14" ht="14.25" customHeight="1" x14ac:dyDescent="0.3">
      <c r="A562">
        <v>561</v>
      </c>
      <c r="B562">
        <v>13</v>
      </c>
      <c r="C562" t="s">
        <v>882</v>
      </c>
      <c r="D562" t="s">
        <v>521</v>
      </c>
      <c r="E562" t="s">
        <v>1359</v>
      </c>
      <c r="F562">
        <v>5</v>
      </c>
      <c r="G562" t="s">
        <v>1035</v>
      </c>
      <c r="H562" t="s">
        <v>1035</v>
      </c>
      <c r="I562" t="s">
        <v>1028</v>
      </c>
      <c r="J562" t="s">
        <v>1035</v>
      </c>
      <c r="K562">
        <v>561</v>
      </c>
      <c r="L562" t="str">
        <f t="shared" si="16"/>
        <v>David Moore</v>
      </c>
      <c r="M562" s="69">
        <f>IFERROR(VLOOKUP(E562,RISK!A:B,2,FALSE()),"")</f>
        <v>3.848101265822784</v>
      </c>
      <c r="N562" s="43" t="e">
        <f t="shared" si="17"/>
        <v>#N/A</v>
      </c>
    </row>
    <row r="563" spans="1:14" ht="14.25" customHeight="1" x14ac:dyDescent="0.3">
      <c r="A563">
        <v>562</v>
      </c>
      <c r="B563">
        <v>13</v>
      </c>
      <c r="C563" t="s">
        <v>1421</v>
      </c>
      <c r="D563" t="s">
        <v>503</v>
      </c>
      <c r="E563" t="s">
        <v>1360</v>
      </c>
      <c r="F563">
        <v>6</v>
      </c>
      <c r="G563" t="s">
        <v>1035</v>
      </c>
      <c r="H563" t="s">
        <v>1035</v>
      </c>
      <c r="I563" t="s">
        <v>1029</v>
      </c>
      <c r="J563" t="s">
        <v>1035</v>
      </c>
      <c r="K563">
        <v>562</v>
      </c>
      <c r="L563" t="str">
        <f t="shared" si="16"/>
        <v>Kendrick Law</v>
      </c>
      <c r="M563" s="69">
        <f>IFERROR(VLOOKUP(E563,RISK!A:B,2,FALSE()),"")</f>
        <v>3.848101265822784</v>
      </c>
      <c r="N563" s="43" t="e">
        <f t="shared" si="17"/>
        <v>#N/A</v>
      </c>
    </row>
    <row r="564" spans="1:14" ht="14.25" customHeight="1" x14ac:dyDescent="0.3">
      <c r="A564">
        <v>563</v>
      </c>
      <c r="B564">
        <v>13</v>
      </c>
      <c r="C564" t="s">
        <v>557</v>
      </c>
      <c r="D564" t="s">
        <v>497</v>
      </c>
      <c r="E564" t="s">
        <v>1304</v>
      </c>
      <c r="F564">
        <v>7</v>
      </c>
      <c r="G564" t="s">
        <v>1035</v>
      </c>
      <c r="H564" t="s">
        <v>1035</v>
      </c>
      <c r="I564" t="s">
        <v>1028</v>
      </c>
      <c r="J564" t="s">
        <v>1035</v>
      </c>
      <c r="K564">
        <v>563</v>
      </c>
      <c r="L564" t="str">
        <f t="shared" si="16"/>
        <v>Trey Lance</v>
      </c>
      <c r="M564" s="69">
        <f>IFERROR(VLOOKUP(E564,RISK!A:B,2,FALSE()),"")</f>
        <v>3.2</v>
      </c>
      <c r="N564" s="43" t="e">
        <f t="shared" si="17"/>
        <v>#N/A</v>
      </c>
    </row>
    <row r="565" spans="1:14" ht="14.25" customHeight="1" x14ac:dyDescent="0.3">
      <c r="A565">
        <v>564</v>
      </c>
      <c r="B565">
        <v>13</v>
      </c>
      <c r="C565" t="s">
        <v>547</v>
      </c>
      <c r="D565" t="s">
        <v>495</v>
      </c>
      <c r="E565" t="s">
        <v>1307</v>
      </c>
      <c r="F565">
        <v>10</v>
      </c>
      <c r="G565" t="s">
        <v>1035</v>
      </c>
      <c r="H565" t="s">
        <v>1035</v>
      </c>
      <c r="I565" t="s">
        <v>1032</v>
      </c>
      <c r="J565" t="s">
        <v>1035</v>
      </c>
      <c r="K565">
        <v>564</v>
      </c>
      <c r="L565" t="str">
        <f t="shared" si="16"/>
        <v>Tyson Bagent</v>
      </c>
      <c r="M565" s="69">
        <f>IFERROR(VLOOKUP(E565,RISK!A:B,2,FALSE()),"")</f>
        <v>3.2</v>
      </c>
      <c r="N565" s="43" t="e">
        <f t="shared" si="17"/>
        <v>#N/A</v>
      </c>
    </row>
    <row r="566" spans="1:14" ht="14.25" customHeight="1" x14ac:dyDescent="0.3">
      <c r="A566">
        <v>565</v>
      </c>
      <c r="B566">
        <v>13</v>
      </c>
      <c r="C566" t="s">
        <v>570</v>
      </c>
      <c r="D566" t="s">
        <v>529</v>
      </c>
      <c r="E566" t="s">
        <v>1323</v>
      </c>
      <c r="F566">
        <v>9</v>
      </c>
      <c r="G566" t="s">
        <v>1035</v>
      </c>
      <c r="H566" t="s">
        <v>1035</v>
      </c>
      <c r="I566" t="s">
        <v>1028</v>
      </c>
      <c r="J566" t="s">
        <v>1035</v>
      </c>
      <c r="K566">
        <v>565</v>
      </c>
      <c r="L566" t="str">
        <f t="shared" si="16"/>
        <v>Drew Allar</v>
      </c>
      <c r="M566" s="69">
        <f>IFERROR(VLOOKUP(E566,RISK!A:B,2,FALSE()),"")</f>
        <v>3.2</v>
      </c>
      <c r="N566" s="43" t="e">
        <f t="shared" si="17"/>
        <v>#N/A</v>
      </c>
    </row>
    <row r="567" spans="1:14" ht="14.25" customHeight="1" x14ac:dyDescent="0.3">
      <c r="A567">
        <v>566</v>
      </c>
      <c r="B567">
        <v>13</v>
      </c>
      <c r="C567" t="s">
        <v>864</v>
      </c>
      <c r="D567" t="s">
        <v>471</v>
      </c>
      <c r="E567" t="s">
        <v>1362</v>
      </c>
      <c r="F567">
        <v>7</v>
      </c>
      <c r="G567" t="s">
        <v>1035</v>
      </c>
      <c r="H567" t="s">
        <v>1035</v>
      </c>
      <c r="I567" t="s">
        <v>1029</v>
      </c>
      <c r="J567" t="s">
        <v>1035</v>
      </c>
      <c r="K567">
        <v>566</v>
      </c>
      <c r="L567" t="str">
        <f t="shared" si="16"/>
        <v>Tyrell Shavers</v>
      </c>
      <c r="M567" s="69">
        <f>IFERROR(VLOOKUP(E567,RISK!A:B,2,FALSE()),"")</f>
        <v>3.848101265822784</v>
      </c>
      <c r="N567" s="43" t="e">
        <f t="shared" si="17"/>
        <v>#N/A</v>
      </c>
    </row>
    <row r="568" spans="1:14" ht="14.25" customHeight="1" x14ac:dyDescent="0.3">
      <c r="A568">
        <v>567</v>
      </c>
      <c r="B568">
        <v>13</v>
      </c>
      <c r="C568" t="s">
        <v>695</v>
      </c>
      <c r="D568" t="s">
        <v>529</v>
      </c>
      <c r="E568" t="s">
        <v>1410</v>
      </c>
      <c r="F568">
        <v>9</v>
      </c>
      <c r="G568" t="s">
        <v>1035</v>
      </c>
      <c r="H568" t="s">
        <v>1035</v>
      </c>
      <c r="I568" t="s">
        <v>1028</v>
      </c>
      <c r="J568" t="s">
        <v>1035</v>
      </c>
      <c r="K568">
        <v>567</v>
      </c>
      <c r="L568" t="str">
        <f t="shared" si="16"/>
        <v>Riley Nowakowski</v>
      </c>
      <c r="M568" s="69">
        <f>IFERROR(VLOOKUP(E568,RISK!A:B,2,FALSE()),"")</f>
        <v>2.2010999999999985</v>
      </c>
      <c r="N568" s="43" t="e">
        <f t="shared" si="17"/>
        <v>#N/A</v>
      </c>
    </row>
    <row r="569" spans="1:14" ht="14.25" customHeight="1" x14ac:dyDescent="0.3">
      <c r="A569">
        <v>568</v>
      </c>
      <c r="B569">
        <v>13</v>
      </c>
      <c r="C569" t="s">
        <v>1539</v>
      </c>
      <c r="D569" t="s">
        <v>493</v>
      </c>
      <c r="E569" t="s">
        <v>1411</v>
      </c>
      <c r="F569">
        <v>5</v>
      </c>
      <c r="G569" t="s">
        <v>1035</v>
      </c>
      <c r="H569" t="s">
        <v>1035</v>
      </c>
      <c r="I569" t="s">
        <v>1029</v>
      </c>
      <c r="J569" t="s">
        <v>1035</v>
      </c>
      <c r="K569">
        <v>568</v>
      </c>
      <c r="L569" t="str">
        <f t="shared" si="16"/>
        <v>Jake Briningstool</v>
      </c>
      <c r="M569" s="69">
        <f>IFERROR(VLOOKUP(E569,RISK!A:B,2,FALSE()),"")</f>
        <v>2.2010999999999985</v>
      </c>
      <c r="N569" s="43" t="e">
        <f t="shared" si="17"/>
        <v>#N/A</v>
      </c>
    </row>
    <row r="570" spans="1:14" ht="14.25" customHeight="1" x14ac:dyDescent="0.3">
      <c r="A570">
        <v>569</v>
      </c>
      <c r="B570">
        <v>13</v>
      </c>
      <c r="C570" t="s">
        <v>1529</v>
      </c>
      <c r="D570" t="s">
        <v>519</v>
      </c>
      <c r="E570" t="s">
        <v>1412</v>
      </c>
      <c r="F570">
        <v>8</v>
      </c>
      <c r="G570" t="s">
        <v>1035</v>
      </c>
      <c r="H570" t="s">
        <v>1035</v>
      </c>
      <c r="I570" t="s">
        <v>1029</v>
      </c>
      <c r="J570" t="s">
        <v>1035</v>
      </c>
      <c r="K570">
        <v>569</v>
      </c>
      <c r="L570" t="str">
        <f t="shared" si="16"/>
        <v>Brevin Jordan</v>
      </c>
      <c r="M570" s="69">
        <f>IFERROR(VLOOKUP(E570,RISK!A:B,2,FALSE()),"")</f>
        <v>2.2010999999999985</v>
      </c>
      <c r="N570" s="43" t="e">
        <f t="shared" si="17"/>
        <v>#N/A</v>
      </c>
    </row>
    <row r="571" spans="1:14" ht="14.25" customHeight="1" x14ac:dyDescent="0.3">
      <c r="A571">
        <v>570</v>
      </c>
      <c r="B571">
        <v>13</v>
      </c>
      <c r="C571" t="s">
        <v>879</v>
      </c>
      <c r="D571" t="s">
        <v>507</v>
      </c>
      <c r="E571" t="s">
        <v>1363</v>
      </c>
      <c r="F571">
        <v>10</v>
      </c>
      <c r="G571" t="s">
        <v>1035</v>
      </c>
      <c r="H571" t="s">
        <v>1035</v>
      </c>
      <c r="I571" t="s">
        <v>1029</v>
      </c>
      <c r="J571" t="s">
        <v>1035</v>
      </c>
      <c r="K571">
        <v>570</v>
      </c>
      <c r="L571" t="str">
        <f t="shared" si="16"/>
        <v>Kameron Johnson</v>
      </c>
      <c r="M571" s="69">
        <f>IFERROR(VLOOKUP(E571,RISK!A:B,2,FALSE()),"")</f>
        <v>3.848101265822784</v>
      </c>
      <c r="N571" s="43" t="e">
        <f t="shared" si="17"/>
        <v>#N/A</v>
      </c>
    </row>
    <row r="572" spans="1:14" ht="14.25" customHeight="1" x14ac:dyDescent="0.3">
      <c r="A572">
        <v>571</v>
      </c>
      <c r="B572">
        <v>13</v>
      </c>
      <c r="C572" t="s">
        <v>567</v>
      </c>
      <c r="D572" t="s">
        <v>527</v>
      </c>
      <c r="E572" t="s">
        <v>1324</v>
      </c>
      <c r="F572">
        <v>14</v>
      </c>
      <c r="G572" t="s">
        <v>1035</v>
      </c>
      <c r="H572" t="s">
        <v>1035</v>
      </c>
      <c r="I572" t="s">
        <v>1028</v>
      </c>
      <c r="J572" t="s">
        <v>1035</v>
      </c>
      <c r="K572">
        <v>571</v>
      </c>
      <c r="L572" t="str">
        <f t="shared" si="16"/>
        <v>Gardner Minshew II</v>
      </c>
      <c r="M572" s="69">
        <f>IFERROR(VLOOKUP(E572,RISK!A:B,2,FALSE()),"")</f>
        <v>3.2</v>
      </c>
      <c r="N572" s="43" t="e">
        <f t="shared" si="17"/>
        <v>#N/A</v>
      </c>
    </row>
    <row r="573" spans="1:14" ht="14.25" customHeight="1" x14ac:dyDescent="0.3">
      <c r="A573">
        <v>572</v>
      </c>
      <c r="B573">
        <v>13</v>
      </c>
      <c r="C573" t="s">
        <v>876</v>
      </c>
      <c r="D573" t="s">
        <v>523</v>
      </c>
      <c r="E573" t="s">
        <v>1365</v>
      </c>
      <c r="F573">
        <v>13</v>
      </c>
      <c r="G573" t="s">
        <v>1035</v>
      </c>
      <c r="H573" t="s">
        <v>1035</v>
      </c>
      <c r="I573" t="s">
        <v>1029</v>
      </c>
      <c r="J573" t="s">
        <v>1035</v>
      </c>
      <c r="K573">
        <v>572</v>
      </c>
      <c r="L573" t="str">
        <f t="shared" si="16"/>
        <v>Arian Smith</v>
      </c>
      <c r="M573" s="69">
        <f>IFERROR(VLOOKUP(E573,RISK!A:B,2,FALSE()),"")</f>
        <v>3.848101265822784</v>
      </c>
      <c r="N573" s="43" t="e">
        <f t="shared" si="17"/>
        <v>#N/A</v>
      </c>
    </row>
    <row r="574" spans="1:14" ht="14.25" customHeight="1" x14ac:dyDescent="0.3">
      <c r="A574">
        <v>573</v>
      </c>
      <c r="B574">
        <v>13</v>
      </c>
      <c r="C574" t="s">
        <v>1562</v>
      </c>
      <c r="D574" t="s">
        <v>1124</v>
      </c>
      <c r="E574" t="s">
        <v>1366</v>
      </c>
      <c r="F574" t="s">
        <v>1035</v>
      </c>
      <c r="G574" t="s">
        <v>1035</v>
      </c>
      <c r="H574" t="s">
        <v>1035</v>
      </c>
      <c r="I574" t="s">
        <v>1035</v>
      </c>
      <c r="J574" t="s">
        <v>1035</v>
      </c>
      <c r="K574">
        <v>573</v>
      </c>
      <c r="L574" t="str">
        <f t="shared" si="16"/>
        <v>Mecole Hardman Jr.</v>
      </c>
      <c r="M574" s="69">
        <f>IFERROR(VLOOKUP(E574,RISK!A:B,2,FALSE()),"")</f>
        <v>3.848101265822784</v>
      </c>
      <c r="N574" s="43" t="e">
        <f t="shared" si="17"/>
        <v>#N/A</v>
      </c>
    </row>
    <row r="575" spans="1:14" ht="14.25" customHeight="1" x14ac:dyDescent="0.3">
      <c r="A575">
        <v>574</v>
      </c>
      <c r="B575">
        <v>13</v>
      </c>
      <c r="C575" t="s">
        <v>1005</v>
      </c>
      <c r="D575" t="s">
        <v>527</v>
      </c>
      <c r="E575" t="s">
        <v>1413</v>
      </c>
      <c r="F575">
        <v>14</v>
      </c>
      <c r="G575" t="s">
        <v>1035</v>
      </c>
      <c r="H575" t="s">
        <v>1035</v>
      </c>
      <c r="I575" t="s">
        <v>1028</v>
      </c>
      <c r="J575" t="s">
        <v>1035</v>
      </c>
      <c r="K575">
        <v>574</v>
      </c>
      <c r="L575" t="str">
        <f t="shared" si="16"/>
        <v>Tip Reiman</v>
      </c>
      <c r="M575" s="69">
        <f>IFERROR(VLOOKUP(E575,RISK!A:B,2,FALSE()),"")</f>
        <v>2.2010999999999985</v>
      </c>
      <c r="N575" s="43" t="e">
        <f t="shared" si="17"/>
        <v>#N/A</v>
      </c>
    </row>
    <row r="576" spans="1:14" ht="14.25" customHeight="1" x14ac:dyDescent="0.3">
      <c r="A576">
        <v>575</v>
      </c>
      <c r="B576">
        <v>13</v>
      </c>
      <c r="C576" t="s">
        <v>1347</v>
      </c>
      <c r="D576" t="s">
        <v>493</v>
      </c>
      <c r="E576" t="s">
        <v>1336</v>
      </c>
      <c r="F576">
        <v>5</v>
      </c>
      <c r="G576" t="s">
        <v>1035</v>
      </c>
      <c r="H576" t="s">
        <v>1035</v>
      </c>
      <c r="I576" t="s">
        <v>1032</v>
      </c>
      <c r="J576" t="s">
        <v>1035</v>
      </c>
      <c r="K576">
        <v>575</v>
      </c>
      <c r="L576" t="str">
        <f t="shared" si="16"/>
        <v>Nathan Carter</v>
      </c>
      <c r="M576" s="69">
        <f>IFERROR(VLOOKUP(E576,RISK!A:B,2,FALSE()),"")</f>
        <v>4</v>
      </c>
      <c r="N576" s="43" t="e">
        <f t="shared" si="17"/>
        <v>#N/A</v>
      </c>
    </row>
    <row r="577" spans="1:14" ht="14.25" customHeight="1" x14ac:dyDescent="0.3">
      <c r="A577">
        <v>576</v>
      </c>
      <c r="B577">
        <v>13</v>
      </c>
      <c r="C577" t="s">
        <v>865</v>
      </c>
      <c r="D577" t="s">
        <v>497</v>
      </c>
      <c r="E577" t="s">
        <v>1368</v>
      </c>
      <c r="F577">
        <v>7</v>
      </c>
      <c r="G577" t="s">
        <v>1035</v>
      </c>
      <c r="H577" t="s">
        <v>1035</v>
      </c>
      <c r="I577" t="s">
        <v>1028</v>
      </c>
      <c r="J577" t="s">
        <v>1035</v>
      </c>
      <c r="K577">
        <v>576</v>
      </c>
      <c r="L577" t="str">
        <f t="shared" si="16"/>
        <v>Derius Davis</v>
      </c>
      <c r="M577" s="69">
        <f>IFERROR(VLOOKUP(E577,RISK!A:B,2,FALSE()),"")</f>
        <v>3.848101265822784</v>
      </c>
      <c r="N577" s="43" t="e">
        <f t="shared" si="17"/>
        <v>#N/A</v>
      </c>
    </row>
    <row r="578" spans="1:14" ht="14.25" customHeight="1" x14ac:dyDescent="0.3">
      <c r="A578">
        <v>577</v>
      </c>
      <c r="B578">
        <v>13</v>
      </c>
      <c r="C578" t="s">
        <v>859</v>
      </c>
      <c r="D578" t="s">
        <v>505</v>
      </c>
      <c r="E578" t="s">
        <v>1370</v>
      </c>
      <c r="F578">
        <v>8</v>
      </c>
      <c r="G578" t="s">
        <v>1035</v>
      </c>
      <c r="H578" t="s">
        <v>1035</v>
      </c>
      <c r="I578" t="s">
        <v>1032</v>
      </c>
      <c r="J578" t="s">
        <v>1035</v>
      </c>
      <c r="K578">
        <v>577</v>
      </c>
      <c r="L578" t="str">
        <f t="shared" ref="L578:L641" si="18">C578</f>
        <v>Mason Tipton</v>
      </c>
      <c r="M578" s="69">
        <f>IFERROR(VLOOKUP(E578,RISK!A:B,2,FALSE()),"")</f>
        <v>3.848101265822784</v>
      </c>
      <c r="N578" s="43" t="e">
        <f t="shared" si="17"/>
        <v>#N/A</v>
      </c>
    </row>
    <row r="579" spans="1:14" ht="14.25" customHeight="1" x14ac:dyDescent="0.3">
      <c r="A579">
        <v>578</v>
      </c>
      <c r="B579">
        <v>13</v>
      </c>
      <c r="C579" t="s">
        <v>978</v>
      </c>
      <c r="D579" t="s">
        <v>527</v>
      </c>
      <c r="E579" t="s">
        <v>1532</v>
      </c>
      <c r="F579">
        <v>14</v>
      </c>
      <c r="G579" t="s">
        <v>1035</v>
      </c>
      <c r="H579" t="s">
        <v>1035</v>
      </c>
      <c r="I579" t="s">
        <v>1028</v>
      </c>
      <c r="J579" t="s">
        <v>1035</v>
      </c>
      <c r="K579">
        <v>578</v>
      </c>
      <c r="L579" t="str">
        <f t="shared" si="18"/>
        <v>Teagan Quitoriano</v>
      </c>
      <c r="M579" s="69" t="str">
        <f>IFERROR(VLOOKUP(E579,RISK!A:B,2,FALSE()),"")</f>
        <v/>
      </c>
      <c r="N579" s="43" t="e">
        <f t="shared" ref="N579:N642" si="19">VLOOKUP(E579,Q:R,2,FALSE)</f>
        <v>#N/A</v>
      </c>
    </row>
    <row r="580" spans="1:14" ht="14.25" customHeight="1" x14ac:dyDescent="0.3">
      <c r="A580">
        <v>579</v>
      </c>
      <c r="B580">
        <v>13</v>
      </c>
      <c r="C580" t="s">
        <v>881</v>
      </c>
      <c r="D580" t="s">
        <v>511</v>
      </c>
      <c r="E580" t="s">
        <v>1371</v>
      </c>
      <c r="F580">
        <v>13</v>
      </c>
      <c r="G580" t="s">
        <v>1035</v>
      </c>
      <c r="H580" t="s">
        <v>1035</v>
      </c>
      <c r="I580" t="s">
        <v>1029</v>
      </c>
      <c r="J580" t="s">
        <v>1035</v>
      </c>
      <c r="K580">
        <v>579</v>
      </c>
      <c r="L580" t="str">
        <f t="shared" si="18"/>
        <v>Laquon Treadwell</v>
      </c>
      <c r="M580" s="69">
        <f>IFERROR(VLOOKUP(E580,RISK!A:B,2,FALSE()),"")</f>
        <v>3.848101265822784</v>
      </c>
      <c r="N580" s="43" t="e">
        <f t="shared" si="19"/>
        <v>#N/A</v>
      </c>
    </row>
    <row r="581" spans="1:14" ht="14.25" customHeight="1" x14ac:dyDescent="0.3">
      <c r="A581">
        <v>580</v>
      </c>
      <c r="B581">
        <v>13</v>
      </c>
      <c r="C581" t="s">
        <v>1574</v>
      </c>
      <c r="D581" t="s">
        <v>487</v>
      </c>
      <c r="E581" t="s">
        <v>1534</v>
      </c>
      <c r="F581">
        <v>8</v>
      </c>
      <c r="G581" t="s">
        <v>1035</v>
      </c>
      <c r="H581" t="s">
        <v>1035</v>
      </c>
      <c r="I581" t="s">
        <v>1032</v>
      </c>
      <c r="J581" t="s">
        <v>1035</v>
      </c>
      <c r="K581">
        <v>580</v>
      </c>
      <c r="L581" t="str">
        <f t="shared" si="18"/>
        <v>Brayden Willis</v>
      </c>
      <c r="M581" s="69" t="str">
        <f>IFERROR(VLOOKUP(E581,RISK!A:B,2,FALSE()),"")</f>
        <v/>
      </c>
      <c r="N581" s="43" t="e">
        <f t="shared" si="19"/>
        <v>#N/A</v>
      </c>
    </row>
    <row r="582" spans="1:14" ht="14.25" customHeight="1" x14ac:dyDescent="0.3">
      <c r="A582">
        <v>581</v>
      </c>
      <c r="B582">
        <v>13</v>
      </c>
      <c r="C582" t="s">
        <v>1287</v>
      </c>
      <c r="D582" t="s">
        <v>1124</v>
      </c>
      <c r="E582" t="s">
        <v>1502</v>
      </c>
      <c r="F582" t="s">
        <v>1035</v>
      </c>
      <c r="G582" t="s">
        <v>1035</v>
      </c>
      <c r="H582" t="s">
        <v>1035</v>
      </c>
      <c r="I582" t="s">
        <v>1035</v>
      </c>
      <c r="J582" t="s">
        <v>1035</v>
      </c>
      <c r="K582">
        <v>581</v>
      </c>
      <c r="L582" t="str">
        <f t="shared" si="18"/>
        <v>Ben Sauls</v>
      </c>
      <c r="M582" s="69" t="str">
        <f>IFERROR(VLOOKUP(E582,RISK!A:B,2,FALSE()),"")</f>
        <v/>
      </c>
      <c r="N582" s="43" t="e">
        <f t="shared" si="19"/>
        <v>#N/A</v>
      </c>
    </row>
    <row r="583" spans="1:14" ht="14.25" customHeight="1" x14ac:dyDescent="0.3">
      <c r="A583">
        <v>582</v>
      </c>
      <c r="B583">
        <v>13</v>
      </c>
      <c r="C583" t="s">
        <v>701</v>
      </c>
      <c r="D583" t="s">
        <v>509</v>
      </c>
      <c r="E583" t="s">
        <v>1338</v>
      </c>
      <c r="F583">
        <v>6</v>
      </c>
      <c r="G583" t="s">
        <v>1035</v>
      </c>
      <c r="H583" t="s">
        <v>1035</v>
      </c>
      <c r="I583" t="s">
        <v>1029</v>
      </c>
      <c r="J583" t="s">
        <v>1035</v>
      </c>
      <c r="K583">
        <v>582</v>
      </c>
      <c r="L583" t="str">
        <f t="shared" si="18"/>
        <v>DeeJay Dallas</v>
      </c>
      <c r="M583" s="69">
        <f>IFERROR(VLOOKUP(E583,RISK!A:B,2,FALSE()),"")</f>
        <v>4</v>
      </c>
      <c r="N583" s="43" t="e">
        <f t="shared" si="19"/>
        <v>#N/A</v>
      </c>
    </row>
    <row r="584" spans="1:14" ht="14.25" customHeight="1" x14ac:dyDescent="0.3">
      <c r="A584">
        <v>583</v>
      </c>
      <c r="B584">
        <v>13</v>
      </c>
      <c r="C584" t="s">
        <v>972</v>
      </c>
      <c r="D584" t="s">
        <v>483</v>
      </c>
      <c r="E584" t="s">
        <v>1536</v>
      </c>
      <c r="F584">
        <v>6</v>
      </c>
      <c r="G584" t="s">
        <v>1035</v>
      </c>
      <c r="H584" t="s">
        <v>1035</v>
      </c>
      <c r="I584" t="s">
        <v>1032</v>
      </c>
      <c r="J584" t="s">
        <v>1035</v>
      </c>
      <c r="K584">
        <v>583</v>
      </c>
      <c r="L584" t="str">
        <f t="shared" si="18"/>
        <v>Jack Endries</v>
      </c>
      <c r="M584" s="69" t="str">
        <f>IFERROR(VLOOKUP(E584,RISK!A:B,2,FALSE()),"")</f>
        <v/>
      </c>
      <c r="N584" s="43" t="e">
        <f t="shared" si="19"/>
        <v>#N/A</v>
      </c>
    </row>
    <row r="585" spans="1:14" ht="14.25" customHeight="1" x14ac:dyDescent="0.3">
      <c r="A585">
        <v>584</v>
      </c>
      <c r="B585">
        <v>13</v>
      </c>
      <c r="C585" t="s">
        <v>1530</v>
      </c>
      <c r="D585" t="s">
        <v>535</v>
      </c>
      <c r="E585" t="s">
        <v>1538</v>
      </c>
      <c r="F585">
        <v>11</v>
      </c>
      <c r="G585" t="s">
        <v>1035</v>
      </c>
      <c r="H585" t="s">
        <v>1035</v>
      </c>
      <c r="I585" t="s">
        <v>1032</v>
      </c>
      <c r="J585" t="s">
        <v>1035</v>
      </c>
      <c r="K585">
        <v>584</v>
      </c>
      <c r="L585" t="str">
        <f t="shared" si="18"/>
        <v>Carsen Ryan</v>
      </c>
      <c r="M585" s="69" t="str">
        <f>IFERROR(VLOOKUP(E585,RISK!A:B,2,FALSE()),"")</f>
        <v/>
      </c>
      <c r="N585" s="43" t="e">
        <f t="shared" si="19"/>
        <v>#N/A</v>
      </c>
    </row>
    <row r="586" spans="1:14" ht="14.25" customHeight="1" x14ac:dyDescent="0.3">
      <c r="A586">
        <v>585</v>
      </c>
      <c r="B586">
        <v>13</v>
      </c>
      <c r="C586" t="s">
        <v>886</v>
      </c>
      <c r="D586" t="s">
        <v>515</v>
      </c>
      <c r="E586" t="s">
        <v>1372</v>
      </c>
      <c r="F586">
        <v>11</v>
      </c>
      <c r="G586" t="s">
        <v>1035</v>
      </c>
      <c r="H586" t="s">
        <v>1035</v>
      </c>
      <c r="I586" t="s">
        <v>1027</v>
      </c>
      <c r="J586" t="s">
        <v>1035</v>
      </c>
      <c r="K586">
        <v>585</v>
      </c>
      <c r="L586" t="str">
        <f t="shared" si="18"/>
        <v>Skyy Moore</v>
      </c>
      <c r="M586" s="69">
        <f>IFERROR(VLOOKUP(E586,RISK!A:B,2,FALSE()),"")</f>
        <v>3.848101265822784</v>
      </c>
      <c r="N586" s="43" t="e">
        <f t="shared" si="19"/>
        <v>#N/A</v>
      </c>
    </row>
    <row r="587" spans="1:14" ht="14.25" customHeight="1" x14ac:dyDescent="0.3">
      <c r="A587">
        <v>586</v>
      </c>
      <c r="B587">
        <v>13</v>
      </c>
      <c r="C587" t="s">
        <v>1523</v>
      </c>
      <c r="D587" t="s">
        <v>475</v>
      </c>
      <c r="E587" t="s">
        <v>1519</v>
      </c>
      <c r="F587">
        <v>13</v>
      </c>
      <c r="G587" t="s">
        <v>1035</v>
      </c>
      <c r="H587" t="s">
        <v>1035</v>
      </c>
      <c r="I587" t="s">
        <v>1032</v>
      </c>
      <c r="J587" t="s">
        <v>1035</v>
      </c>
      <c r="K587">
        <v>586</v>
      </c>
      <c r="L587" t="str">
        <f t="shared" si="18"/>
        <v>Jake Moody</v>
      </c>
      <c r="M587" s="69" t="str">
        <f>IFERROR(VLOOKUP(E587,RISK!A:B,2,FALSE()),"")</f>
        <v/>
      </c>
      <c r="N587" s="43" t="e">
        <f t="shared" si="19"/>
        <v>#N/A</v>
      </c>
    </row>
    <row r="588" spans="1:14" ht="14.25" customHeight="1" x14ac:dyDescent="0.3">
      <c r="A588">
        <v>587</v>
      </c>
      <c r="B588">
        <v>13</v>
      </c>
      <c r="C588" t="s">
        <v>1982</v>
      </c>
      <c r="D588" t="s">
        <v>1124</v>
      </c>
      <c r="E588" t="s">
        <v>1540</v>
      </c>
      <c r="F588" t="s">
        <v>1035</v>
      </c>
      <c r="G588" t="s">
        <v>1035</v>
      </c>
      <c r="H588" t="s">
        <v>1035</v>
      </c>
      <c r="I588" t="s">
        <v>1035</v>
      </c>
      <c r="J588" t="s">
        <v>1035</v>
      </c>
      <c r="K588">
        <v>587</v>
      </c>
      <c r="L588" t="str">
        <f t="shared" si="18"/>
        <v>Will Dissly</v>
      </c>
      <c r="M588" s="69" t="str">
        <f>IFERROR(VLOOKUP(E588,RISK!A:B,2,FALSE()),"")</f>
        <v/>
      </c>
      <c r="N588" s="43" t="e">
        <f t="shared" si="19"/>
        <v>#N/A</v>
      </c>
    </row>
    <row r="589" spans="1:14" ht="14.25" customHeight="1" x14ac:dyDescent="0.3">
      <c r="A589">
        <v>588</v>
      </c>
      <c r="B589">
        <v>13</v>
      </c>
      <c r="C589" t="s">
        <v>1498</v>
      </c>
      <c r="D589" t="s">
        <v>517</v>
      </c>
      <c r="E589" t="s">
        <v>1373</v>
      </c>
      <c r="F589">
        <v>11</v>
      </c>
      <c r="G589" t="s">
        <v>1035</v>
      </c>
      <c r="H589" t="s">
        <v>1035</v>
      </c>
      <c r="I589" t="s">
        <v>1032</v>
      </c>
      <c r="J589" t="s">
        <v>1035</v>
      </c>
      <c r="K589">
        <v>588</v>
      </c>
      <c r="L589" t="str">
        <f t="shared" si="18"/>
        <v>Velus Jones Jr.</v>
      </c>
      <c r="M589" s="69">
        <f>IFERROR(VLOOKUP(E589,RISK!A:B,2,FALSE()),"")</f>
        <v>3.848101265822784</v>
      </c>
      <c r="N589" s="43" t="e">
        <f t="shared" si="19"/>
        <v>#N/A</v>
      </c>
    </row>
    <row r="590" spans="1:14" ht="14.25" customHeight="1" x14ac:dyDescent="0.3">
      <c r="A590">
        <v>589</v>
      </c>
      <c r="B590">
        <v>13</v>
      </c>
      <c r="C590" t="s">
        <v>1857</v>
      </c>
      <c r="D590" t="s">
        <v>1124</v>
      </c>
      <c r="E590" t="s">
        <v>1342</v>
      </c>
      <c r="F590" t="s">
        <v>1035</v>
      </c>
      <c r="G590" t="s">
        <v>1035</v>
      </c>
      <c r="H590" t="s">
        <v>1035</v>
      </c>
      <c r="I590" t="s">
        <v>1035</v>
      </c>
      <c r="J590" t="s">
        <v>1035</v>
      </c>
      <c r="K590">
        <v>589</v>
      </c>
      <c r="L590" t="str">
        <f t="shared" si="18"/>
        <v>Cam Akers</v>
      </c>
      <c r="M590" s="69">
        <f>IFERROR(VLOOKUP(E590,RISK!A:B,2,FALSE()),"")</f>
        <v>4</v>
      </c>
      <c r="N590" s="43" t="e">
        <f t="shared" si="19"/>
        <v>#N/A</v>
      </c>
    </row>
    <row r="591" spans="1:14" ht="14.25" customHeight="1" x14ac:dyDescent="0.3">
      <c r="A591">
        <v>590</v>
      </c>
      <c r="B591">
        <v>13</v>
      </c>
      <c r="C591" t="s">
        <v>1979</v>
      </c>
      <c r="D591" t="s">
        <v>1124</v>
      </c>
      <c r="E591" t="s">
        <v>1375</v>
      </c>
      <c r="F591" t="s">
        <v>1035</v>
      </c>
      <c r="G591" t="s">
        <v>1035</v>
      </c>
      <c r="H591" t="s">
        <v>1035</v>
      </c>
      <c r="I591" t="s">
        <v>1035</v>
      </c>
      <c r="J591" t="s">
        <v>1035</v>
      </c>
      <c r="K591">
        <v>590</v>
      </c>
      <c r="L591" t="str">
        <f t="shared" si="18"/>
        <v>Brandin Cooks</v>
      </c>
      <c r="M591" s="69">
        <f>IFERROR(VLOOKUP(E591,RISK!A:B,2,FALSE()),"")</f>
        <v>3.848101265822784</v>
      </c>
      <c r="N591" s="43" t="e">
        <f t="shared" si="19"/>
        <v>#N/A</v>
      </c>
    </row>
    <row r="592" spans="1:14" ht="14.25" customHeight="1" x14ac:dyDescent="0.3">
      <c r="A592">
        <v>591</v>
      </c>
      <c r="B592">
        <v>13</v>
      </c>
      <c r="C592" t="s">
        <v>687</v>
      </c>
      <c r="D592" t="s">
        <v>535</v>
      </c>
      <c r="E592" t="s">
        <v>1345</v>
      </c>
      <c r="F592">
        <v>11</v>
      </c>
      <c r="G592" t="s">
        <v>1035</v>
      </c>
      <c r="H592" t="s">
        <v>1035</v>
      </c>
      <c r="I592" t="s">
        <v>1032</v>
      </c>
      <c r="J592" t="s">
        <v>1035</v>
      </c>
      <c r="K592">
        <v>591</v>
      </c>
      <c r="L592" t="str">
        <f t="shared" si="18"/>
        <v>Michael Burton</v>
      </c>
      <c r="M592" s="69">
        <f>IFERROR(VLOOKUP(E592,RISK!A:B,2,FALSE()),"")</f>
        <v>4</v>
      </c>
      <c r="N592" s="43" t="e">
        <f t="shared" si="19"/>
        <v>#N/A</v>
      </c>
    </row>
    <row r="593" spans="1:14" ht="14.25" customHeight="1" x14ac:dyDescent="0.3">
      <c r="A593">
        <v>592</v>
      </c>
      <c r="B593">
        <v>13</v>
      </c>
      <c r="C593" t="s">
        <v>678</v>
      </c>
      <c r="D593" t="s">
        <v>1124</v>
      </c>
      <c r="E593" t="s">
        <v>1348</v>
      </c>
      <c r="F593" t="s">
        <v>1035</v>
      </c>
      <c r="G593" t="s">
        <v>1035</v>
      </c>
      <c r="H593" t="s">
        <v>1035</v>
      </c>
      <c r="I593" t="s">
        <v>1035</v>
      </c>
      <c r="J593" t="s">
        <v>1035</v>
      </c>
      <c r="K593">
        <v>592</v>
      </c>
      <c r="L593" t="str">
        <f t="shared" si="18"/>
        <v>Donovan Edwards</v>
      </c>
      <c r="M593" s="69">
        <f>IFERROR(VLOOKUP(E593,RISK!A:B,2,FALSE()),"")</f>
        <v>4</v>
      </c>
      <c r="N593" s="43" t="e">
        <f t="shared" si="19"/>
        <v>#N/A</v>
      </c>
    </row>
    <row r="594" spans="1:14" ht="14.25" customHeight="1" x14ac:dyDescent="0.3">
      <c r="A594">
        <v>593</v>
      </c>
      <c r="B594">
        <v>13</v>
      </c>
      <c r="C594" t="s">
        <v>1358</v>
      </c>
      <c r="D594" t="s">
        <v>509</v>
      </c>
      <c r="E594" t="s">
        <v>1349</v>
      </c>
      <c r="F594">
        <v>6</v>
      </c>
      <c r="G594" t="s">
        <v>1035</v>
      </c>
      <c r="H594" t="s">
        <v>1035</v>
      </c>
      <c r="I594" t="s">
        <v>1029</v>
      </c>
      <c r="J594" t="s">
        <v>1035</v>
      </c>
      <c r="K594">
        <v>593</v>
      </c>
      <c r="L594" t="str">
        <f t="shared" si="18"/>
        <v>Jermar Jefferson</v>
      </c>
      <c r="M594" s="69">
        <f>IFERROR(VLOOKUP(E594,RISK!A:B,2,FALSE()),"")</f>
        <v>4</v>
      </c>
      <c r="N594" s="43" t="e">
        <f t="shared" si="19"/>
        <v>#N/A</v>
      </c>
    </row>
    <row r="595" spans="1:14" ht="14.25" customHeight="1" x14ac:dyDescent="0.3">
      <c r="A595">
        <v>594</v>
      </c>
      <c r="B595">
        <v>13</v>
      </c>
      <c r="C595" t="s">
        <v>1603</v>
      </c>
      <c r="D595" t="s">
        <v>503</v>
      </c>
      <c r="E595" t="s">
        <v>1376</v>
      </c>
      <c r="F595">
        <v>6</v>
      </c>
      <c r="G595" t="s">
        <v>1035</v>
      </c>
      <c r="H595" t="s">
        <v>1035</v>
      </c>
      <c r="I595" t="s">
        <v>1029</v>
      </c>
      <c r="J595" t="s">
        <v>1035</v>
      </c>
      <c r="K595">
        <v>594</v>
      </c>
      <c r="L595" t="str">
        <f t="shared" si="18"/>
        <v>Dominic Lovett</v>
      </c>
      <c r="M595" s="69">
        <f>IFERROR(VLOOKUP(E595,RISK!A:B,2,FALSE()),"")</f>
        <v>3.848101265822784</v>
      </c>
      <c r="N595" s="43" t="e">
        <f t="shared" si="19"/>
        <v>#N/A</v>
      </c>
    </row>
    <row r="596" spans="1:14" ht="14.25" customHeight="1" x14ac:dyDescent="0.3">
      <c r="A596">
        <v>595</v>
      </c>
      <c r="B596">
        <v>13</v>
      </c>
      <c r="C596" t="s">
        <v>546</v>
      </c>
      <c r="D596" t="s">
        <v>489</v>
      </c>
      <c r="E596" t="s">
        <v>1325</v>
      </c>
      <c r="F596">
        <v>7</v>
      </c>
      <c r="G596" t="s">
        <v>1035</v>
      </c>
      <c r="H596" t="s">
        <v>1035</v>
      </c>
      <c r="I596" t="s">
        <v>1029</v>
      </c>
      <c r="J596" t="s">
        <v>1035</v>
      </c>
      <c r="K596">
        <v>595</v>
      </c>
      <c r="L596" t="str">
        <f t="shared" si="18"/>
        <v>Quinn Ewers</v>
      </c>
      <c r="M596" s="69">
        <f>IFERROR(VLOOKUP(E596,RISK!A:B,2,FALSE()),"")</f>
        <v>3.2</v>
      </c>
      <c r="N596" s="43" t="e">
        <f t="shared" si="19"/>
        <v>#N/A</v>
      </c>
    </row>
    <row r="597" spans="1:14" ht="14.25" customHeight="1" x14ac:dyDescent="0.3">
      <c r="A597">
        <v>596</v>
      </c>
      <c r="B597">
        <v>13</v>
      </c>
      <c r="C597" t="s">
        <v>1517</v>
      </c>
      <c r="D597" t="s">
        <v>487</v>
      </c>
      <c r="E597" t="s">
        <v>1543</v>
      </c>
      <c r="F597">
        <v>8</v>
      </c>
      <c r="G597" t="s">
        <v>1035</v>
      </c>
      <c r="H597" t="s">
        <v>1035</v>
      </c>
      <c r="I597" t="s">
        <v>1032</v>
      </c>
      <c r="J597" t="s">
        <v>1035</v>
      </c>
      <c r="K597">
        <v>596</v>
      </c>
      <c r="L597" t="str">
        <f t="shared" si="18"/>
        <v>Khalil Dinkins</v>
      </c>
      <c r="M597" s="69" t="str">
        <f>IFERROR(VLOOKUP(E597,RISK!A:B,2,FALSE()),"")</f>
        <v/>
      </c>
      <c r="N597" s="43" t="e">
        <f t="shared" si="19"/>
        <v>#N/A</v>
      </c>
    </row>
    <row r="598" spans="1:14" ht="14.25" customHeight="1" x14ac:dyDescent="0.3">
      <c r="A598">
        <v>597</v>
      </c>
      <c r="B598">
        <v>13</v>
      </c>
      <c r="C598" t="s">
        <v>866</v>
      </c>
      <c r="D598" t="s">
        <v>535</v>
      </c>
      <c r="E598" t="s">
        <v>1377</v>
      </c>
      <c r="F598">
        <v>11</v>
      </c>
      <c r="G598" t="s">
        <v>1035</v>
      </c>
      <c r="H598" t="s">
        <v>1035</v>
      </c>
      <c r="I598" t="s">
        <v>1032</v>
      </c>
      <c r="J598" t="s">
        <v>1035</v>
      </c>
      <c r="K598">
        <v>597</v>
      </c>
      <c r="L598" t="str">
        <f t="shared" si="18"/>
        <v>Malachi Corley</v>
      </c>
      <c r="M598" s="69">
        <f>IFERROR(VLOOKUP(E598,RISK!A:B,2,FALSE()),"")</f>
        <v>3.848101265822784</v>
      </c>
      <c r="N598" s="43" t="e">
        <f t="shared" si="19"/>
        <v>#N/A</v>
      </c>
    </row>
    <row r="599" spans="1:14" ht="14.25" customHeight="1" x14ac:dyDescent="0.3">
      <c r="A599">
        <v>598</v>
      </c>
      <c r="B599">
        <v>13</v>
      </c>
      <c r="C599" t="s">
        <v>1535</v>
      </c>
      <c r="D599" t="s">
        <v>479</v>
      </c>
      <c r="E599" t="s">
        <v>1351</v>
      </c>
      <c r="F599">
        <v>7</v>
      </c>
      <c r="G599" t="s">
        <v>1035</v>
      </c>
      <c r="H599" t="s">
        <v>1035</v>
      </c>
      <c r="I599" t="s">
        <v>1029</v>
      </c>
      <c r="J599" t="s">
        <v>1035</v>
      </c>
      <c r="K599">
        <v>598</v>
      </c>
      <c r="L599" t="str">
        <f t="shared" si="18"/>
        <v>Craig Reynolds</v>
      </c>
      <c r="M599" s="69">
        <f>IFERROR(VLOOKUP(E599,RISK!A:B,2,FALSE()),"")</f>
        <v>4</v>
      </c>
      <c r="N599" s="43" t="e">
        <f t="shared" si="19"/>
        <v>#N/A</v>
      </c>
    </row>
    <row r="600" spans="1:14" ht="14.25" customHeight="1" x14ac:dyDescent="0.3">
      <c r="A600">
        <v>599</v>
      </c>
      <c r="B600">
        <v>13</v>
      </c>
      <c r="C600" t="s">
        <v>1661</v>
      </c>
      <c r="D600" t="s">
        <v>503</v>
      </c>
      <c r="E600" t="s">
        <v>1378</v>
      </c>
      <c r="F600">
        <v>6</v>
      </c>
      <c r="G600" t="s">
        <v>1035</v>
      </c>
      <c r="H600" t="s">
        <v>1035</v>
      </c>
      <c r="I600" t="s">
        <v>1029</v>
      </c>
      <c r="J600" t="s">
        <v>1035</v>
      </c>
      <c r="K600">
        <v>599</v>
      </c>
      <c r="L600" t="str">
        <f t="shared" si="18"/>
        <v>Tom Kennedy</v>
      </c>
      <c r="M600" s="69">
        <f>IFERROR(VLOOKUP(E600,RISK!A:B,2,FALSE()),"")</f>
        <v>3.848101265822784</v>
      </c>
      <c r="N600" s="43" t="e">
        <f t="shared" si="19"/>
        <v>#N/A</v>
      </c>
    </row>
    <row r="601" spans="1:14" ht="14.25" customHeight="1" x14ac:dyDescent="0.3">
      <c r="A601">
        <v>600</v>
      </c>
      <c r="B601">
        <v>13</v>
      </c>
      <c r="C601" t="s">
        <v>1671</v>
      </c>
      <c r="D601" t="s">
        <v>535</v>
      </c>
      <c r="E601" t="s">
        <v>1379</v>
      </c>
      <c r="F601">
        <v>11</v>
      </c>
      <c r="G601" t="s">
        <v>1035</v>
      </c>
      <c r="H601" t="s">
        <v>1035</v>
      </c>
      <c r="I601" t="s">
        <v>1032</v>
      </c>
      <c r="J601" t="s">
        <v>1035</v>
      </c>
      <c r="K601">
        <v>600</v>
      </c>
      <c r="L601" t="str">
        <f t="shared" si="18"/>
        <v>Jamari Thrash</v>
      </c>
      <c r="M601" s="69">
        <f>IFERROR(VLOOKUP(E601,RISK!A:B,2,FALSE()),"")</f>
        <v>3.848101265822784</v>
      </c>
      <c r="N601" s="43" t="e">
        <f t="shared" si="19"/>
        <v>#N/A</v>
      </c>
    </row>
    <row r="602" spans="1:14" ht="14.25" customHeight="1" x14ac:dyDescent="0.3">
      <c r="A602">
        <v>601</v>
      </c>
      <c r="B602">
        <v>13</v>
      </c>
      <c r="C602" t="s">
        <v>1489</v>
      </c>
      <c r="D602" t="s">
        <v>477</v>
      </c>
      <c r="E602" t="s">
        <v>1353</v>
      </c>
      <c r="F602">
        <v>11</v>
      </c>
      <c r="G602" t="s">
        <v>1035</v>
      </c>
      <c r="H602" t="s">
        <v>1035</v>
      </c>
      <c r="I602" t="s">
        <v>1028</v>
      </c>
      <c r="J602" t="s">
        <v>1035</v>
      </c>
      <c r="K602">
        <v>601</v>
      </c>
      <c r="L602" t="str">
        <f t="shared" si="18"/>
        <v>Lan Larison</v>
      </c>
      <c r="M602" s="69">
        <f>IFERROR(VLOOKUP(E602,RISK!A:B,2,FALSE()),"")</f>
        <v>4</v>
      </c>
      <c r="N602" s="43" t="e">
        <f t="shared" si="19"/>
        <v>#N/A</v>
      </c>
    </row>
    <row r="603" spans="1:14" ht="14.25" customHeight="1" x14ac:dyDescent="0.3">
      <c r="A603">
        <v>602</v>
      </c>
      <c r="B603">
        <v>13</v>
      </c>
      <c r="C603" t="s">
        <v>1643</v>
      </c>
      <c r="D603" t="s">
        <v>535</v>
      </c>
      <c r="E603" t="s">
        <v>1380</v>
      </c>
      <c r="F603">
        <v>11</v>
      </c>
      <c r="G603" t="s">
        <v>1035</v>
      </c>
      <c r="H603" t="s">
        <v>1035</v>
      </c>
      <c r="I603" t="s">
        <v>1032</v>
      </c>
      <c r="J603" t="s">
        <v>1035</v>
      </c>
      <c r="K603">
        <v>602</v>
      </c>
      <c r="L603" t="str">
        <f t="shared" si="18"/>
        <v>Tylan Wallace</v>
      </c>
      <c r="M603" s="69">
        <f>IFERROR(VLOOKUP(E603,RISK!A:B,2,FALSE()),"")</f>
        <v>3.848101265822784</v>
      </c>
      <c r="N603" s="43" t="e">
        <f t="shared" si="19"/>
        <v>#N/A</v>
      </c>
    </row>
    <row r="604" spans="1:14" ht="14.25" customHeight="1" x14ac:dyDescent="0.3">
      <c r="A604">
        <v>603</v>
      </c>
      <c r="B604">
        <v>13</v>
      </c>
      <c r="C604" t="s">
        <v>549</v>
      </c>
      <c r="D604" t="s">
        <v>1124</v>
      </c>
      <c r="E604" t="s">
        <v>1327</v>
      </c>
      <c r="F604" t="s">
        <v>1035</v>
      </c>
      <c r="G604" t="s">
        <v>1035</v>
      </c>
      <c r="H604" t="s">
        <v>1035</v>
      </c>
      <c r="I604" t="s">
        <v>1035</v>
      </c>
      <c r="J604" t="s">
        <v>1035</v>
      </c>
      <c r="K604">
        <v>603</v>
      </c>
      <c r="L604" t="str">
        <f t="shared" si="18"/>
        <v>Jake Browning</v>
      </c>
      <c r="M604" s="69">
        <f>IFERROR(VLOOKUP(E604,RISK!A:B,2,FALSE()),"")</f>
        <v>3.2</v>
      </c>
      <c r="N604" s="43" t="e">
        <f t="shared" si="19"/>
        <v>#N/A</v>
      </c>
    </row>
    <row r="605" spans="1:14" ht="14.25" customHeight="1" x14ac:dyDescent="0.3">
      <c r="A605">
        <v>604</v>
      </c>
      <c r="B605">
        <v>13</v>
      </c>
      <c r="C605" t="s">
        <v>994</v>
      </c>
      <c r="D605" t="s">
        <v>485</v>
      </c>
      <c r="E605" t="s">
        <v>1544</v>
      </c>
      <c r="F605">
        <v>8</v>
      </c>
      <c r="G605" t="s">
        <v>1035</v>
      </c>
      <c r="H605" t="s">
        <v>1035</v>
      </c>
      <c r="I605" t="s">
        <v>1032</v>
      </c>
      <c r="J605" t="s">
        <v>1035</v>
      </c>
      <c r="K605">
        <v>604</v>
      </c>
      <c r="L605" t="str">
        <f t="shared" si="18"/>
        <v>Chris Manhertz</v>
      </c>
      <c r="M605" s="69" t="str">
        <f>IFERROR(VLOOKUP(E605,RISK!A:B,2,FALSE()),"")</f>
        <v/>
      </c>
      <c r="N605" s="43" t="e">
        <f t="shared" si="19"/>
        <v>#N/A</v>
      </c>
    </row>
    <row r="606" spans="1:14" ht="14.25" customHeight="1" x14ac:dyDescent="0.3">
      <c r="A606">
        <v>605</v>
      </c>
      <c r="B606">
        <v>13</v>
      </c>
      <c r="C606" t="s">
        <v>980</v>
      </c>
      <c r="D606" t="s">
        <v>499</v>
      </c>
      <c r="E606" t="s">
        <v>1546</v>
      </c>
      <c r="F606">
        <v>10</v>
      </c>
      <c r="G606" t="s">
        <v>1035</v>
      </c>
      <c r="H606" t="s">
        <v>1035</v>
      </c>
      <c r="I606" t="s">
        <v>1029</v>
      </c>
      <c r="J606" t="s">
        <v>1035</v>
      </c>
      <c r="K606">
        <v>605</v>
      </c>
      <c r="L606" t="str">
        <f t="shared" si="18"/>
        <v>Dallen Bentley</v>
      </c>
      <c r="M606" s="69" t="str">
        <f>IFERROR(VLOOKUP(E606,RISK!A:B,2,FALSE()),"")</f>
        <v/>
      </c>
      <c r="N606" s="43" t="e">
        <f t="shared" si="19"/>
        <v>#N/A</v>
      </c>
    </row>
    <row r="607" spans="1:14" ht="14.25" customHeight="1" x14ac:dyDescent="0.3">
      <c r="A607">
        <v>606</v>
      </c>
      <c r="B607">
        <v>13</v>
      </c>
      <c r="C607" t="s">
        <v>892</v>
      </c>
      <c r="D607" t="s">
        <v>493</v>
      </c>
      <c r="E607" t="s">
        <v>1381</v>
      </c>
      <c r="F607">
        <v>5</v>
      </c>
      <c r="G607" t="s">
        <v>1035</v>
      </c>
      <c r="H607" t="s">
        <v>1035</v>
      </c>
      <c r="I607" t="s">
        <v>1028</v>
      </c>
      <c r="J607" t="s">
        <v>1035</v>
      </c>
      <c r="K607">
        <v>606</v>
      </c>
      <c r="L607" t="str">
        <f t="shared" si="18"/>
        <v>Nikko Remigio</v>
      </c>
      <c r="M607" s="69">
        <f>IFERROR(VLOOKUP(E607,RISK!A:B,2,FALSE()),"")</f>
        <v>3.848101265822784</v>
      </c>
      <c r="N607" s="43" t="e">
        <f t="shared" si="19"/>
        <v>#N/A</v>
      </c>
    </row>
    <row r="608" spans="1:14" ht="14.25" customHeight="1" x14ac:dyDescent="0.3">
      <c r="A608">
        <v>607</v>
      </c>
      <c r="B608">
        <v>13</v>
      </c>
      <c r="C608" t="s">
        <v>1723</v>
      </c>
      <c r="D608" t="s">
        <v>535</v>
      </c>
      <c r="E608" t="s">
        <v>1382</v>
      </c>
      <c r="F608">
        <v>11</v>
      </c>
      <c r="G608" t="s">
        <v>1035</v>
      </c>
      <c r="H608" t="s">
        <v>1035</v>
      </c>
      <c r="I608" t="s">
        <v>1032</v>
      </c>
      <c r="J608" t="s">
        <v>1035</v>
      </c>
      <c r="K608">
        <v>607</v>
      </c>
      <c r="L608" t="str">
        <f t="shared" si="18"/>
        <v>Bryce Oliver</v>
      </c>
      <c r="M608" s="69">
        <f>IFERROR(VLOOKUP(E608,RISK!A:B,2,FALSE()),"")</f>
        <v>3.848101265822784</v>
      </c>
      <c r="N608" s="43" t="e">
        <f t="shared" si="19"/>
        <v>#N/A</v>
      </c>
    </row>
    <row r="609" spans="1:14" ht="14.25" customHeight="1" x14ac:dyDescent="0.3">
      <c r="A609">
        <v>608</v>
      </c>
      <c r="B609">
        <v>13</v>
      </c>
      <c r="C609" t="s">
        <v>1804</v>
      </c>
      <c r="D609" t="s">
        <v>481</v>
      </c>
      <c r="E609" t="s">
        <v>1355</v>
      </c>
      <c r="F609">
        <v>10</v>
      </c>
      <c r="G609" t="s">
        <v>1035</v>
      </c>
      <c r="H609" t="s">
        <v>1035</v>
      </c>
      <c r="I609" t="s">
        <v>1029</v>
      </c>
      <c r="J609" t="s">
        <v>1035</v>
      </c>
      <c r="K609">
        <v>608</v>
      </c>
      <c r="L609" t="str">
        <f t="shared" si="18"/>
        <v>Carson Steele</v>
      </c>
      <c r="M609" s="69">
        <f>IFERROR(VLOOKUP(E609,RISK!A:B,2,FALSE()),"")</f>
        <v>4</v>
      </c>
      <c r="N609" s="43" t="e">
        <f t="shared" si="19"/>
        <v>#N/A</v>
      </c>
    </row>
    <row r="610" spans="1:14" ht="14.25" customHeight="1" x14ac:dyDescent="0.3">
      <c r="A610">
        <v>609</v>
      </c>
      <c r="B610">
        <v>13</v>
      </c>
      <c r="C610" t="s">
        <v>1521</v>
      </c>
      <c r="D610" t="s">
        <v>505</v>
      </c>
      <c r="E610" t="s">
        <v>1549</v>
      </c>
      <c r="F610">
        <v>8</v>
      </c>
      <c r="G610" t="s">
        <v>1035</v>
      </c>
      <c r="H610" t="s">
        <v>1035</v>
      </c>
      <c r="I610" t="s">
        <v>1028</v>
      </c>
      <c r="J610" t="s">
        <v>1035</v>
      </c>
      <c r="K610">
        <v>609</v>
      </c>
      <c r="L610" t="str">
        <f t="shared" si="18"/>
        <v>Stone Smartt</v>
      </c>
      <c r="M610" s="69" t="str">
        <f>IFERROR(VLOOKUP(E610,RISK!A:B,2,FALSE()),"")</f>
        <v/>
      </c>
      <c r="N610" s="43" t="e">
        <f t="shared" si="19"/>
        <v>#N/A</v>
      </c>
    </row>
    <row r="611" spans="1:14" ht="14.25" customHeight="1" x14ac:dyDescent="0.3">
      <c r="A611">
        <v>610</v>
      </c>
      <c r="B611">
        <v>13</v>
      </c>
      <c r="C611" t="s">
        <v>1367</v>
      </c>
      <c r="D611" t="s">
        <v>515</v>
      </c>
      <c r="E611" t="s">
        <v>1383</v>
      </c>
      <c r="F611">
        <v>11</v>
      </c>
      <c r="G611" t="s">
        <v>1035</v>
      </c>
      <c r="H611" t="s">
        <v>1035</v>
      </c>
      <c r="I611" t="s">
        <v>1027</v>
      </c>
      <c r="J611" t="s">
        <v>1035</v>
      </c>
      <c r="K611">
        <v>610</v>
      </c>
      <c r="L611" t="str">
        <f t="shared" si="18"/>
        <v>J. Michael Sturdivant</v>
      </c>
      <c r="M611" s="69">
        <f>IFERROR(VLOOKUP(E611,RISK!A:B,2,FALSE()),"")</f>
        <v>3.848101265822784</v>
      </c>
      <c r="N611" s="43" t="e">
        <f t="shared" si="19"/>
        <v>#N/A</v>
      </c>
    </row>
    <row r="612" spans="1:14" ht="14.25" customHeight="1" x14ac:dyDescent="0.3">
      <c r="A612">
        <v>611</v>
      </c>
      <c r="B612">
        <v>13</v>
      </c>
      <c r="C612" t="s">
        <v>1537</v>
      </c>
      <c r="D612" t="s">
        <v>509</v>
      </c>
      <c r="E612" t="s">
        <v>1552</v>
      </c>
      <c r="F612">
        <v>6</v>
      </c>
      <c r="G612" t="s">
        <v>1035</v>
      </c>
      <c r="H612" t="s">
        <v>1035</v>
      </c>
      <c r="I612" t="s">
        <v>1029</v>
      </c>
      <c r="J612" t="s">
        <v>1035</v>
      </c>
      <c r="K612">
        <v>611</v>
      </c>
      <c r="L612" t="str">
        <f t="shared" si="18"/>
        <v>Gavin Bartholomew</v>
      </c>
      <c r="M612" s="69" t="str">
        <f>IFERROR(VLOOKUP(E612,RISK!A:B,2,FALSE()),"")</f>
        <v/>
      </c>
      <c r="N612" s="43" t="e">
        <f t="shared" si="19"/>
        <v>#N/A</v>
      </c>
    </row>
    <row r="613" spans="1:14" ht="14.25" customHeight="1" x14ac:dyDescent="0.3">
      <c r="A613">
        <v>612</v>
      </c>
      <c r="B613">
        <v>13</v>
      </c>
      <c r="C613" t="s">
        <v>1000</v>
      </c>
      <c r="D613" t="s">
        <v>507</v>
      </c>
      <c r="E613" t="s">
        <v>1553</v>
      </c>
      <c r="F613">
        <v>10</v>
      </c>
      <c r="G613" t="s">
        <v>1035</v>
      </c>
      <c r="H613" t="s">
        <v>1035</v>
      </c>
      <c r="I613" t="s">
        <v>1028</v>
      </c>
      <c r="J613" t="s">
        <v>1035</v>
      </c>
      <c r="K613">
        <v>612</v>
      </c>
      <c r="L613" t="str">
        <f t="shared" si="18"/>
        <v>Ko Kieft</v>
      </c>
      <c r="M613" s="69" t="str">
        <f>IFERROR(VLOOKUP(E613,RISK!A:B,2,FALSE()),"")</f>
        <v/>
      </c>
      <c r="N613" s="43" t="e">
        <f t="shared" si="19"/>
        <v>#N/A</v>
      </c>
    </row>
    <row r="614" spans="1:14" ht="14.25" customHeight="1" x14ac:dyDescent="0.3">
      <c r="A614">
        <v>613</v>
      </c>
      <c r="B614">
        <v>13</v>
      </c>
      <c r="C614" t="s">
        <v>1839</v>
      </c>
      <c r="D614" t="s">
        <v>517</v>
      </c>
      <c r="E614" t="s">
        <v>1384</v>
      </c>
      <c r="F614">
        <v>11</v>
      </c>
      <c r="G614" t="s">
        <v>1035</v>
      </c>
      <c r="H614" t="s">
        <v>1035</v>
      </c>
      <c r="I614" t="s">
        <v>1032</v>
      </c>
      <c r="J614" t="s">
        <v>1035</v>
      </c>
      <c r="K614">
        <v>613</v>
      </c>
      <c r="L614" t="str">
        <f t="shared" si="18"/>
        <v>Montorie Foster Jr.</v>
      </c>
      <c r="M614" s="69">
        <f>IFERROR(VLOOKUP(E614,RISK!A:B,2,FALSE()),"")</f>
        <v>3.848101265822784</v>
      </c>
      <c r="N614" s="43" t="e">
        <f t="shared" si="19"/>
        <v>#N/A</v>
      </c>
    </row>
    <row r="615" spans="1:14" ht="14.25" customHeight="1" x14ac:dyDescent="0.3">
      <c r="A615">
        <v>614</v>
      </c>
      <c r="B615">
        <v>13</v>
      </c>
      <c r="C615" t="s">
        <v>1716</v>
      </c>
      <c r="D615" t="s">
        <v>471</v>
      </c>
      <c r="E615" t="s">
        <v>1554</v>
      </c>
      <c r="F615">
        <v>7</v>
      </c>
      <c r="G615" t="s">
        <v>1035</v>
      </c>
      <c r="H615" t="s">
        <v>1035</v>
      </c>
      <c r="I615" t="s">
        <v>1032</v>
      </c>
      <c r="J615" t="s">
        <v>1035</v>
      </c>
      <c r="K615">
        <v>614</v>
      </c>
      <c r="L615" t="str">
        <f t="shared" si="18"/>
        <v>Keleki Latu</v>
      </c>
      <c r="M615" s="69" t="str">
        <f>IFERROR(VLOOKUP(E615,RISK!A:B,2,FALSE()),"")</f>
        <v/>
      </c>
      <c r="N615" s="43" t="e">
        <f t="shared" si="19"/>
        <v>#N/A</v>
      </c>
    </row>
    <row r="616" spans="1:14" ht="14.25" customHeight="1" x14ac:dyDescent="0.3">
      <c r="A616">
        <v>615</v>
      </c>
      <c r="B616">
        <v>13</v>
      </c>
      <c r="C616" t="s">
        <v>1477</v>
      </c>
      <c r="D616" t="s">
        <v>491</v>
      </c>
      <c r="E616" t="s">
        <v>1356</v>
      </c>
      <c r="F616">
        <v>14</v>
      </c>
      <c r="G616" t="s">
        <v>1035</v>
      </c>
      <c r="H616" t="s">
        <v>1035</v>
      </c>
      <c r="I616" t="s">
        <v>1029</v>
      </c>
      <c r="J616" t="s">
        <v>1035</v>
      </c>
      <c r="K616">
        <v>615</v>
      </c>
      <c r="L616" t="str">
        <f t="shared" si="18"/>
        <v>Israel Abanikanda</v>
      </c>
      <c r="M616" s="69">
        <f>IFERROR(VLOOKUP(E616,RISK!A:B,2,FALSE()),"")</f>
        <v>4</v>
      </c>
      <c r="N616" s="43" t="e">
        <f t="shared" si="19"/>
        <v>#N/A</v>
      </c>
    </row>
    <row r="617" spans="1:14" ht="14.25" customHeight="1" x14ac:dyDescent="0.3">
      <c r="A617">
        <v>616</v>
      </c>
      <c r="B617">
        <v>13</v>
      </c>
      <c r="C617" t="s">
        <v>1677</v>
      </c>
      <c r="D617" t="s">
        <v>517</v>
      </c>
      <c r="E617" t="s">
        <v>1556</v>
      </c>
      <c r="F617">
        <v>11</v>
      </c>
      <c r="G617" t="s">
        <v>1035</v>
      </c>
      <c r="H617" t="s">
        <v>1035</v>
      </c>
      <c r="I617" t="s">
        <v>1032</v>
      </c>
      <c r="J617" t="s">
        <v>1035</v>
      </c>
      <c r="K617">
        <v>616</v>
      </c>
      <c r="L617" t="str">
        <f t="shared" si="18"/>
        <v>Nick Kallerup</v>
      </c>
      <c r="M617" s="69" t="str">
        <f>IFERROR(VLOOKUP(E617,RISK!A:B,2,FALSE()),"")</f>
        <v/>
      </c>
      <c r="N617" s="43" t="e">
        <f t="shared" si="19"/>
        <v>#N/A</v>
      </c>
    </row>
    <row r="618" spans="1:14" ht="14.25" customHeight="1" x14ac:dyDescent="0.3">
      <c r="A618">
        <v>617</v>
      </c>
      <c r="B618">
        <v>13</v>
      </c>
      <c r="C618" t="s">
        <v>693</v>
      </c>
      <c r="D618" t="s">
        <v>531</v>
      </c>
      <c r="E618" t="s">
        <v>1557</v>
      </c>
      <c r="F618">
        <v>13</v>
      </c>
      <c r="G618" t="s">
        <v>1035</v>
      </c>
      <c r="H618" t="s">
        <v>1035</v>
      </c>
      <c r="I618" t="s">
        <v>1032</v>
      </c>
      <c r="J618" t="s">
        <v>1035</v>
      </c>
      <c r="K618">
        <v>617</v>
      </c>
      <c r="L618" t="str">
        <f t="shared" si="18"/>
        <v>Connor Heyward</v>
      </c>
      <c r="M618" s="69" t="str">
        <f>IFERROR(VLOOKUP(E618,RISK!A:B,2,FALSE()),"")</f>
        <v/>
      </c>
      <c r="N618" s="43" t="e">
        <f t="shared" si="19"/>
        <v>#N/A</v>
      </c>
    </row>
    <row r="619" spans="1:14" ht="14.25" customHeight="1" x14ac:dyDescent="0.3">
      <c r="A619">
        <v>618</v>
      </c>
      <c r="B619">
        <v>13</v>
      </c>
      <c r="C619" t="s">
        <v>1545</v>
      </c>
      <c r="D619" t="s">
        <v>509</v>
      </c>
      <c r="E619" t="s">
        <v>1563</v>
      </c>
      <c r="F619">
        <v>6</v>
      </c>
      <c r="G619" t="s">
        <v>1035</v>
      </c>
      <c r="H619" t="s">
        <v>1035</v>
      </c>
      <c r="I619" t="s">
        <v>1029</v>
      </c>
      <c r="J619" t="s">
        <v>1035</v>
      </c>
      <c r="K619">
        <v>618</v>
      </c>
      <c r="L619" t="str">
        <f t="shared" si="18"/>
        <v>Ben Yurosek</v>
      </c>
      <c r="M619" s="69" t="str">
        <f>IFERROR(VLOOKUP(E619,RISK!A:B,2,FALSE()),"")</f>
        <v/>
      </c>
      <c r="N619" s="43" t="e">
        <f t="shared" si="19"/>
        <v>#N/A</v>
      </c>
    </row>
    <row r="620" spans="1:14" ht="14.25" customHeight="1" x14ac:dyDescent="0.3">
      <c r="A620">
        <v>619</v>
      </c>
      <c r="B620">
        <v>13</v>
      </c>
      <c r="C620" t="s">
        <v>1496</v>
      </c>
      <c r="D620" t="s">
        <v>507</v>
      </c>
      <c r="E620" t="s">
        <v>1387</v>
      </c>
      <c r="F620">
        <v>10</v>
      </c>
      <c r="G620" t="s">
        <v>1035</v>
      </c>
      <c r="H620" t="s">
        <v>1035</v>
      </c>
      <c r="I620" t="s">
        <v>1029</v>
      </c>
      <c r="J620" t="s">
        <v>1035</v>
      </c>
      <c r="K620">
        <v>619</v>
      </c>
      <c r="L620" t="str">
        <f t="shared" si="18"/>
        <v>David Sills V</v>
      </c>
      <c r="M620" s="69">
        <f>IFERROR(VLOOKUP(E620,RISK!A:B,2,FALSE()),"")</f>
        <v>3.848101265822784</v>
      </c>
      <c r="N620" s="43" t="e">
        <f t="shared" si="19"/>
        <v>#N/A</v>
      </c>
    </row>
    <row r="621" spans="1:14" ht="14.25" customHeight="1" x14ac:dyDescent="0.3">
      <c r="A621">
        <v>620</v>
      </c>
      <c r="B621">
        <v>13</v>
      </c>
      <c r="C621" t="s">
        <v>1493</v>
      </c>
      <c r="D621" t="s">
        <v>1124</v>
      </c>
      <c r="E621" t="s">
        <v>1389</v>
      </c>
      <c r="F621" t="s">
        <v>1035</v>
      </c>
      <c r="G621" t="s">
        <v>1035</v>
      </c>
      <c r="H621" t="s">
        <v>1035</v>
      </c>
      <c r="I621" t="s">
        <v>1035</v>
      </c>
      <c r="J621" t="s">
        <v>1035</v>
      </c>
      <c r="K621">
        <v>620</v>
      </c>
      <c r="L621" t="str">
        <f t="shared" si="18"/>
        <v>Van Jefferson</v>
      </c>
      <c r="M621" s="69">
        <f>IFERROR(VLOOKUP(E621,RISK!A:B,2,FALSE()),"")</f>
        <v>3.848101265822784</v>
      </c>
      <c r="N621" s="43" t="e">
        <f t="shared" si="19"/>
        <v>#N/A</v>
      </c>
    </row>
    <row r="622" spans="1:14" ht="14.25" customHeight="1" x14ac:dyDescent="0.3">
      <c r="A622">
        <v>621</v>
      </c>
      <c r="B622">
        <v>13</v>
      </c>
      <c r="C622" t="s">
        <v>877</v>
      </c>
      <c r="D622" t="s">
        <v>529</v>
      </c>
      <c r="E622" t="s">
        <v>1390</v>
      </c>
      <c r="F622">
        <v>9</v>
      </c>
      <c r="G622" t="s">
        <v>1035</v>
      </c>
      <c r="H622" t="s">
        <v>1035</v>
      </c>
      <c r="I622" t="s">
        <v>1032</v>
      </c>
      <c r="J622" t="s">
        <v>1035</v>
      </c>
      <c r="K622">
        <v>621</v>
      </c>
      <c r="L622" t="str">
        <f t="shared" si="18"/>
        <v>Ben Skowronek</v>
      </c>
      <c r="M622" s="69">
        <f>IFERROR(VLOOKUP(E622,RISK!A:B,2,FALSE()),"")</f>
        <v>3.848101265822784</v>
      </c>
      <c r="N622" s="43" t="e">
        <f t="shared" si="19"/>
        <v>#N/A</v>
      </c>
    </row>
    <row r="623" spans="1:14" ht="14.25" customHeight="1" x14ac:dyDescent="0.3">
      <c r="A623">
        <v>622</v>
      </c>
      <c r="B623">
        <v>13</v>
      </c>
      <c r="C623" t="s">
        <v>1829</v>
      </c>
      <c r="D623" t="s">
        <v>1124</v>
      </c>
      <c r="E623" t="s">
        <v>1357</v>
      </c>
      <c r="F623" t="s">
        <v>1035</v>
      </c>
      <c r="G623" t="s">
        <v>1035</v>
      </c>
      <c r="H623" t="s">
        <v>1035</v>
      </c>
      <c r="I623" t="s">
        <v>1035</v>
      </c>
      <c r="J623" t="s">
        <v>1035</v>
      </c>
      <c r="K623">
        <v>622</v>
      </c>
      <c r="L623" t="str">
        <f t="shared" si="18"/>
        <v>Dante Miller</v>
      </c>
      <c r="M623" s="69">
        <f>IFERROR(VLOOKUP(E623,RISK!A:B,2,FALSE()),"")</f>
        <v>4</v>
      </c>
      <c r="N623" s="43" t="e">
        <f t="shared" si="19"/>
        <v>#N/A</v>
      </c>
    </row>
    <row r="624" spans="1:14" ht="14.25" customHeight="1" x14ac:dyDescent="0.3">
      <c r="A624">
        <v>623</v>
      </c>
      <c r="B624">
        <v>13</v>
      </c>
      <c r="C624" t="s">
        <v>896</v>
      </c>
      <c r="D624" t="s">
        <v>475</v>
      </c>
      <c r="E624" t="s">
        <v>1391</v>
      </c>
      <c r="F624">
        <v>13</v>
      </c>
      <c r="G624" t="s">
        <v>1035</v>
      </c>
      <c r="H624" t="s">
        <v>1035</v>
      </c>
      <c r="I624" t="s">
        <v>1029</v>
      </c>
      <c r="J624" t="s">
        <v>1035</v>
      </c>
      <c r="K624">
        <v>623</v>
      </c>
      <c r="L624" t="str">
        <f t="shared" si="18"/>
        <v>LaJohntay Wester</v>
      </c>
      <c r="M624" s="69">
        <f>IFERROR(VLOOKUP(E624,RISK!A:B,2,FALSE()),"")</f>
        <v>3.848101265822784</v>
      </c>
      <c r="N624" s="43" t="e">
        <f t="shared" si="19"/>
        <v>#N/A</v>
      </c>
    </row>
    <row r="625" spans="1:14" ht="14.25" customHeight="1" x14ac:dyDescent="0.3">
      <c r="A625">
        <v>624</v>
      </c>
      <c r="B625">
        <v>13</v>
      </c>
      <c r="C625" t="s">
        <v>894</v>
      </c>
      <c r="D625" t="s">
        <v>509</v>
      </c>
      <c r="E625" t="s">
        <v>1394</v>
      </c>
      <c r="F625">
        <v>6</v>
      </c>
      <c r="G625" t="s">
        <v>1035</v>
      </c>
      <c r="H625" t="s">
        <v>1035</v>
      </c>
      <c r="I625" t="s">
        <v>1027</v>
      </c>
      <c r="J625" t="s">
        <v>1035</v>
      </c>
      <c r="K625">
        <v>624</v>
      </c>
      <c r="L625" t="str">
        <f t="shared" si="18"/>
        <v>Jeshaun Jones</v>
      </c>
      <c r="M625" s="69">
        <f>IFERROR(VLOOKUP(E625,RISK!A:B,2,FALSE()),"")</f>
        <v>3.848101265822784</v>
      </c>
      <c r="N625" s="43" t="e">
        <f t="shared" si="19"/>
        <v>#N/A</v>
      </c>
    </row>
    <row r="626" spans="1:14" ht="14.25" customHeight="1" x14ac:dyDescent="0.3">
      <c r="A626">
        <v>625</v>
      </c>
      <c r="B626">
        <v>13</v>
      </c>
      <c r="C626" t="s">
        <v>1558</v>
      </c>
      <c r="D626" t="s">
        <v>495</v>
      </c>
      <c r="E626" t="s">
        <v>1395</v>
      </c>
      <c r="F626">
        <v>10</v>
      </c>
      <c r="G626" t="s">
        <v>1035</v>
      </c>
      <c r="H626" t="s">
        <v>1035</v>
      </c>
      <c r="I626" t="s">
        <v>1032</v>
      </c>
      <c r="J626" t="s">
        <v>1035</v>
      </c>
      <c r="K626">
        <v>625</v>
      </c>
      <c r="L626" t="str">
        <f t="shared" si="18"/>
        <v>Ray-Ray McCloud III</v>
      </c>
      <c r="M626" s="69">
        <f>IFERROR(VLOOKUP(E626,RISK!A:B,2,FALSE()),"")</f>
        <v>3.848101265822784</v>
      </c>
      <c r="N626" s="43" t="e">
        <f t="shared" si="19"/>
        <v>#N/A</v>
      </c>
    </row>
    <row r="627" spans="1:14" ht="14.25" customHeight="1" x14ac:dyDescent="0.3">
      <c r="A627">
        <v>626</v>
      </c>
      <c r="B627">
        <v>13</v>
      </c>
      <c r="C627" t="s">
        <v>1008</v>
      </c>
      <c r="D627" t="s">
        <v>1124</v>
      </c>
      <c r="E627" t="s">
        <v>1571</v>
      </c>
      <c r="F627" t="s">
        <v>1035</v>
      </c>
      <c r="G627" t="s">
        <v>1035</v>
      </c>
      <c r="H627" t="s">
        <v>1035</v>
      </c>
      <c r="I627" t="s">
        <v>1035</v>
      </c>
      <c r="J627" t="s">
        <v>1035</v>
      </c>
      <c r="K627">
        <v>626</v>
      </c>
      <c r="L627" t="str">
        <f t="shared" si="18"/>
        <v>Jack Stoll</v>
      </c>
      <c r="M627" s="69" t="str">
        <f>IFERROR(VLOOKUP(E627,RISK!A:B,2,FALSE()),"")</f>
        <v/>
      </c>
      <c r="N627" s="43" t="e">
        <f t="shared" si="19"/>
        <v>#N/A</v>
      </c>
    </row>
    <row r="628" spans="1:14" ht="14.25" customHeight="1" x14ac:dyDescent="0.3">
      <c r="A628">
        <v>627</v>
      </c>
      <c r="B628">
        <v>13</v>
      </c>
      <c r="C628" t="s">
        <v>692</v>
      </c>
      <c r="D628" t="s">
        <v>499</v>
      </c>
      <c r="E628" t="s">
        <v>1570</v>
      </c>
      <c r="F628">
        <v>10</v>
      </c>
      <c r="G628" t="s">
        <v>1035</v>
      </c>
      <c r="H628" t="s">
        <v>1035</v>
      </c>
      <c r="I628" t="s">
        <v>1028</v>
      </c>
      <c r="J628" t="s">
        <v>1035</v>
      </c>
      <c r="K628">
        <v>627</v>
      </c>
      <c r="L628" t="str">
        <f t="shared" si="18"/>
        <v>Adam Prentice</v>
      </c>
      <c r="M628" s="69" t="str">
        <f>IFERROR(VLOOKUP(E628,RISK!A:B,2,FALSE()),"")</f>
        <v/>
      </c>
      <c r="N628" s="43" t="e">
        <f t="shared" si="19"/>
        <v>#N/A</v>
      </c>
    </row>
    <row r="629" spans="1:14" ht="14.25" customHeight="1" x14ac:dyDescent="0.3">
      <c r="A629">
        <v>628</v>
      </c>
      <c r="B629">
        <v>13</v>
      </c>
      <c r="C629" t="s">
        <v>575</v>
      </c>
      <c r="D629" t="s">
        <v>525</v>
      </c>
      <c r="E629" t="s">
        <v>1361</v>
      </c>
      <c r="F629">
        <v>9</v>
      </c>
      <c r="G629" t="s">
        <v>1035</v>
      </c>
      <c r="H629" t="s">
        <v>1035</v>
      </c>
      <c r="I629" t="s">
        <v>1032</v>
      </c>
      <c r="J629" t="s">
        <v>1035</v>
      </c>
      <c r="K629">
        <v>628</v>
      </c>
      <c r="L629" t="str">
        <f t="shared" si="18"/>
        <v>Mitchell Trubisky</v>
      </c>
      <c r="M629" s="69">
        <f>IFERROR(VLOOKUP(E629,RISK!A:B,2,FALSE()),"")</f>
        <v>3.2</v>
      </c>
      <c r="N629" s="43" t="e">
        <f t="shared" si="19"/>
        <v>#N/A</v>
      </c>
    </row>
    <row r="630" spans="1:14" ht="14.25" customHeight="1" x14ac:dyDescent="0.3">
      <c r="A630">
        <v>629</v>
      </c>
      <c r="B630">
        <v>13</v>
      </c>
      <c r="C630" t="s">
        <v>1892</v>
      </c>
      <c r="D630" t="s">
        <v>517</v>
      </c>
      <c r="E630" t="s">
        <v>1564</v>
      </c>
      <c r="F630">
        <v>11</v>
      </c>
      <c r="G630" t="s">
        <v>1035</v>
      </c>
      <c r="H630" t="s">
        <v>1035</v>
      </c>
      <c r="I630" t="s">
        <v>1032</v>
      </c>
      <c r="J630" t="s">
        <v>1035</v>
      </c>
      <c r="K630">
        <v>629</v>
      </c>
      <c r="L630" t="str">
        <f t="shared" si="18"/>
        <v>Emmanuel Henderson Jr.</v>
      </c>
      <c r="M630" s="69" t="str">
        <f>IFERROR(VLOOKUP(E630,RISK!A:B,2,FALSE()),"")</f>
        <v/>
      </c>
      <c r="N630" s="43" t="e">
        <f t="shared" si="19"/>
        <v>#N/A</v>
      </c>
    </row>
    <row r="631" spans="1:14" ht="14.25" customHeight="1" x14ac:dyDescent="0.3">
      <c r="A631">
        <v>630</v>
      </c>
      <c r="B631">
        <v>13</v>
      </c>
      <c r="C631" t="s">
        <v>1581</v>
      </c>
      <c r="D631" t="s">
        <v>479</v>
      </c>
      <c r="E631" t="s">
        <v>1575</v>
      </c>
      <c r="F631">
        <v>7</v>
      </c>
      <c r="G631" t="s">
        <v>1035</v>
      </c>
      <c r="H631" t="s">
        <v>1035</v>
      </c>
      <c r="I631" t="s">
        <v>1031</v>
      </c>
      <c r="J631" t="s">
        <v>1035</v>
      </c>
      <c r="K631">
        <v>630</v>
      </c>
      <c r="L631" t="str">
        <f t="shared" si="18"/>
        <v>Colson Yankoff</v>
      </c>
      <c r="M631" s="69" t="str">
        <f>IFERROR(VLOOKUP(E631,RISK!A:B,2,FALSE()),"")</f>
        <v/>
      </c>
      <c r="N631" s="43" t="e">
        <f t="shared" si="19"/>
        <v>#N/A</v>
      </c>
    </row>
    <row r="632" spans="1:14" ht="14.25" customHeight="1" x14ac:dyDescent="0.3">
      <c r="A632">
        <v>631</v>
      </c>
      <c r="B632">
        <v>13</v>
      </c>
      <c r="C632" t="s">
        <v>888</v>
      </c>
      <c r="D632" t="s">
        <v>531</v>
      </c>
      <c r="E632" t="s">
        <v>1565</v>
      </c>
      <c r="F632">
        <v>13</v>
      </c>
      <c r="G632" t="s">
        <v>1035</v>
      </c>
      <c r="H632" t="s">
        <v>1035</v>
      </c>
      <c r="I632" t="s">
        <v>1028</v>
      </c>
      <c r="J632" t="s">
        <v>1035</v>
      </c>
      <c r="K632">
        <v>631</v>
      </c>
      <c r="L632" t="str">
        <f t="shared" si="18"/>
        <v>Dareke Young</v>
      </c>
      <c r="M632" s="69" t="str">
        <f>IFERROR(VLOOKUP(E632,RISK!A:B,2,FALSE()),"")</f>
        <v/>
      </c>
      <c r="N632" s="43" t="e">
        <f t="shared" si="19"/>
        <v>#N/A</v>
      </c>
    </row>
    <row r="633" spans="1:14" ht="14.25" customHeight="1" x14ac:dyDescent="0.3">
      <c r="A633">
        <v>632</v>
      </c>
      <c r="B633">
        <v>13</v>
      </c>
      <c r="C633" t="s">
        <v>1009</v>
      </c>
      <c r="D633" t="s">
        <v>489</v>
      </c>
      <c r="E633" t="s">
        <v>1578</v>
      </c>
      <c r="F633">
        <v>7</v>
      </c>
      <c r="G633" t="s">
        <v>1035</v>
      </c>
      <c r="H633" t="s">
        <v>1035</v>
      </c>
      <c r="I633" t="s">
        <v>1032</v>
      </c>
      <c r="J633" t="s">
        <v>1035</v>
      </c>
      <c r="K633">
        <v>632</v>
      </c>
      <c r="L633" t="str">
        <f t="shared" si="18"/>
        <v>Quintin Morris</v>
      </c>
      <c r="M633" s="69" t="str">
        <f>IFERROR(VLOOKUP(E633,RISK!A:B,2,FALSE()),"")</f>
        <v/>
      </c>
      <c r="N633" s="43" t="e">
        <f t="shared" si="19"/>
        <v>#N/A</v>
      </c>
    </row>
    <row r="634" spans="1:14" ht="14.25" customHeight="1" x14ac:dyDescent="0.3">
      <c r="A634">
        <v>633</v>
      </c>
      <c r="B634">
        <v>13</v>
      </c>
      <c r="C634" t="s">
        <v>1683</v>
      </c>
      <c r="D634" t="s">
        <v>485</v>
      </c>
      <c r="E634" t="s">
        <v>1567</v>
      </c>
      <c r="F634">
        <v>8</v>
      </c>
      <c r="G634" t="s">
        <v>1035</v>
      </c>
      <c r="H634" t="s">
        <v>1035</v>
      </c>
      <c r="I634" t="s">
        <v>1029</v>
      </c>
      <c r="J634" t="s">
        <v>1035</v>
      </c>
      <c r="K634">
        <v>633</v>
      </c>
      <c r="L634" t="str">
        <f t="shared" si="18"/>
        <v>Jalin Hyatt</v>
      </c>
      <c r="M634" s="69" t="str">
        <f>IFERROR(VLOOKUP(E634,RISK!A:B,2,FALSE()),"")</f>
        <v/>
      </c>
      <c r="N634" s="43" t="e">
        <f t="shared" si="19"/>
        <v>#N/A</v>
      </c>
    </row>
    <row r="635" spans="1:14" ht="14.25" customHeight="1" x14ac:dyDescent="0.3">
      <c r="A635">
        <v>634</v>
      </c>
      <c r="B635">
        <v>13</v>
      </c>
      <c r="C635" t="s">
        <v>897</v>
      </c>
      <c r="D635" t="s">
        <v>483</v>
      </c>
      <c r="E635" t="s">
        <v>1569</v>
      </c>
      <c r="F635">
        <v>6</v>
      </c>
      <c r="G635" t="s">
        <v>1035</v>
      </c>
      <c r="H635" t="s">
        <v>1035</v>
      </c>
      <c r="I635" t="s">
        <v>1029</v>
      </c>
      <c r="J635" t="s">
        <v>1035</v>
      </c>
      <c r="K635">
        <v>634</v>
      </c>
      <c r="L635" t="str">
        <f t="shared" si="18"/>
        <v>Ke'Shawn Williams</v>
      </c>
      <c r="M635" s="69" t="str">
        <f>IFERROR(VLOOKUP(E635,RISK!A:B,2,FALSE()),"")</f>
        <v/>
      </c>
      <c r="N635" s="43" t="e">
        <f t="shared" si="19"/>
        <v>#N/A</v>
      </c>
    </row>
    <row r="636" spans="1:14" ht="14.25" customHeight="1" x14ac:dyDescent="0.3">
      <c r="A636">
        <v>635</v>
      </c>
      <c r="B636">
        <v>13</v>
      </c>
      <c r="C636" t="s">
        <v>1988</v>
      </c>
      <c r="D636" t="s">
        <v>1124</v>
      </c>
      <c r="E636" t="s">
        <v>1573</v>
      </c>
      <c r="F636" t="s">
        <v>1035</v>
      </c>
      <c r="G636" t="s">
        <v>1035</v>
      </c>
      <c r="H636" t="s">
        <v>1035</v>
      </c>
      <c r="I636" t="s">
        <v>1035</v>
      </c>
      <c r="J636" t="s">
        <v>1035</v>
      </c>
      <c r="K636">
        <v>635</v>
      </c>
      <c r="L636" t="str">
        <f t="shared" si="18"/>
        <v>Kaleb Jackson</v>
      </c>
      <c r="M636" s="69" t="str">
        <f>IFERROR(VLOOKUP(E636,RISK!A:B,2,FALSE()),"")</f>
        <v/>
      </c>
      <c r="N636" s="43" t="e">
        <f t="shared" si="19"/>
        <v>#N/A</v>
      </c>
    </row>
    <row r="637" spans="1:14" ht="14.25" customHeight="1" x14ac:dyDescent="0.3">
      <c r="A637">
        <v>636</v>
      </c>
      <c r="B637">
        <v>13</v>
      </c>
      <c r="C637" t="s">
        <v>1761</v>
      </c>
      <c r="D637" t="s">
        <v>495</v>
      </c>
      <c r="E637" t="s">
        <v>1579</v>
      </c>
      <c r="F637">
        <v>10</v>
      </c>
      <c r="G637" t="s">
        <v>1035</v>
      </c>
      <c r="H637" t="s">
        <v>1035</v>
      </c>
      <c r="I637" t="s">
        <v>1028</v>
      </c>
      <c r="J637" t="s">
        <v>1035</v>
      </c>
      <c r="K637">
        <v>636</v>
      </c>
      <c r="L637" t="str">
        <f t="shared" si="18"/>
        <v>Hayden Large</v>
      </c>
      <c r="M637" s="69" t="str">
        <f>IFERROR(VLOOKUP(E637,RISK!A:B,2,FALSE()),"")</f>
        <v/>
      </c>
      <c r="N637" s="43" t="e">
        <f t="shared" si="19"/>
        <v>#N/A</v>
      </c>
    </row>
    <row r="638" spans="1:14" ht="14.25" customHeight="1" x14ac:dyDescent="0.3">
      <c r="A638">
        <v>637</v>
      </c>
      <c r="B638">
        <v>13</v>
      </c>
      <c r="C638" t="s">
        <v>699</v>
      </c>
      <c r="D638" t="s">
        <v>519</v>
      </c>
      <c r="E638" t="s">
        <v>1576</v>
      </c>
      <c r="F638">
        <v>8</v>
      </c>
      <c r="G638" t="s">
        <v>1035</v>
      </c>
      <c r="H638" t="s">
        <v>1035</v>
      </c>
      <c r="I638" t="s">
        <v>1029</v>
      </c>
      <c r="J638" t="s">
        <v>1035</v>
      </c>
      <c r="K638">
        <v>637</v>
      </c>
      <c r="L638" t="str">
        <f t="shared" si="18"/>
        <v>British Brooks</v>
      </c>
      <c r="M638" s="69" t="str">
        <f>IFERROR(VLOOKUP(E638,RISK!A:B,2,FALSE()),"")</f>
        <v/>
      </c>
      <c r="N638" s="43" t="e">
        <f t="shared" si="19"/>
        <v>#N/A</v>
      </c>
    </row>
    <row r="639" spans="1:14" ht="14.25" customHeight="1" x14ac:dyDescent="0.3">
      <c r="A639">
        <v>638</v>
      </c>
      <c r="B639">
        <v>13</v>
      </c>
      <c r="C639" t="s">
        <v>550</v>
      </c>
      <c r="D639" t="s">
        <v>499</v>
      </c>
      <c r="E639" t="s">
        <v>1364</v>
      </c>
      <c r="F639">
        <v>10</v>
      </c>
      <c r="G639" t="s">
        <v>1035</v>
      </c>
      <c r="H639" t="s">
        <v>1035</v>
      </c>
      <c r="I639" t="s">
        <v>1032</v>
      </c>
      <c r="J639" t="s">
        <v>1035</v>
      </c>
      <c r="K639">
        <v>638</v>
      </c>
      <c r="L639" t="str">
        <f t="shared" si="18"/>
        <v>Jarrett Stidham</v>
      </c>
      <c r="M639" s="69">
        <f>IFERROR(VLOOKUP(E639,RISK!A:B,2,FALSE()),"")</f>
        <v>3.2</v>
      </c>
      <c r="N639" s="43" t="e">
        <f t="shared" si="19"/>
        <v>#N/A</v>
      </c>
    </row>
    <row r="640" spans="1:14" ht="14.25" customHeight="1" x14ac:dyDescent="0.3">
      <c r="A640">
        <v>639</v>
      </c>
      <c r="B640">
        <v>13</v>
      </c>
      <c r="C640" t="s">
        <v>1418</v>
      </c>
      <c r="D640" t="s">
        <v>505</v>
      </c>
      <c r="E640" t="s">
        <v>1588</v>
      </c>
      <c r="F640">
        <v>8</v>
      </c>
      <c r="G640" t="s">
        <v>1035</v>
      </c>
      <c r="H640" t="s">
        <v>1035</v>
      </c>
      <c r="I640" t="s">
        <v>1032</v>
      </c>
      <c r="J640" t="s">
        <v>1035</v>
      </c>
      <c r="K640">
        <v>639</v>
      </c>
      <c r="L640" t="str">
        <f t="shared" si="18"/>
        <v>CJ Donaldson</v>
      </c>
      <c r="M640" s="69" t="str">
        <f>IFERROR(VLOOKUP(E640,RISK!A:B,2,FALSE()),"")</f>
        <v/>
      </c>
      <c r="N640" s="43" t="e">
        <f t="shared" si="19"/>
        <v>#N/A</v>
      </c>
    </row>
    <row r="641" spans="1:14" ht="14.25" customHeight="1" x14ac:dyDescent="0.3">
      <c r="A641">
        <v>640</v>
      </c>
      <c r="B641">
        <v>13</v>
      </c>
      <c r="C641" t="s">
        <v>988</v>
      </c>
      <c r="D641" t="s">
        <v>1124</v>
      </c>
      <c r="E641" t="s">
        <v>1582</v>
      </c>
      <c r="F641" t="s">
        <v>1035</v>
      </c>
      <c r="G641" t="s">
        <v>1035</v>
      </c>
      <c r="H641" t="s">
        <v>1035</v>
      </c>
      <c r="I641" t="s">
        <v>1035</v>
      </c>
      <c r="J641" t="s">
        <v>1035</v>
      </c>
      <c r="K641">
        <v>640</v>
      </c>
      <c r="L641" t="str">
        <f t="shared" si="18"/>
        <v>Devin Culp</v>
      </c>
      <c r="M641" s="69" t="str">
        <f>IFERROR(VLOOKUP(E641,RISK!A:B,2,FALSE()),"")</f>
        <v/>
      </c>
      <c r="N641" s="43" t="e">
        <f t="shared" si="19"/>
        <v>#N/A</v>
      </c>
    </row>
    <row r="642" spans="1:14" ht="14.25" customHeight="1" x14ac:dyDescent="0.3">
      <c r="A642">
        <v>641</v>
      </c>
      <c r="B642">
        <v>13</v>
      </c>
      <c r="C642" t="s">
        <v>562</v>
      </c>
      <c r="D642" t="s">
        <v>505</v>
      </c>
      <c r="E642" t="s">
        <v>1369</v>
      </c>
      <c r="F642">
        <v>8</v>
      </c>
      <c r="G642" t="s">
        <v>1035</v>
      </c>
      <c r="H642" t="s">
        <v>1035</v>
      </c>
      <c r="I642" t="s">
        <v>1032</v>
      </c>
      <c r="J642" t="s">
        <v>1035</v>
      </c>
      <c r="K642">
        <v>641</v>
      </c>
      <c r="L642" t="str">
        <f t="shared" ref="L642:L705" si="20">C642</f>
        <v>Spencer Rattler</v>
      </c>
      <c r="M642" s="69">
        <f>IFERROR(VLOOKUP(E642,RISK!A:B,2,FALSE()),"")</f>
        <v>3.2</v>
      </c>
      <c r="N642" s="43" t="e">
        <f t="shared" si="19"/>
        <v>#N/A</v>
      </c>
    </row>
    <row r="643" spans="1:14" ht="14.25" customHeight="1" x14ac:dyDescent="0.3">
      <c r="A643">
        <v>642</v>
      </c>
      <c r="B643">
        <v>13</v>
      </c>
      <c r="C643" t="s">
        <v>563</v>
      </c>
      <c r="D643" t="s">
        <v>491</v>
      </c>
      <c r="E643" t="s">
        <v>1374</v>
      </c>
      <c r="F643">
        <v>14</v>
      </c>
      <c r="G643" t="s">
        <v>1035</v>
      </c>
      <c r="H643" t="s">
        <v>1035</v>
      </c>
      <c r="I643" t="s">
        <v>1028</v>
      </c>
      <c r="J643" t="s">
        <v>1035</v>
      </c>
      <c r="K643">
        <v>642</v>
      </c>
      <c r="L643" t="str">
        <f t="shared" si="20"/>
        <v>Sam Howell</v>
      </c>
      <c r="M643" s="69">
        <f>IFERROR(VLOOKUP(E643,RISK!A:B,2,FALSE()),"")</f>
        <v>3.2</v>
      </c>
      <c r="N643" s="43" t="e">
        <f t="shared" ref="N643:N706" si="21">VLOOKUP(E643,Q:R,2,FALSE)</f>
        <v>#N/A</v>
      </c>
    </row>
    <row r="644" spans="1:14" ht="14.25" customHeight="1" x14ac:dyDescent="0.3">
      <c r="A644">
        <v>643</v>
      </c>
      <c r="B644">
        <v>13</v>
      </c>
      <c r="C644" t="s">
        <v>1404</v>
      </c>
      <c r="D644" t="s">
        <v>485</v>
      </c>
      <c r="E644" t="s">
        <v>1584</v>
      </c>
      <c r="F644">
        <v>8</v>
      </c>
      <c r="G644" t="s">
        <v>1035</v>
      </c>
      <c r="H644" t="s">
        <v>1035</v>
      </c>
      <c r="I644" t="s">
        <v>1032</v>
      </c>
      <c r="J644" t="s">
        <v>1035</v>
      </c>
      <c r="K644">
        <v>643</v>
      </c>
      <c r="L644" t="str">
        <f t="shared" si="20"/>
        <v>Thomas Fidone II</v>
      </c>
      <c r="M644" s="69" t="str">
        <f>IFERROR(VLOOKUP(E644,RISK!A:B,2,FALSE()),"")</f>
        <v/>
      </c>
      <c r="N644" s="43" t="e">
        <f t="shared" si="21"/>
        <v>#N/A</v>
      </c>
    </row>
    <row r="645" spans="1:14" ht="14.25" customHeight="1" x14ac:dyDescent="0.3">
      <c r="A645">
        <v>644</v>
      </c>
      <c r="B645">
        <v>13</v>
      </c>
      <c r="C645" t="s">
        <v>884</v>
      </c>
      <c r="D645" t="s">
        <v>527</v>
      </c>
      <c r="E645" t="s">
        <v>1577</v>
      </c>
      <c r="F645">
        <v>14</v>
      </c>
      <c r="G645" t="s">
        <v>1035</v>
      </c>
      <c r="H645" t="s">
        <v>1035</v>
      </c>
      <c r="I645" t="s">
        <v>1028</v>
      </c>
      <c r="J645" t="s">
        <v>1035</v>
      </c>
      <c r="K645">
        <v>644</v>
      </c>
      <c r="L645" t="str">
        <f t="shared" si="20"/>
        <v>Devin Duvernay</v>
      </c>
      <c r="M645" s="69" t="str">
        <f>IFERROR(VLOOKUP(E645,RISK!A:B,2,FALSE()),"")</f>
        <v/>
      </c>
      <c r="N645" s="43" t="e">
        <f t="shared" si="21"/>
        <v>#N/A</v>
      </c>
    </row>
    <row r="646" spans="1:14" ht="14.25" customHeight="1" x14ac:dyDescent="0.3">
      <c r="A646">
        <v>645</v>
      </c>
      <c r="B646">
        <v>13</v>
      </c>
      <c r="C646" t="s">
        <v>1511</v>
      </c>
      <c r="D646" t="s">
        <v>1124</v>
      </c>
      <c r="E646" t="s">
        <v>1590</v>
      </c>
      <c r="F646" t="s">
        <v>1035</v>
      </c>
      <c r="G646" t="s">
        <v>1035</v>
      </c>
      <c r="H646" t="s">
        <v>1035</v>
      </c>
      <c r="I646" t="s">
        <v>1035</v>
      </c>
      <c r="J646" t="s">
        <v>1035</v>
      </c>
      <c r="K646">
        <v>645</v>
      </c>
      <c r="L646" t="str">
        <f t="shared" si="20"/>
        <v>Eric Gray</v>
      </c>
      <c r="M646" s="69" t="str">
        <f>IFERROR(VLOOKUP(E646,RISK!A:B,2,FALSE()),"")</f>
        <v/>
      </c>
      <c r="N646" s="43" t="e">
        <f t="shared" si="21"/>
        <v>#N/A</v>
      </c>
    </row>
    <row r="647" spans="1:14" ht="14.25" customHeight="1" x14ac:dyDescent="0.3">
      <c r="A647">
        <v>646</v>
      </c>
      <c r="B647">
        <v>13</v>
      </c>
      <c r="C647" t="s">
        <v>1685</v>
      </c>
      <c r="D647" t="s">
        <v>1124</v>
      </c>
      <c r="E647" t="s">
        <v>1580</v>
      </c>
      <c r="F647" t="s">
        <v>1035</v>
      </c>
      <c r="G647" t="s">
        <v>1035</v>
      </c>
      <c r="H647" t="s">
        <v>1035</v>
      </c>
      <c r="I647" t="s">
        <v>1035</v>
      </c>
      <c r="J647" t="s">
        <v>1035</v>
      </c>
      <c r="K647">
        <v>646</v>
      </c>
      <c r="L647" t="str">
        <f t="shared" si="20"/>
        <v>Curtis Samuel</v>
      </c>
      <c r="M647" s="69" t="str">
        <f>IFERROR(VLOOKUP(E647,RISK!A:B,2,FALSE()),"")</f>
        <v/>
      </c>
      <c r="N647" s="43" t="e">
        <f t="shared" si="21"/>
        <v>#N/A</v>
      </c>
    </row>
    <row r="648" spans="1:14" ht="14.25" customHeight="1" x14ac:dyDescent="0.3">
      <c r="A648">
        <v>647</v>
      </c>
      <c r="B648">
        <v>13</v>
      </c>
      <c r="C648" t="s">
        <v>1669</v>
      </c>
      <c r="D648" t="s">
        <v>1124</v>
      </c>
      <c r="E648" t="s">
        <v>1583</v>
      </c>
      <c r="F648" t="s">
        <v>1035</v>
      </c>
      <c r="G648" t="s">
        <v>1035</v>
      </c>
      <c r="H648" t="s">
        <v>1035</v>
      </c>
      <c r="I648" t="s">
        <v>1035</v>
      </c>
      <c r="J648" t="s">
        <v>1035</v>
      </c>
      <c r="K648">
        <v>647</v>
      </c>
      <c r="L648" t="str">
        <f t="shared" si="20"/>
        <v>Noah Brown</v>
      </c>
      <c r="M648" s="69" t="str">
        <f>IFERROR(VLOOKUP(E648,RISK!A:B,2,FALSE()),"")</f>
        <v/>
      </c>
      <c r="N648" s="43" t="e">
        <f t="shared" si="21"/>
        <v>#N/A</v>
      </c>
    </row>
    <row r="649" spans="1:14" ht="14.25" customHeight="1" x14ac:dyDescent="0.3">
      <c r="A649">
        <v>648</v>
      </c>
      <c r="B649">
        <v>14</v>
      </c>
      <c r="C649" t="s">
        <v>554</v>
      </c>
      <c r="D649" t="s">
        <v>477</v>
      </c>
      <c r="E649" t="s">
        <v>1386</v>
      </c>
      <c r="F649">
        <v>11</v>
      </c>
      <c r="G649" t="s">
        <v>1035</v>
      </c>
      <c r="H649" t="s">
        <v>1035</v>
      </c>
      <c r="I649" t="s">
        <v>1028</v>
      </c>
      <c r="J649" t="s">
        <v>1035</v>
      </c>
      <c r="K649">
        <v>648</v>
      </c>
      <c r="L649" t="str">
        <f t="shared" si="20"/>
        <v>Tommy DeVito</v>
      </c>
      <c r="M649" s="69">
        <f>IFERROR(VLOOKUP(E649,RISK!A:B,2,FALSE()),"")</f>
        <v>3.2</v>
      </c>
      <c r="N649" s="43" t="e">
        <f t="shared" si="21"/>
        <v>#N/A</v>
      </c>
    </row>
    <row r="650" spans="1:14" ht="14.25" customHeight="1" x14ac:dyDescent="0.3">
      <c r="A650">
        <v>649</v>
      </c>
      <c r="B650">
        <v>14</v>
      </c>
      <c r="C650" t="s">
        <v>565</v>
      </c>
      <c r="D650" t="s">
        <v>481</v>
      </c>
      <c r="E650" t="s">
        <v>1393</v>
      </c>
      <c r="F650">
        <v>10</v>
      </c>
      <c r="G650" t="s">
        <v>1035</v>
      </c>
      <c r="H650" t="s">
        <v>1035</v>
      </c>
      <c r="I650" t="s">
        <v>1027</v>
      </c>
      <c r="J650" t="s">
        <v>1035</v>
      </c>
      <c r="K650">
        <v>649</v>
      </c>
      <c r="L650" t="str">
        <f t="shared" si="20"/>
        <v>Andy Dalton</v>
      </c>
      <c r="M650" s="69">
        <f>IFERROR(VLOOKUP(E650,RISK!A:B,2,FALSE()),"")</f>
        <v>3.2</v>
      </c>
      <c r="N650" s="43" t="e">
        <f t="shared" si="21"/>
        <v>#N/A</v>
      </c>
    </row>
    <row r="651" spans="1:14" ht="14.25" customHeight="1" x14ac:dyDescent="0.3">
      <c r="A651">
        <v>650</v>
      </c>
      <c r="B651">
        <v>14</v>
      </c>
      <c r="C651" t="s">
        <v>999</v>
      </c>
      <c r="D651" t="s">
        <v>507</v>
      </c>
      <c r="E651" t="s">
        <v>1589</v>
      </c>
      <c r="F651">
        <v>10</v>
      </c>
      <c r="G651" t="s">
        <v>1035</v>
      </c>
      <c r="H651" t="s">
        <v>1035</v>
      </c>
      <c r="I651" t="s">
        <v>1028</v>
      </c>
      <c r="J651" t="s">
        <v>1035</v>
      </c>
      <c r="K651">
        <v>650</v>
      </c>
      <c r="L651" t="str">
        <f t="shared" si="20"/>
        <v>CJ Dippre</v>
      </c>
      <c r="M651" s="69" t="str">
        <f>IFERROR(VLOOKUP(E651,RISK!A:B,2,FALSE()),"")</f>
        <v/>
      </c>
      <c r="N651" s="43" t="e">
        <f t="shared" si="21"/>
        <v>#N/A</v>
      </c>
    </row>
    <row r="652" spans="1:14" ht="14.25" customHeight="1" x14ac:dyDescent="0.3">
      <c r="A652">
        <v>651</v>
      </c>
      <c r="B652">
        <v>14</v>
      </c>
      <c r="C652" t="s">
        <v>553</v>
      </c>
      <c r="D652" t="s">
        <v>503</v>
      </c>
      <c r="E652" t="s">
        <v>1396</v>
      </c>
      <c r="F652">
        <v>6</v>
      </c>
      <c r="G652" t="s">
        <v>1035</v>
      </c>
      <c r="H652" t="s">
        <v>1035</v>
      </c>
      <c r="I652" t="s">
        <v>1027</v>
      </c>
      <c r="J652" t="s">
        <v>1035</v>
      </c>
      <c r="K652">
        <v>651</v>
      </c>
      <c r="L652" t="str">
        <f t="shared" si="20"/>
        <v>Joshua Dobbs</v>
      </c>
      <c r="M652" s="69">
        <f>IFERROR(VLOOKUP(E652,RISK!A:B,2,FALSE()),"")</f>
        <v>3.2</v>
      </c>
      <c r="N652" s="43" t="e">
        <f t="shared" si="21"/>
        <v>#N/A</v>
      </c>
    </row>
    <row r="653" spans="1:14" ht="14.25" customHeight="1" x14ac:dyDescent="0.3">
      <c r="A653">
        <v>652</v>
      </c>
      <c r="B653">
        <v>14</v>
      </c>
      <c r="C653" t="s">
        <v>893</v>
      </c>
      <c r="D653" t="s">
        <v>1124</v>
      </c>
      <c r="E653" t="s">
        <v>1585</v>
      </c>
      <c r="F653" t="s">
        <v>1035</v>
      </c>
      <c r="G653" t="s">
        <v>1035</v>
      </c>
      <c r="H653" t="s">
        <v>1035</v>
      </c>
      <c r="I653" t="s">
        <v>1035</v>
      </c>
      <c r="J653" t="s">
        <v>1035</v>
      </c>
      <c r="K653">
        <v>652</v>
      </c>
      <c r="L653" t="str">
        <f t="shared" si="20"/>
        <v>Anthony Gould</v>
      </c>
      <c r="M653" s="69" t="str">
        <f>IFERROR(VLOOKUP(E653,RISK!A:B,2,FALSE()),"")</f>
        <v/>
      </c>
      <c r="N653" s="43" t="e">
        <f t="shared" si="21"/>
        <v>#N/A</v>
      </c>
    </row>
    <row r="654" spans="1:14" ht="14.25" customHeight="1" x14ac:dyDescent="0.3">
      <c r="A654">
        <v>653</v>
      </c>
      <c r="B654">
        <v>14</v>
      </c>
      <c r="C654" t="s">
        <v>578</v>
      </c>
      <c r="D654" t="s">
        <v>529</v>
      </c>
      <c r="E654" t="s">
        <v>1397</v>
      </c>
      <c r="F654">
        <v>9</v>
      </c>
      <c r="G654" t="s">
        <v>1035</v>
      </c>
      <c r="H654" t="s">
        <v>1035</v>
      </c>
      <c r="I654" t="s">
        <v>1028</v>
      </c>
      <c r="J654" t="s">
        <v>1035</v>
      </c>
      <c r="K654">
        <v>653</v>
      </c>
      <c r="L654" t="str">
        <f t="shared" si="20"/>
        <v>Mason Rudolph</v>
      </c>
      <c r="M654" s="69">
        <f>IFERROR(VLOOKUP(E654,RISK!A:B,2,FALSE()),"")</f>
        <v>3.2</v>
      </c>
      <c r="N654" s="43" t="e">
        <f t="shared" si="21"/>
        <v>#N/A</v>
      </c>
    </row>
    <row r="655" spans="1:14" ht="14.25" customHeight="1" x14ac:dyDescent="0.3">
      <c r="A655">
        <v>654</v>
      </c>
      <c r="B655">
        <v>14</v>
      </c>
      <c r="C655" t="s">
        <v>1981</v>
      </c>
      <c r="D655" t="s">
        <v>1124</v>
      </c>
      <c r="E655" t="s">
        <v>1587</v>
      </c>
      <c r="F655" t="s">
        <v>1035</v>
      </c>
      <c r="G655" t="s">
        <v>1035</v>
      </c>
      <c r="H655" t="s">
        <v>1035</v>
      </c>
      <c r="I655" t="s">
        <v>1035</v>
      </c>
      <c r="J655" t="s">
        <v>1035</v>
      </c>
      <c r="K655">
        <v>654</v>
      </c>
      <c r="L655" t="str">
        <f t="shared" si="20"/>
        <v>Diontae Johnson</v>
      </c>
      <c r="M655" s="69" t="str">
        <f>IFERROR(VLOOKUP(E655,RISK!A:B,2,FALSE()),"")</f>
        <v/>
      </c>
      <c r="N655" s="43" t="e">
        <f t="shared" si="21"/>
        <v>#N/A</v>
      </c>
    </row>
    <row r="656" spans="1:14" ht="14.25" customHeight="1" x14ac:dyDescent="0.3">
      <c r="A656">
        <v>655</v>
      </c>
      <c r="B656">
        <v>14</v>
      </c>
      <c r="C656" t="s">
        <v>1500</v>
      </c>
      <c r="D656" t="s">
        <v>533</v>
      </c>
      <c r="E656" t="s">
        <v>1614</v>
      </c>
      <c r="F656">
        <v>11</v>
      </c>
      <c r="G656" t="s">
        <v>1035</v>
      </c>
      <c r="H656" t="s">
        <v>1035</v>
      </c>
      <c r="I656" t="s">
        <v>1028</v>
      </c>
      <c r="J656" t="s">
        <v>1035</v>
      </c>
      <c r="K656">
        <v>655</v>
      </c>
      <c r="L656" t="str">
        <f t="shared" si="20"/>
        <v>Cash Jones</v>
      </c>
      <c r="M656" s="69" t="str">
        <f>IFERROR(VLOOKUP(E656,RISK!A:B,2,FALSE()),"")</f>
        <v/>
      </c>
      <c r="N656" s="43" t="e">
        <f t="shared" si="21"/>
        <v>#N/A</v>
      </c>
    </row>
    <row r="657" spans="1:14" ht="14.25" customHeight="1" x14ac:dyDescent="0.3">
      <c r="A657">
        <v>656</v>
      </c>
      <c r="B657">
        <v>14</v>
      </c>
      <c r="C657" t="s">
        <v>966</v>
      </c>
      <c r="D657" t="s">
        <v>475</v>
      </c>
      <c r="E657" t="s">
        <v>1591</v>
      </c>
      <c r="F657">
        <v>13</v>
      </c>
      <c r="G657" t="s">
        <v>1035</v>
      </c>
      <c r="H657" t="s">
        <v>1035</v>
      </c>
      <c r="I657" t="s">
        <v>1029</v>
      </c>
      <c r="J657" t="s">
        <v>1035</v>
      </c>
      <c r="K657">
        <v>656</v>
      </c>
      <c r="L657" t="str">
        <f t="shared" si="20"/>
        <v>Nick Vannett</v>
      </c>
      <c r="M657" s="69" t="str">
        <f>IFERROR(VLOOKUP(E657,RISK!A:B,2,FALSE()),"")</f>
        <v/>
      </c>
      <c r="N657" s="43" t="e">
        <f t="shared" si="21"/>
        <v>#N/A</v>
      </c>
    </row>
    <row r="658" spans="1:14" ht="14.25" customHeight="1" x14ac:dyDescent="0.3">
      <c r="A658">
        <v>657</v>
      </c>
      <c r="B658">
        <v>14</v>
      </c>
      <c r="C658" t="s">
        <v>1623</v>
      </c>
      <c r="D658" t="s">
        <v>479</v>
      </c>
      <c r="E658" t="s">
        <v>1594</v>
      </c>
      <c r="F658">
        <v>7</v>
      </c>
      <c r="G658" t="s">
        <v>1035</v>
      </c>
      <c r="H658" t="s">
        <v>1035</v>
      </c>
      <c r="I658" t="s">
        <v>1031</v>
      </c>
      <c r="J658">
        <v>-348</v>
      </c>
      <c r="K658">
        <v>657</v>
      </c>
      <c r="L658" t="str">
        <f t="shared" si="20"/>
        <v>Jack Westover</v>
      </c>
      <c r="M658" s="69" t="str">
        <f>IFERROR(VLOOKUP(E658,RISK!A:B,2,FALSE()),"")</f>
        <v/>
      </c>
      <c r="N658" s="43" t="e">
        <f t="shared" si="21"/>
        <v>#N/A</v>
      </c>
    </row>
    <row r="659" spans="1:14" ht="14.25" customHeight="1" x14ac:dyDescent="0.3">
      <c r="A659">
        <v>658</v>
      </c>
      <c r="B659">
        <v>14</v>
      </c>
      <c r="C659" t="s">
        <v>1774</v>
      </c>
      <c r="D659" t="s">
        <v>535</v>
      </c>
      <c r="E659" t="s">
        <v>1398</v>
      </c>
      <c r="F659">
        <v>11</v>
      </c>
      <c r="G659" t="s">
        <v>1035</v>
      </c>
      <c r="H659" t="s">
        <v>1035</v>
      </c>
      <c r="I659" t="s">
        <v>1029</v>
      </c>
      <c r="J659" t="s">
        <v>1035</v>
      </c>
      <c r="K659">
        <v>658</v>
      </c>
      <c r="L659" t="str">
        <f t="shared" si="20"/>
        <v>Dillon Gabriel</v>
      </c>
      <c r="M659" s="69">
        <f>IFERROR(VLOOKUP(E659,RISK!A:B,2,FALSE()),"")</f>
        <v>3.2</v>
      </c>
      <c r="N659" s="43" t="e">
        <f t="shared" si="21"/>
        <v>#N/A</v>
      </c>
    </row>
    <row r="660" spans="1:14" ht="14.25" customHeight="1" x14ac:dyDescent="0.3">
      <c r="A660">
        <v>659</v>
      </c>
      <c r="B660">
        <v>14</v>
      </c>
      <c r="C660" t="s">
        <v>1813</v>
      </c>
      <c r="D660" t="s">
        <v>513</v>
      </c>
      <c r="E660" t="s">
        <v>1399</v>
      </c>
      <c r="F660">
        <v>6</v>
      </c>
      <c r="G660" t="s">
        <v>1035</v>
      </c>
      <c r="H660" t="s">
        <v>1035</v>
      </c>
      <c r="I660" t="s">
        <v>1032</v>
      </c>
      <c r="J660" t="s">
        <v>1035</v>
      </c>
      <c r="K660">
        <v>659</v>
      </c>
      <c r="L660" t="str">
        <f t="shared" si="20"/>
        <v>Kyle McCord</v>
      </c>
      <c r="M660" s="69">
        <f>IFERROR(VLOOKUP(E660,RISK!A:B,2,FALSE()),"")</f>
        <v>3.2</v>
      </c>
      <c r="N660" s="43" t="e">
        <f t="shared" si="21"/>
        <v>#N/A</v>
      </c>
    </row>
    <row r="661" spans="1:14" ht="14.25" customHeight="1" x14ac:dyDescent="0.3">
      <c r="A661">
        <v>660</v>
      </c>
      <c r="B661">
        <v>14</v>
      </c>
      <c r="C661" t="s">
        <v>1505</v>
      </c>
      <c r="D661" t="s">
        <v>487</v>
      </c>
      <c r="E661" t="s">
        <v>1631</v>
      </c>
      <c r="F661">
        <v>8</v>
      </c>
      <c r="G661" t="s">
        <v>1035</v>
      </c>
      <c r="H661" t="s">
        <v>1035</v>
      </c>
      <c r="I661" t="s">
        <v>1028</v>
      </c>
      <c r="J661" t="s">
        <v>1035</v>
      </c>
      <c r="K661">
        <v>660</v>
      </c>
      <c r="L661" t="str">
        <f t="shared" si="20"/>
        <v>Sincere McCormick</v>
      </c>
      <c r="M661" s="69" t="str">
        <f>IFERROR(VLOOKUP(E661,RISK!A:B,2,FALSE()),"")</f>
        <v/>
      </c>
      <c r="N661" s="43" t="e">
        <f t="shared" si="21"/>
        <v>#N/A</v>
      </c>
    </row>
    <row r="662" spans="1:14" ht="14.25" customHeight="1" x14ac:dyDescent="0.3">
      <c r="A662">
        <v>661</v>
      </c>
      <c r="B662">
        <v>14</v>
      </c>
      <c r="C662" t="s">
        <v>1846</v>
      </c>
      <c r="D662" t="s">
        <v>1124</v>
      </c>
      <c r="E662" t="s">
        <v>1639</v>
      </c>
      <c r="F662" t="s">
        <v>1035</v>
      </c>
      <c r="G662" t="s">
        <v>1035</v>
      </c>
      <c r="H662" t="s">
        <v>1035</v>
      </c>
      <c r="I662" t="s">
        <v>1035</v>
      </c>
      <c r="J662" t="s">
        <v>1035</v>
      </c>
      <c r="K662">
        <v>661</v>
      </c>
      <c r="L662" t="str">
        <f t="shared" si="20"/>
        <v>Raheem Blackshear</v>
      </c>
      <c r="M662" s="69" t="str">
        <f>IFERROR(VLOOKUP(E662,RISK!A:B,2,FALSE()),"")</f>
        <v/>
      </c>
      <c r="N662" s="43" t="e">
        <f t="shared" si="21"/>
        <v>#N/A</v>
      </c>
    </row>
    <row r="663" spans="1:14" ht="14.25" customHeight="1" x14ac:dyDescent="0.3">
      <c r="A663">
        <v>662</v>
      </c>
      <c r="B663">
        <v>14</v>
      </c>
      <c r="C663" t="s">
        <v>1417</v>
      </c>
      <c r="D663" t="s">
        <v>501</v>
      </c>
      <c r="E663" t="s">
        <v>1658</v>
      </c>
      <c r="F663">
        <v>11</v>
      </c>
      <c r="G663" t="s">
        <v>1035</v>
      </c>
      <c r="H663" t="s">
        <v>1035</v>
      </c>
      <c r="I663" t="s">
        <v>1027</v>
      </c>
      <c r="J663" t="s">
        <v>1035</v>
      </c>
      <c r="K663">
        <v>662</v>
      </c>
      <c r="L663" t="str">
        <f t="shared" si="20"/>
        <v>Dean Connors</v>
      </c>
      <c r="M663" s="69" t="str">
        <f>IFERROR(VLOOKUP(E663,RISK!A:B,2,FALSE()),"")</f>
        <v/>
      </c>
      <c r="N663" s="43" t="e">
        <f t="shared" si="21"/>
        <v>#N/A</v>
      </c>
    </row>
    <row r="664" spans="1:14" ht="14.25" customHeight="1" x14ac:dyDescent="0.3">
      <c r="A664">
        <v>663</v>
      </c>
      <c r="B664">
        <v>14</v>
      </c>
      <c r="C664" t="s">
        <v>1486</v>
      </c>
      <c r="D664" t="s">
        <v>513</v>
      </c>
      <c r="E664" t="s">
        <v>1595</v>
      </c>
      <c r="F664">
        <v>6</v>
      </c>
      <c r="G664" t="s">
        <v>1035</v>
      </c>
      <c r="H664" t="s">
        <v>1035</v>
      </c>
      <c r="I664" t="s">
        <v>1027</v>
      </c>
      <c r="J664" t="s">
        <v>1035</v>
      </c>
      <c r="K664">
        <v>663</v>
      </c>
      <c r="L664" t="str">
        <f t="shared" si="20"/>
        <v>Cole Turner</v>
      </c>
      <c r="M664" s="69" t="str">
        <f>IFERROR(VLOOKUP(E664,RISK!A:B,2,FALSE()),"")</f>
        <v/>
      </c>
      <c r="N664" s="43" t="e">
        <f t="shared" si="21"/>
        <v>#N/A</v>
      </c>
    </row>
    <row r="665" spans="1:14" ht="14.25" customHeight="1" x14ac:dyDescent="0.3">
      <c r="A665">
        <v>664</v>
      </c>
      <c r="B665">
        <v>14</v>
      </c>
      <c r="C665" t="s">
        <v>1721</v>
      </c>
      <c r="D665" t="s">
        <v>1124</v>
      </c>
      <c r="E665" t="s">
        <v>1596</v>
      </c>
      <c r="F665" t="s">
        <v>1035</v>
      </c>
      <c r="G665" t="s">
        <v>1035</v>
      </c>
      <c r="H665" t="s">
        <v>1035</v>
      </c>
      <c r="I665" t="s">
        <v>1035</v>
      </c>
      <c r="J665" t="s">
        <v>1035</v>
      </c>
      <c r="K665">
        <v>664</v>
      </c>
      <c r="L665" t="str">
        <f t="shared" si="20"/>
        <v>Miles Kitselman</v>
      </c>
      <c r="M665" s="69" t="str">
        <f>IFERROR(VLOOKUP(E665,RISK!A:B,2,FALSE()),"")</f>
        <v/>
      </c>
      <c r="N665" s="43" t="e">
        <f t="shared" si="21"/>
        <v>#N/A</v>
      </c>
    </row>
    <row r="666" spans="1:14" ht="14.25" customHeight="1" x14ac:dyDescent="0.3">
      <c r="A666">
        <v>665</v>
      </c>
      <c r="B666">
        <v>14</v>
      </c>
      <c r="C666" t="s">
        <v>1861</v>
      </c>
      <c r="D666" t="s">
        <v>515</v>
      </c>
      <c r="E666" t="s">
        <v>1605</v>
      </c>
      <c r="F666">
        <v>11</v>
      </c>
      <c r="G666" t="s">
        <v>1035</v>
      </c>
      <c r="H666" t="s">
        <v>1035</v>
      </c>
      <c r="I666" t="s">
        <v>1028</v>
      </c>
      <c r="J666" t="s">
        <v>1035</v>
      </c>
      <c r="K666">
        <v>665</v>
      </c>
      <c r="L666" t="str">
        <f t="shared" si="20"/>
        <v>Mark Redman</v>
      </c>
      <c r="M666" s="69" t="str">
        <f>IFERROR(VLOOKUP(E666,RISK!A:B,2,FALSE()),"")</f>
        <v/>
      </c>
      <c r="N666" s="43" t="e">
        <f t="shared" si="21"/>
        <v>#N/A</v>
      </c>
    </row>
    <row r="667" spans="1:14" ht="14.25" customHeight="1" x14ac:dyDescent="0.3">
      <c r="A667">
        <v>666</v>
      </c>
      <c r="B667">
        <v>14</v>
      </c>
      <c r="C667" t="s">
        <v>1635</v>
      </c>
      <c r="D667" t="s">
        <v>477</v>
      </c>
      <c r="E667" t="s">
        <v>1612</v>
      </c>
      <c r="F667">
        <v>11</v>
      </c>
      <c r="G667" t="s">
        <v>1035</v>
      </c>
      <c r="H667" t="s">
        <v>1035</v>
      </c>
      <c r="I667" t="s">
        <v>1029</v>
      </c>
      <c r="J667" t="s">
        <v>1035</v>
      </c>
      <c r="K667">
        <v>666</v>
      </c>
      <c r="L667" t="str">
        <f t="shared" si="20"/>
        <v>Tanner Arkin</v>
      </c>
      <c r="M667" s="69" t="str">
        <f>IFERROR(VLOOKUP(E667,RISK!A:B,2,FALSE()),"")</f>
        <v/>
      </c>
      <c r="N667" s="43" t="e">
        <f t="shared" si="21"/>
        <v>#N/A</v>
      </c>
    </row>
    <row r="668" spans="1:14" ht="14.25" customHeight="1" x14ac:dyDescent="0.3">
      <c r="A668">
        <v>667</v>
      </c>
      <c r="B668">
        <v>14</v>
      </c>
      <c r="C668" t="s">
        <v>1990</v>
      </c>
      <c r="D668" t="s">
        <v>489</v>
      </c>
      <c r="E668" t="s">
        <v>1592</v>
      </c>
      <c r="F668">
        <v>7</v>
      </c>
      <c r="G668" t="s">
        <v>1035</v>
      </c>
      <c r="H668" t="s">
        <v>1035</v>
      </c>
      <c r="I668" t="s">
        <v>1029</v>
      </c>
      <c r="J668">
        <v>-333</v>
      </c>
      <c r="K668">
        <v>667</v>
      </c>
      <c r="L668" t="str">
        <f t="shared" si="20"/>
        <v>CJ Williams</v>
      </c>
      <c r="M668" s="69" t="str">
        <f>IFERROR(VLOOKUP(E668,RISK!A:B,2,FALSE()),"")</f>
        <v/>
      </c>
      <c r="N668" s="43" t="e">
        <f t="shared" si="21"/>
        <v>#N/A</v>
      </c>
    </row>
    <row r="669" spans="1:14" ht="14.25" customHeight="1" x14ac:dyDescent="0.3">
      <c r="A669">
        <v>668</v>
      </c>
      <c r="B669">
        <v>14</v>
      </c>
      <c r="C669" t="s">
        <v>1679</v>
      </c>
      <c r="D669" t="s">
        <v>515</v>
      </c>
      <c r="E669" t="s">
        <v>1680</v>
      </c>
      <c r="F669">
        <v>11</v>
      </c>
      <c r="G669" t="s">
        <v>1035</v>
      </c>
      <c r="H669" t="s">
        <v>1035</v>
      </c>
      <c r="I669" t="s">
        <v>1029</v>
      </c>
      <c r="J669" t="s">
        <v>1035</v>
      </c>
      <c r="K669">
        <v>668</v>
      </c>
      <c r="L669" t="str">
        <f t="shared" si="20"/>
        <v>Pierre Strong Jr.</v>
      </c>
      <c r="M669" s="69" t="str">
        <f>IFERROR(VLOOKUP(E669,RISK!A:B,2,FALSE()),"")</f>
        <v/>
      </c>
      <c r="N669" s="43" t="e">
        <f t="shared" si="21"/>
        <v>#N/A</v>
      </c>
    </row>
    <row r="670" spans="1:14" ht="14.25" customHeight="1" x14ac:dyDescent="0.3">
      <c r="A670">
        <v>669</v>
      </c>
      <c r="B670">
        <v>14</v>
      </c>
      <c r="C670" t="s">
        <v>1667</v>
      </c>
      <c r="D670" t="s">
        <v>513</v>
      </c>
      <c r="E670" t="s">
        <v>1593</v>
      </c>
      <c r="F670">
        <v>6</v>
      </c>
      <c r="G670" t="s">
        <v>1035</v>
      </c>
      <c r="H670" t="s">
        <v>1035</v>
      </c>
      <c r="I670" t="s">
        <v>1032</v>
      </c>
      <c r="J670" t="s">
        <v>1035</v>
      </c>
      <c r="K670">
        <v>669</v>
      </c>
      <c r="L670" t="str">
        <f t="shared" si="20"/>
        <v>Ryan Miller</v>
      </c>
      <c r="M670" s="69" t="str">
        <f>IFERROR(VLOOKUP(E670,RISK!A:B,2,FALSE()),"")</f>
        <v/>
      </c>
      <c r="N670" s="43" t="e">
        <f t="shared" si="21"/>
        <v>#N/A</v>
      </c>
    </row>
    <row r="671" spans="1:14" ht="14.25" customHeight="1" x14ac:dyDescent="0.3">
      <c r="A671">
        <v>670</v>
      </c>
      <c r="B671">
        <v>14</v>
      </c>
      <c r="C671" t="s">
        <v>1513</v>
      </c>
      <c r="D671" t="s">
        <v>1124</v>
      </c>
      <c r="E671" t="s">
        <v>1616</v>
      </c>
      <c r="F671" t="s">
        <v>1035</v>
      </c>
      <c r="G671" t="s">
        <v>1035</v>
      </c>
      <c r="H671" t="s">
        <v>1035</v>
      </c>
      <c r="I671" t="s">
        <v>1035</v>
      </c>
      <c r="J671" t="s">
        <v>1035</v>
      </c>
      <c r="K671">
        <v>670</v>
      </c>
      <c r="L671" t="str">
        <f t="shared" si="20"/>
        <v>Albert Okwuegbunam Jr.</v>
      </c>
      <c r="M671" s="69" t="str">
        <f>IFERROR(VLOOKUP(E671,RISK!A:B,2,FALSE()),"")</f>
        <v/>
      </c>
      <c r="N671" s="43" t="e">
        <f t="shared" si="21"/>
        <v>#N/A</v>
      </c>
    </row>
    <row r="672" spans="1:14" ht="14.25" customHeight="1" x14ac:dyDescent="0.3">
      <c r="A672">
        <v>671</v>
      </c>
      <c r="B672">
        <v>14</v>
      </c>
      <c r="C672" t="s">
        <v>1778</v>
      </c>
      <c r="D672" t="s">
        <v>509</v>
      </c>
      <c r="E672" t="s">
        <v>1434</v>
      </c>
      <c r="F672">
        <v>6</v>
      </c>
      <c r="G672" t="s">
        <v>1035</v>
      </c>
      <c r="H672" t="s">
        <v>1035</v>
      </c>
      <c r="I672" t="s">
        <v>1027</v>
      </c>
      <c r="J672" t="s">
        <v>1035</v>
      </c>
      <c r="K672">
        <v>671</v>
      </c>
      <c r="L672" t="str">
        <f t="shared" si="20"/>
        <v>Carson Wentz</v>
      </c>
      <c r="M672" s="69">
        <f>IFERROR(VLOOKUP(E672,RISK!A:B,2,FALSE()),"")</f>
        <v>3.2</v>
      </c>
      <c r="N672" s="43" t="e">
        <f t="shared" si="21"/>
        <v>#N/A</v>
      </c>
    </row>
    <row r="673" spans="1:14" ht="14.25" customHeight="1" x14ac:dyDescent="0.3">
      <c r="A673">
        <v>672</v>
      </c>
      <c r="B673">
        <v>14</v>
      </c>
      <c r="C673" t="s">
        <v>1516</v>
      </c>
      <c r="D673" t="s">
        <v>1124</v>
      </c>
      <c r="E673" t="s">
        <v>1699</v>
      </c>
      <c r="F673" t="s">
        <v>1035</v>
      </c>
      <c r="G673" t="s">
        <v>1035</v>
      </c>
      <c r="H673" t="s">
        <v>1035</v>
      </c>
      <c r="I673" t="s">
        <v>1035</v>
      </c>
      <c r="J673" t="s">
        <v>1035</v>
      </c>
      <c r="K673">
        <v>672</v>
      </c>
      <c r="L673" t="str">
        <f t="shared" si="20"/>
        <v>Alexander Mattison</v>
      </c>
      <c r="M673" s="69" t="str">
        <f>IFERROR(VLOOKUP(E673,RISK!A:B,2,FALSE()),"")</f>
        <v/>
      </c>
      <c r="N673" s="43" t="e">
        <f t="shared" si="21"/>
        <v>#N/A</v>
      </c>
    </row>
    <row r="674" spans="1:14" ht="14.25" customHeight="1" x14ac:dyDescent="0.3">
      <c r="A674">
        <v>673</v>
      </c>
      <c r="B674">
        <v>14</v>
      </c>
      <c r="C674" t="s">
        <v>560</v>
      </c>
      <c r="D674" t="s">
        <v>481</v>
      </c>
      <c r="E674" t="s">
        <v>1435</v>
      </c>
      <c r="F674">
        <v>10</v>
      </c>
      <c r="G674" t="s">
        <v>1035</v>
      </c>
      <c r="H674" t="s">
        <v>1035</v>
      </c>
      <c r="I674" t="s">
        <v>1027</v>
      </c>
      <c r="J674" t="s">
        <v>1035</v>
      </c>
      <c r="K674">
        <v>673</v>
      </c>
      <c r="L674" t="str">
        <f t="shared" si="20"/>
        <v>Tanner McKee</v>
      </c>
      <c r="M674" s="69">
        <f>IFERROR(VLOOKUP(E674,RISK!A:B,2,FALSE()),"")</f>
        <v>3.2</v>
      </c>
      <c r="N674" s="43" t="e">
        <f t="shared" si="21"/>
        <v>#N/A</v>
      </c>
    </row>
    <row r="675" spans="1:14" ht="14.25" customHeight="1" x14ac:dyDescent="0.3">
      <c r="A675">
        <v>674</v>
      </c>
      <c r="B675">
        <v>14</v>
      </c>
      <c r="C675" t="s">
        <v>548</v>
      </c>
      <c r="D675" t="s">
        <v>1124</v>
      </c>
      <c r="E675" t="s">
        <v>1436</v>
      </c>
      <c r="F675" t="s">
        <v>1035</v>
      </c>
      <c r="G675" t="s">
        <v>1035</v>
      </c>
      <c r="H675" t="s">
        <v>1035</v>
      </c>
      <c r="I675" t="s">
        <v>1035</v>
      </c>
      <c r="J675" t="s">
        <v>1035</v>
      </c>
      <c r="K675">
        <v>674</v>
      </c>
      <c r="L675" t="str">
        <f t="shared" si="20"/>
        <v>Will Levis</v>
      </c>
      <c r="M675" s="69">
        <f>IFERROR(VLOOKUP(E675,RISK!A:B,2,FALSE()),"")</f>
        <v>3.2</v>
      </c>
      <c r="N675" s="43" t="e">
        <f t="shared" si="21"/>
        <v>#N/A</v>
      </c>
    </row>
    <row r="676" spans="1:14" ht="14.25" customHeight="1" x14ac:dyDescent="0.3">
      <c r="A676">
        <v>675</v>
      </c>
      <c r="B676">
        <v>14</v>
      </c>
      <c r="C676" t="s">
        <v>1801</v>
      </c>
      <c r="D676" t="s">
        <v>505</v>
      </c>
      <c r="E676" t="s">
        <v>1437</v>
      </c>
      <c r="F676">
        <v>8</v>
      </c>
      <c r="G676" t="s">
        <v>1035</v>
      </c>
      <c r="H676" t="s">
        <v>1035</v>
      </c>
      <c r="I676" t="s">
        <v>1032</v>
      </c>
      <c r="J676" t="s">
        <v>1035</v>
      </c>
      <c r="K676">
        <v>675</v>
      </c>
      <c r="L676" t="str">
        <f t="shared" si="20"/>
        <v>Zach Wilson</v>
      </c>
      <c r="M676" s="69">
        <f>IFERROR(VLOOKUP(E676,RISK!A:B,2,FALSE()),"")</f>
        <v>3.2</v>
      </c>
      <c r="N676" s="43" t="e">
        <f t="shared" si="21"/>
        <v>#N/A</v>
      </c>
    </row>
    <row r="677" spans="1:14" ht="14.25" customHeight="1" x14ac:dyDescent="0.3">
      <c r="A677">
        <v>676</v>
      </c>
      <c r="B677">
        <v>14</v>
      </c>
      <c r="C677" t="s">
        <v>571</v>
      </c>
      <c r="D677" t="s">
        <v>493</v>
      </c>
      <c r="E677" t="s">
        <v>1438</v>
      </c>
      <c r="F677">
        <v>5</v>
      </c>
      <c r="G677" t="s">
        <v>1035</v>
      </c>
      <c r="H677" t="s">
        <v>1035</v>
      </c>
      <c r="I677" t="s">
        <v>1028</v>
      </c>
      <c r="J677" t="s">
        <v>1035</v>
      </c>
      <c r="K677">
        <v>676</v>
      </c>
      <c r="L677" t="str">
        <f t="shared" si="20"/>
        <v>Garrett Nussmeier</v>
      </c>
      <c r="M677" s="69">
        <f>IFERROR(VLOOKUP(E677,RISK!A:B,2,FALSE()),"")</f>
        <v>3.2</v>
      </c>
      <c r="N677" s="43" t="e">
        <f t="shared" si="21"/>
        <v>#N/A</v>
      </c>
    </row>
    <row r="678" spans="1:14" ht="14.25" customHeight="1" x14ac:dyDescent="0.3">
      <c r="A678">
        <v>677</v>
      </c>
      <c r="B678">
        <v>14</v>
      </c>
      <c r="C678" t="s">
        <v>1824</v>
      </c>
      <c r="D678" t="s">
        <v>495</v>
      </c>
      <c r="E678" t="s">
        <v>1439</v>
      </c>
      <c r="F678">
        <v>10</v>
      </c>
      <c r="G678" t="s">
        <v>1035</v>
      </c>
      <c r="H678" t="s">
        <v>1035</v>
      </c>
      <c r="I678" t="s">
        <v>1032</v>
      </c>
      <c r="J678" t="s">
        <v>1035</v>
      </c>
      <c r="K678">
        <v>677</v>
      </c>
      <c r="L678" t="str">
        <f t="shared" si="20"/>
        <v>Case Keenum</v>
      </c>
      <c r="M678" s="69">
        <f>IFERROR(VLOOKUP(E678,RISK!A:B,2,FALSE()),"")</f>
        <v>3.2</v>
      </c>
      <c r="N678" s="43" t="e">
        <f t="shared" si="21"/>
        <v>#N/A</v>
      </c>
    </row>
    <row r="679" spans="1:14" ht="14.25" customHeight="1" x14ac:dyDescent="0.3">
      <c r="A679">
        <v>678</v>
      </c>
      <c r="B679">
        <v>14</v>
      </c>
      <c r="C679" t="s">
        <v>1392</v>
      </c>
      <c r="D679" t="s">
        <v>533</v>
      </c>
      <c r="E679" t="s">
        <v>1440</v>
      </c>
      <c r="F679">
        <v>11</v>
      </c>
      <c r="G679" t="s">
        <v>1035</v>
      </c>
      <c r="H679" t="s">
        <v>1035</v>
      </c>
      <c r="I679" t="s">
        <v>1029</v>
      </c>
      <c r="J679" t="s">
        <v>1035</v>
      </c>
      <c r="K679">
        <v>678</v>
      </c>
      <c r="L679" t="str">
        <f t="shared" si="20"/>
        <v>Cooper Rush</v>
      </c>
      <c r="M679" s="69">
        <f>IFERROR(VLOOKUP(E679,RISK!A:B,2,FALSE()),"")</f>
        <v>3.2</v>
      </c>
      <c r="N679" s="43" t="e">
        <f t="shared" si="21"/>
        <v>#N/A</v>
      </c>
    </row>
    <row r="680" spans="1:14" ht="14.25" customHeight="1" x14ac:dyDescent="0.3">
      <c r="A680">
        <v>679</v>
      </c>
      <c r="B680">
        <v>14</v>
      </c>
      <c r="C680" t="s">
        <v>1414</v>
      </c>
      <c r="D680" t="s">
        <v>489</v>
      </c>
      <c r="E680" t="s">
        <v>1621</v>
      </c>
      <c r="F680">
        <v>7</v>
      </c>
      <c r="G680" t="s">
        <v>1035</v>
      </c>
      <c r="H680" t="s">
        <v>1035</v>
      </c>
      <c r="I680" t="s">
        <v>1032</v>
      </c>
      <c r="J680" t="s">
        <v>1035</v>
      </c>
      <c r="K680">
        <v>679</v>
      </c>
      <c r="L680" t="str">
        <f t="shared" si="20"/>
        <v>Hayden Rucci</v>
      </c>
      <c r="M680" s="69" t="str">
        <f>IFERROR(VLOOKUP(E680,RISK!A:B,2,FALSE()),"")</f>
        <v/>
      </c>
      <c r="N680" s="43" t="e">
        <f t="shared" si="21"/>
        <v>#N/A</v>
      </c>
    </row>
    <row r="681" spans="1:14" ht="14.25" customHeight="1" x14ac:dyDescent="0.3">
      <c r="A681">
        <v>680</v>
      </c>
      <c r="B681">
        <v>14</v>
      </c>
      <c r="C681" t="s">
        <v>1989</v>
      </c>
      <c r="D681" t="s">
        <v>1124</v>
      </c>
      <c r="E681" t="s">
        <v>1598</v>
      </c>
      <c r="F681" t="s">
        <v>1035</v>
      </c>
      <c r="G681" t="s">
        <v>1035</v>
      </c>
      <c r="H681" t="s">
        <v>1035</v>
      </c>
      <c r="I681" t="s">
        <v>1035</v>
      </c>
      <c r="J681" t="s">
        <v>1035</v>
      </c>
      <c r="K681">
        <v>680</v>
      </c>
      <c r="L681" t="str">
        <f t="shared" si="20"/>
        <v>Jermaine Burton</v>
      </c>
      <c r="M681" s="69" t="str">
        <f>IFERROR(VLOOKUP(E681,RISK!A:B,2,FALSE()),"")</f>
        <v/>
      </c>
      <c r="N681" s="43" t="e">
        <f t="shared" si="21"/>
        <v>#N/A</v>
      </c>
    </row>
    <row r="682" spans="1:14" ht="14.25" customHeight="1" x14ac:dyDescent="0.3">
      <c r="A682">
        <v>681</v>
      </c>
      <c r="B682">
        <v>14</v>
      </c>
      <c r="C682" t="s">
        <v>1991</v>
      </c>
      <c r="D682" t="s">
        <v>525</v>
      </c>
      <c r="E682" t="s">
        <v>1441</v>
      </c>
      <c r="F682">
        <v>9</v>
      </c>
      <c r="G682" t="s">
        <v>1035</v>
      </c>
      <c r="H682" t="s">
        <v>1035</v>
      </c>
      <c r="I682" t="s">
        <v>1032</v>
      </c>
      <c r="J682" t="s">
        <v>1035</v>
      </c>
      <c r="K682">
        <v>681</v>
      </c>
      <c r="L682" t="str">
        <f t="shared" si="20"/>
        <v>Hendon Hooker</v>
      </c>
      <c r="M682" s="69">
        <f>IFERROR(VLOOKUP(E682,RISK!A:B,2,FALSE()),"")</f>
        <v>3.2</v>
      </c>
      <c r="N682" s="43" t="e">
        <f t="shared" si="21"/>
        <v>#N/A</v>
      </c>
    </row>
    <row r="683" spans="1:14" ht="14.25" customHeight="1" x14ac:dyDescent="0.3">
      <c r="A683">
        <v>682</v>
      </c>
      <c r="B683">
        <v>14</v>
      </c>
      <c r="C683" t="s">
        <v>582</v>
      </c>
      <c r="D683" t="s">
        <v>531</v>
      </c>
      <c r="E683" t="s">
        <v>1779</v>
      </c>
      <c r="F683">
        <v>13</v>
      </c>
      <c r="G683" t="s">
        <v>1035</v>
      </c>
      <c r="H683" t="s">
        <v>1035</v>
      </c>
      <c r="I683" t="s">
        <v>1031</v>
      </c>
      <c r="J683" t="s">
        <v>1035</v>
      </c>
      <c r="K683">
        <v>682</v>
      </c>
      <c r="L683" t="str">
        <f t="shared" si="20"/>
        <v>Aidan O'Connell</v>
      </c>
      <c r="M683" s="69" t="str">
        <f>IFERROR(VLOOKUP(E683,RISK!A:B,2,FALSE()),"")</f>
        <v/>
      </c>
      <c r="N683" s="43" t="e">
        <f t="shared" si="21"/>
        <v>#N/A</v>
      </c>
    </row>
    <row r="684" spans="1:14" ht="14.25" customHeight="1" x14ac:dyDescent="0.3">
      <c r="A684">
        <v>683</v>
      </c>
      <c r="B684">
        <v>14</v>
      </c>
      <c r="C684" t="s">
        <v>1675</v>
      </c>
      <c r="D684" t="s">
        <v>487</v>
      </c>
      <c r="E684" t="s">
        <v>1600</v>
      </c>
      <c r="F684">
        <v>8</v>
      </c>
      <c r="G684" t="s">
        <v>1035</v>
      </c>
      <c r="H684" t="s">
        <v>1035</v>
      </c>
      <c r="I684" t="s">
        <v>1028</v>
      </c>
      <c r="J684" t="s">
        <v>1035</v>
      </c>
      <c r="K684">
        <v>683</v>
      </c>
      <c r="L684" t="str">
        <f t="shared" si="20"/>
        <v>KhaDarel Hodge</v>
      </c>
      <c r="M684" s="69" t="str">
        <f>IFERROR(VLOOKUP(E684,RISK!A:B,2,FALSE()),"")</f>
        <v/>
      </c>
      <c r="N684" s="43" t="e">
        <f t="shared" si="21"/>
        <v>#N/A</v>
      </c>
    </row>
    <row r="685" spans="1:14" ht="14.25" customHeight="1" x14ac:dyDescent="0.3">
      <c r="A685">
        <v>684</v>
      </c>
      <c r="B685">
        <v>14</v>
      </c>
      <c r="C685" t="s">
        <v>1426</v>
      </c>
      <c r="D685" t="s">
        <v>493</v>
      </c>
      <c r="E685" t="s">
        <v>1604</v>
      </c>
      <c r="F685">
        <v>5</v>
      </c>
      <c r="G685" t="s">
        <v>1035</v>
      </c>
      <c r="H685" t="s">
        <v>1035</v>
      </c>
      <c r="I685" t="s">
        <v>1028</v>
      </c>
      <c r="J685" t="s">
        <v>1035</v>
      </c>
      <c r="K685">
        <v>684</v>
      </c>
      <c r="L685" t="str">
        <f t="shared" si="20"/>
        <v>Jeff Caldwell</v>
      </c>
      <c r="M685" s="69" t="str">
        <f>IFERROR(VLOOKUP(E685,RISK!A:B,2,FALSE()),"")</f>
        <v/>
      </c>
      <c r="N685" s="43" t="e">
        <f t="shared" si="21"/>
        <v>#N/A</v>
      </c>
    </row>
    <row r="686" spans="1:14" ht="14.25" customHeight="1" x14ac:dyDescent="0.3">
      <c r="A686">
        <v>685</v>
      </c>
      <c r="B686">
        <v>14</v>
      </c>
      <c r="C686" t="s">
        <v>1611</v>
      </c>
      <c r="D686" t="s">
        <v>525</v>
      </c>
      <c r="E686" t="s">
        <v>1622</v>
      </c>
      <c r="F686">
        <v>9</v>
      </c>
      <c r="G686" t="s">
        <v>1035</v>
      </c>
      <c r="H686" t="s">
        <v>1035</v>
      </c>
      <c r="I686" t="s">
        <v>1032</v>
      </c>
      <c r="J686" t="s">
        <v>1035</v>
      </c>
      <c r="K686">
        <v>685</v>
      </c>
      <c r="L686" t="str">
        <f t="shared" si="20"/>
        <v>David Martin-Robinson</v>
      </c>
      <c r="M686" s="69" t="str">
        <f>IFERROR(VLOOKUP(E686,RISK!A:B,2,FALSE()),"")</f>
        <v/>
      </c>
      <c r="N686" s="43" t="e">
        <f t="shared" si="21"/>
        <v>#N/A</v>
      </c>
    </row>
    <row r="687" spans="1:14" ht="14.25" customHeight="1" x14ac:dyDescent="0.3">
      <c r="A687">
        <v>686</v>
      </c>
      <c r="B687">
        <v>14</v>
      </c>
      <c r="C687" t="s">
        <v>1629</v>
      </c>
      <c r="D687" t="s">
        <v>477</v>
      </c>
      <c r="E687" t="s">
        <v>1624</v>
      </c>
      <c r="F687">
        <v>11</v>
      </c>
      <c r="G687" t="s">
        <v>1035</v>
      </c>
      <c r="H687" t="s">
        <v>1035</v>
      </c>
      <c r="I687" t="s">
        <v>1029</v>
      </c>
      <c r="J687" t="s">
        <v>1035</v>
      </c>
      <c r="K687">
        <v>686</v>
      </c>
      <c r="L687" t="str">
        <f t="shared" si="20"/>
        <v>Cameron Latu</v>
      </c>
      <c r="M687" s="69" t="str">
        <f>IFERROR(VLOOKUP(E687,RISK!A:B,2,FALSE()),"")</f>
        <v/>
      </c>
      <c r="N687" s="43" t="e">
        <f t="shared" si="21"/>
        <v>#N/A</v>
      </c>
    </row>
    <row r="688" spans="1:14" ht="14.25" customHeight="1" x14ac:dyDescent="0.3">
      <c r="A688">
        <v>687</v>
      </c>
      <c r="B688">
        <v>14</v>
      </c>
      <c r="C688" t="s">
        <v>1337</v>
      </c>
      <c r="D688" t="s">
        <v>1124</v>
      </c>
      <c r="E688" t="s">
        <v>1705</v>
      </c>
      <c r="F688" t="s">
        <v>1035</v>
      </c>
      <c r="G688" t="s">
        <v>1035</v>
      </c>
      <c r="H688" t="s">
        <v>1035</v>
      </c>
      <c r="I688" t="s">
        <v>1035</v>
      </c>
      <c r="J688">
        <v>-386</v>
      </c>
      <c r="K688">
        <v>687</v>
      </c>
      <c r="L688" t="str">
        <f t="shared" si="20"/>
        <v>Ulysses Bentley IV</v>
      </c>
      <c r="M688" s="69" t="str">
        <f>IFERROR(VLOOKUP(E688,RISK!A:B,2,FALSE()),"")</f>
        <v/>
      </c>
      <c r="N688" s="43" t="e">
        <f t="shared" si="21"/>
        <v>#N/A</v>
      </c>
    </row>
    <row r="689" spans="1:14" ht="14.25" customHeight="1" x14ac:dyDescent="0.3">
      <c r="A689">
        <v>688</v>
      </c>
      <c r="B689">
        <v>14</v>
      </c>
      <c r="C689" t="s">
        <v>1599</v>
      </c>
      <c r="D689" t="s">
        <v>525</v>
      </c>
      <c r="E689" t="s">
        <v>1606</v>
      </c>
      <c r="F689">
        <v>9</v>
      </c>
      <c r="G689" t="s">
        <v>1035</v>
      </c>
      <c r="H689" t="s">
        <v>1035</v>
      </c>
      <c r="I689" t="s">
        <v>1032</v>
      </c>
      <c r="J689" t="s">
        <v>1035</v>
      </c>
      <c r="K689">
        <v>688</v>
      </c>
      <c r="L689" t="str">
        <f t="shared" si="20"/>
        <v>K.J. Osborn</v>
      </c>
      <c r="M689" s="69" t="str">
        <f>IFERROR(VLOOKUP(E689,RISK!A:B,2,FALSE()),"")</f>
        <v/>
      </c>
      <c r="N689" s="43" t="e">
        <f t="shared" si="21"/>
        <v>#N/A</v>
      </c>
    </row>
    <row r="690" spans="1:14" ht="14.25" customHeight="1" x14ac:dyDescent="0.3">
      <c r="A690">
        <v>689</v>
      </c>
      <c r="B690">
        <v>14</v>
      </c>
      <c r="C690" t="s">
        <v>1547</v>
      </c>
      <c r="D690" t="s">
        <v>1124</v>
      </c>
      <c r="E690" t="s">
        <v>1715</v>
      </c>
      <c r="F690" t="s">
        <v>1035</v>
      </c>
      <c r="G690" t="s">
        <v>1035</v>
      </c>
      <c r="H690" t="s">
        <v>1035</v>
      </c>
      <c r="I690" t="s">
        <v>1035</v>
      </c>
      <c r="J690" t="s">
        <v>1035</v>
      </c>
      <c r="K690">
        <v>689</v>
      </c>
      <c r="L690" t="str">
        <f t="shared" si="20"/>
        <v>Jabari Small</v>
      </c>
      <c r="M690" s="69" t="str">
        <f>IFERROR(VLOOKUP(E690,RISK!A:B,2,FALSE()),"")</f>
        <v/>
      </c>
      <c r="N690" s="43" t="e">
        <f t="shared" si="21"/>
        <v>#N/A</v>
      </c>
    </row>
    <row r="691" spans="1:14" ht="14.25" customHeight="1" x14ac:dyDescent="0.3">
      <c r="A691">
        <v>690</v>
      </c>
      <c r="B691">
        <v>14</v>
      </c>
      <c r="C691" t="s">
        <v>1341</v>
      </c>
      <c r="D691" t="s">
        <v>521</v>
      </c>
      <c r="E691" t="s">
        <v>1718</v>
      </c>
      <c r="F691">
        <v>5</v>
      </c>
      <c r="G691" t="s">
        <v>1035</v>
      </c>
      <c r="H691" t="s">
        <v>1035</v>
      </c>
      <c r="I691" t="s">
        <v>1031</v>
      </c>
      <c r="J691" t="s">
        <v>1035</v>
      </c>
      <c r="K691">
        <v>690</v>
      </c>
      <c r="L691" t="str">
        <f t="shared" si="20"/>
        <v>Ahmani Marshall</v>
      </c>
      <c r="M691" s="69" t="str">
        <f>IFERROR(VLOOKUP(E691,RISK!A:B,2,FALSE()),"")</f>
        <v/>
      </c>
      <c r="N691" s="43" t="e">
        <f t="shared" si="21"/>
        <v>#N/A</v>
      </c>
    </row>
    <row r="692" spans="1:14" ht="14.25" customHeight="1" x14ac:dyDescent="0.3">
      <c r="A692">
        <v>691</v>
      </c>
      <c r="B692">
        <v>14</v>
      </c>
      <c r="C692" t="s">
        <v>1746</v>
      </c>
      <c r="D692" t="s">
        <v>471</v>
      </c>
      <c r="E692" t="s">
        <v>1608</v>
      </c>
      <c r="F692">
        <v>7</v>
      </c>
      <c r="G692" t="s">
        <v>1035</v>
      </c>
      <c r="H692" t="s">
        <v>1035</v>
      </c>
      <c r="I692" t="s">
        <v>1029</v>
      </c>
      <c r="J692" t="s">
        <v>1035</v>
      </c>
      <c r="K692">
        <v>691</v>
      </c>
      <c r="L692" t="str">
        <f t="shared" si="20"/>
        <v>Trent Sherfield Sr.</v>
      </c>
      <c r="M692" s="69" t="str">
        <f>IFERROR(VLOOKUP(E692,RISK!A:B,2,FALSE()),"")</f>
        <v/>
      </c>
      <c r="N692" s="43" t="e">
        <f t="shared" si="21"/>
        <v>#N/A</v>
      </c>
    </row>
    <row r="693" spans="1:14" ht="14.25" customHeight="1" x14ac:dyDescent="0.3">
      <c r="A693">
        <v>692</v>
      </c>
      <c r="B693">
        <v>14</v>
      </c>
      <c r="C693" t="s">
        <v>1655</v>
      </c>
      <c r="D693" t="s">
        <v>481</v>
      </c>
      <c r="E693" t="s">
        <v>1630</v>
      </c>
      <c r="F693">
        <v>10</v>
      </c>
      <c r="G693" t="s">
        <v>1035</v>
      </c>
      <c r="H693" t="s">
        <v>1035</v>
      </c>
      <c r="I693" t="s">
        <v>1029</v>
      </c>
      <c r="J693" t="s">
        <v>1035</v>
      </c>
      <c r="K693">
        <v>692</v>
      </c>
      <c r="L693" t="str">
        <f t="shared" si="20"/>
        <v>E.J. Jenkins</v>
      </c>
      <c r="M693" s="69" t="str">
        <f>IFERROR(VLOOKUP(E693,RISK!A:B,2,FALSE()),"")</f>
        <v/>
      </c>
      <c r="N693" s="43" t="e">
        <f t="shared" si="21"/>
        <v>#N/A</v>
      </c>
    </row>
    <row r="694" spans="1:14" ht="14.25" customHeight="1" x14ac:dyDescent="0.3">
      <c r="A694">
        <v>693</v>
      </c>
      <c r="B694">
        <v>14</v>
      </c>
      <c r="C694" t="s">
        <v>1478</v>
      </c>
      <c r="D694" t="s">
        <v>1124</v>
      </c>
      <c r="E694" t="s">
        <v>1720</v>
      </c>
      <c r="F694" t="s">
        <v>1035</v>
      </c>
      <c r="G694" t="s">
        <v>1035</v>
      </c>
      <c r="H694" t="s">
        <v>1035</v>
      </c>
      <c r="I694" t="s">
        <v>1035</v>
      </c>
      <c r="J694" t="s">
        <v>1035</v>
      </c>
      <c r="K694">
        <v>693</v>
      </c>
      <c r="L694" t="str">
        <f t="shared" si="20"/>
        <v>Carlos Washington Jr.</v>
      </c>
      <c r="M694" s="69" t="str">
        <f>IFERROR(VLOOKUP(E694,RISK!A:B,2,FALSE()),"")</f>
        <v/>
      </c>
      <c r="N694" s="43" t="e">
        <f t="shared" si="21"/>
        <v>#N/A</v>
      </c>
    </row>
    <row r="695" spans="1:14" ht="14.25" customHeight="1" x14ac:dyDescent="0.3">
      <c r="A695">
        <v>694</v>
      </c>
      <c r="B695">
        <v>14</v>
      </c>
      <c r="C695" t="s">
        <v>1518</v>
      </c>
      <c r="D695" t="s">
        <v>535</v>
      </c>
      <c r="E695" t="s">
        <v>1524</v>
      </c>
      <c r="F695">
        <v>11</v>
      </c>
      <c r="G695" t="s">
        <v>1035</v>
      </c>
      <c r="H695" t="s">
        <v>1035</v>
      </c>
      <c r="I695" t="s">
        <v>1027</v>
      </c>
      <c r="J695" t="s">
        <v>1035</v>
      </c>
      <c r="K695">
        <v>694</v>
      </c>
      <c r="L695" t="str">
        <f t="shared" si="20"/>
        <v>Andre Szmyt</v>
      </c>
      <c r="M695" s="69" t="str">
        <f>IFERROR(VLOOKUP(E695,RISK!A:B,2,FALSE()),"")</f>
        <v/>
      </c>
      <c r="N695" s="43" t="e">
        <f t="shared" si="21"/>
        <v>#N/A</v>
      </c>
    </row>
    <row r="696" spans="1:14" ht="14.25" customHeight="1" x14ac:dyDescent="0.3">
      <c r="A696">
        <v>695</v>
      </c>
      <c r="B696">
        <v>14</v>
      </c>
      <c r="C696" t="s">
        <v>1730</v>
      </c>
      <c r="D696" t="s">
        <v>527</v>
      </c>
      <c r="E696" t="s">
        <v>1610</v>
      </c>
      <c r="F696">
        <v>14</v>
      </c>
      <c r="G696" t="s">
        <v>1035</v>
      </c>
      <c r="H696" t="s">
        <v>1035</v>
      </c>
      <c r="I696" t="s">
        <v>1028</v>
      </c>
      <c r="J696" t="s">
        <v>1035</v>
      </c>
      <c r="K696">
        <v>695</v>
      </c>
      <c r="L696" t="str">
        <f t="shared" si="20"/>
        <v>Simi Fehoko</v>
      </c>
      <c r="M696" s="69" t="str">
        <f>IFERROR(VLOOKUP(E696,RISK!A:B,2,FALSE()),"")</f>
        <v/>
      </c>
      <c r="N696" s="43" t="e">
        <f t="shared" si="21"/>
        <v>#N/A</v>
      </c>
    </row>
    <row r="697" spans="1:14" ht="14.25" customHeight="1" x14ac:dyDescent="0.3">
      <c r="A697">
        <v>696</v>
      </c>
      <c r="B697">
        <v>14</v>
      </c>
      <c r="C697" t="s">
        <v>1811</v>
      </c>
      <c r="D697" t="s">
        <v>483</v>
      </c>
      <c r="E697" t="s">
        <v>1729</v>
      </c>
      <c r="F697">
        <v>6</v>
      </c>
      <c r="G697" t="s">
        <v>1035</v>
      </c>
      <c r="H697" t="s">
        <v>1035</v>
      </c>
      <c r="I697" t="s">
        <v>1028</v>
      </c>
      <c r="J697" t="s">
        <v>1035</v>
      </c>
      <c r="K697">
        <v>696</v>
      </c>
      <c r="L697" t="str">
        <f t="shared" si="20"/>
        <v>Kendall Milton</v>
      </c>
      <c r="M697" s="69" t="str">
        <f>IFERROR(VLOOKUP(E697,RISK!A:B,2,FALSE()),"")</f>
        <v/>
      </c>
      <c r="N697" s="43" t="e">
        <f t="shared" si="21"/>
        <v>#N/A</v>
      </c>
    </row>
    <row r="698" spans="1:14" ht="14.25" customHeight="1" x14ac:dyDescent="0.3">
      <c r="A698">
        <v>697</v>
      </c>
      <c r="B698">
        <v>14</v>
      </c>
      <c r="C698" t="s">
        <v>555</v>
      </c>
      <c r="D698" t="s">
        <v>475</v>
      </c>
      <c r="E698" t="s">
        <v>1780</v>
      </c>
      <c r="F698">
        <v>13</v>
      </c>
      <c r="G698" t="s">
        <v>1035</v>
      </c>
      <c r="H698" t="s">
        <v>1035</v>
      </c>
      <c r="I698" t="s">
        <v>1032</v>
      </c>
      <c r="J698" t="s">
        <v>1035</v>
      </c>
      <c r="K698">
        <v>697</v>
      </c>
      <c r="L698" t="str">
        <f t="shared" si="20"/>
        <v>Tyler Huntley</v>
      </c>
      <c r="M698" s="69" t="str">
        <f>IFERROR(VLOOKUP(E698,RISK!A:B,2,FALSE()),"")</f>
        <v/>
      </c>
      <c r="N698" s="43" t="e">
        <f t="shared" si="21"/>
        <v>#N/A</v>
      </c>
    </row>
    <row r="699" spans="1:14" ht="14.25" customHeight="1" x14ac:dyDescent="0.3">
      <c r="A699">
        <v>698</v>
      </c>
      <c r="B699">
        <v>14</v>
      </c>
      <c r="C699" t="s">
        <v>1572</v>
      </c>
      <c r="D699" t="s">
        <v>1124</v>
      </c>
      <c r="E699" t="s">
        <v>1734</v>
      </c>
      <c r="F699" t="s">
        <v>1035</v>
      </c>
      <c r="G699" t="s">
        <v>1035</v>
      </c>
      <c r="H699" t="s">
        <v>1035</v>
      </c>
      <c r="I699" t="s">
        <v>1035</v>
      </c>
      <c r="J699" t="s">
        <v>1035</v>
      </c>
      <c r="K699">
        <v>698</v>
      </c>
      <c r="L699" t="str">
        <f t="shared" si="20"/>
        <v>Miles Davis</v>
      </c>
      <c r="M699" s="69" t="str">
        <f>IFERROR(VLOOKUP(E699,RISK!A:B,2,FALSE()),"")</f>
        <v/>
      </c>
      <c r="N699" s="43" t="e">
        <f t="shared" si="21"/>
        <v>#N/A</v>
      </c>
    </row>
    <row r="700" spans="1:14" ht="14.25" customHeight="1" x14ac:dyDescent="0.3">
      <c r="A700">
        <v>699</v>
      </c>
      <c r="B700">
        <v>14</v>
      </c>
      <c r="C700" t="s">
        <v>1619</v>
      </c>
      <c r="D700" t="s">
        <v>1124</v>
      </c>
      <c r="E700" t="s">
        <v>1613</v>
      </c>
      <c r="F700" t="s">
        <v>1035</v>
      </c>
      <c r="G700" t="s">
        <v>1035</v>
      </c>
      <c r="H700" t="s">
        <v>1035</v>
      </c>
      <c r="I700" t="s">
        <v>1035</v>
      </c>
      <c r="J700" t="s">
        <v>1035</v>
      </c>
      <c r="K700">
        <v>699</v>
      </c>
      <c r="L700" t="str">
        <f t="shared" si="20"/>
        <v>Zay Jones</v>
      </c>
      <c r="M700" s="69" t="str">
        <f>IFERROR(VLOOKUP(E700,RISK!A:B,2,FALSE()),"")</f>
        <v/>
      </c>
      <c r="N700" s="43" t="e">
        <f t="shared" si="21"/>
        <v>#N/A</v>
      </c>
    </row>
    <row r="701" spans="1:14" ht="14.25" customHeight="1" x14ac:dyDescent="0.3">
      <c r="A701">
        <v>700</v>
      </c>
      <c r="B701">
        <v>14</v>
      </c>
      <c r="C701" t="s">
        <v>1882</v>
      </c>
      <c r="D701" t="s">
        <v>517</v>
      </c>
      <c r="E701" t="s">
        <v>1618</v>
      </c>
      <c r="F701">
        <v>11</v>
      </c>
      <c r="G701" t="s">
        <v>1035</v>
      </c>
      <c r="H701" t="s">
        <v>1035</v>
      </c>
      <c r="I701" t="s">
        <v>1032</v>
      </c>
      <c r="J701" t="s">
        <v>1035</v>
      </c>
      <c r="K701">
        <v>700</v>
      </c>
      <c r="L701" t="str">
        <f t="shared" si="20"/>
        <v>Ricky White III</v>
      </c>
      <c r="M701" s="69" t="str">
        <f>IFERROR(VLOOKUP(E701,RISK!A:B,2,FALSE()),"")</f>
        <v/>
      </c>
      <c r="N701" s="43" t="e">
        <f t="shared" si="21"/>
        <v>#N/A</v>
      </c>
    </row>
    <row r="702" spans="1:14" ht="14.25" customHeight="1" x14ac:dyDescent="0.3">
      <c r="A702">
        <v>701</v>
      </c>
      <c r="B702">
        <v>14</v>
      </c>
      <c r="C702" t="s">
        <v>1637</v>
      </c>
      <c r="D702" t="s">
        <v>485</v>
      </c>
      <c r="E702" t="s">
        <v>1620</v>
      </c>
      <c r="F702">
        <v>8</v>
      </c>
      <c r="G702" t="s">
        <v>1035</v>
      </c>
      <c r="H702" t="s">
        <v>1035</v>
      </c>
      <c r="I702" t="s">
        <v>1029</v>
      </c>
      <c r="J702" t="s">
        <v>1035</v>
      </c>
      <c r="K702">
        <v>701</v>
      </c>
      <c r="L702" t="str">
        <f t="shared" si="20"/>
        <v>Gunner Olszewski</v>
      </c>
      <c r="M702" s="69" t="str">
        <f>IFERROR(VLOOKUP(E702,RISK!A:B,2,FALSE()),"")</f>
        <v/>
      </c>
      <c r="N702" s="43" t="e">
        <f t="shared" si="21"/>
        <v>#N/A</v>
      </c>
    </row>
    <row r="703" spans="1:14" ht="14.25" customHeight="1" x14ac:dyDescent="0.3">
      <c r="A703">
        <v>702</v>
      </c>
      <c r="B703">
        <v>14</v>
      </c>
      <c r="C703" t="s">
        <v>1617</v>
      </c>
      <c r="D703" t="s">
        <v>1124</v>
      </c>
      <c r="E703" t="s">
        <v>1626</v>
      </c>
      <c r="F703" t="s">
        <v>1035</v>
      </c>
      <c r="G703" t="s">
        <v>1035</v>
      </c>
      <c r="H703" t="s">
        <v>1035</v>
      </c>
      <c r="I703" t="s">
        <v>1035</v>
      </c>
      <c r="J703" t="s">
        <v>1035</v>
      </c>
      <c r="K703">
        <v>702</v>
      </c>
      <c r="L703" t="str">
        <f t="shared" si="20"/>
        <v>Xavier Weaver</v>
      </c>
      <c r="M703" s="69" t="str">
        <f>IFERROR(VLOOKUP(E703,RISK!A:B,2,FALSE()),"")</f>
        <v/>
      </c>
      <c r="N703" s="43" t="e">
        <f t="shared" si="21"/>
        <v>#N/A</v>
      </c>
    </row>
    <row r="704" spans="1:14" ht="14.25" customHeight="1" x14ac:dyDescent="0.3">
      <c r="A704">
        <v>703</v>
      </c>
      <c r="B704">
        <v>14</v>
      </c>
      <c r="C704" t="s">
        <v>1456</v>
      </c>
      <c r="D704" t="s">
        <v>507</v>
      </c>
      <c r="E704" t="s">
        <v>1782</v>
      </c>
      <c r="F704">
        <v>10</v>
      </c>
      <c r="G704" t="s">
        <v>1035</v>
      </c>
      <c r="H704" t="s">
        <v>1035</v>
      </c>
      <c r="I704" t="s">
        <v>1028</v>
      </c>
      <c r="J704" t="s">
        <v>1035</v>
      </c>
      <c r="K704">
        <v>703</v>
      </c>
      <c r="L704" t="str">
        <f t="shared" si="20"/>
        <v>Jalon Daniels</v>
      </c>
      <c r="M704" s="69" t="str">
        <f>IFERROR(VLOOKUP(E704,RISK!A:B,2,FALSE()),"")</f>
        <v/>
      </c>
      <c r="N704" s="43" t="e">
        <f t="shared" si="21"/>
        <v>#N/A</v>
      </c>
    </row>
    <row r="705" spans="1:14" ht="14.25" customHeight="1" x14ac:dyDescent="0.3">
      <c r="A705">
        <v>704</v>
      </c>
      <c r="B705">
        <v>14</v>
      </c>
      <c r="C705" t="s">
        <v>1956</v>
      </c>
      <c r="D705" t="s">
        <v>529</v>
      </c>
      <c r="E705" t="s">
        <v>1628</v>
      </c>
      <c r="F705">
        <v>9</v>
      </c>
      <c r="G705" t="s">
        <v>1035</v>
      </c>
      <c r="H705" t="s">
        <v>1035</v>
      </c>
      <c r="I705" t="s">
        <v>1032</v>
      </c>
      <c r="J705" t="s">
        <v>1035</v>
      </c>
      <c r="K705">
        <v>704</v>
      </c>
      <c r="L705" t="str">
        <f t="shared" si="20"/>
        <v>Brandon Johnson</v>
      </c>
      <c r="M705" s="69" t="str">
        <f>IFERROR(VLOOKUP(E705,RISK!A:B,2,FALSE()),"")</f>
        <v/>
      </c>
      <c r="N705" s="43" t="e">
        <f t="shared" si="21"/>
        <v>#N/A</v>
      </c>
    </row>
    <row r="706" spans="1:14" ht="14.25" customHeight="1" x14ac:dyDescent="0.3">
      <c r="A706">
        <v>705</v>
      </c>
      <c r="B706">
        <v>14</v>
      </c>
      <c r="C706" t="s">
        <v>1837</v>
      </c>
      <c r="D706" t="s">
        <v>1124</v>
      </c>
      <c r="E706" t="s">
        <v>1634</v>
      </c>
      <c r="F706" t="s">
        <v>1035</v>
      </c>
      <c r="G706" t="s">
        <v>1035</v>
      </c>
      <c r="H706" t="s">
        <v>1035</v>
      </c>
      <c r="I706" t="s">
        <v>1035</v>
      </c>
      <c r="J706" t="s">
        <v>1035</v>
      </c>
      <c r="K706">
        <v>705</v>
      </c>
      <c r="L706" t="str">
        <f t="shared" ref="L706:L769" si="22">C706</f>
        <v>Josiah Deguara</v>
      </c>
      <c r="M706" s="69" t="str">
        <f>IFERROR(VLOOKUP(E706,RISK!A:B,2,FALSE()),"")</f>
        <v/>
      </c>
      <c r="N706" s="43" t="e">
        <f t="shared" si="21"/>
        <v>#N/A</v>
      </c>
    </row>
    <row r="707" spans="1:14" ht="14.25" customHeight="1" x14ac:dyDescent="0.3">
      <c r="A707">
        <v>706</v>
      </c>
      <c r="B707">
        <v>14</v>
      </c>
      <c r="C707" t="s">
        <v>1844</v>
      </c>
      <c r="D707" t="s">
        <v>511</v>
      </c>
      <c r="E707" t="s">
        <v>1636</v>
      </c>
      <c r="F707">
        <v>13</v>
      </c>
      <c r="G707" t="s">
        <v>1035</v>
      </c>
      <c r="H707" t="s">
        <v>1035</v>
      </c>
      <c r="I707" t="s">
        <v>1032</v>
      </c>
      <c r="J707" t="s">
        <v>1035</v>
      </c>
      <c r="K707">
        <v>706</v>
      </c>
      <c r="L707" t="str">
        <f t="shared" si="22"/>
        <v>Pharaoh Brown</v>
      </c>
      <c r="M707" s="69" t="str">
        <f>IFERROR(VLOOKUP(E707,RISK!A:B,2,FALSE()),"")</f>
        <v/>
      </c>
      <c r="N707" s="43" t="e">
        <f t="shared" ref="N707:N770" si="23">VLOOKUP(E707,Q:R,2,FALSE)</f>
        <v>#N/A</v>
      </c>
    </row>
    <row r="708" spans="1:14" ht="14.25" customHeight="1" x14ac:dyDescent="0.3">
      <c r="A708">
        <v>707</v>
      </c>
      <c r="B708">
        <v>14</v>
      </c>
      <c r="C708" t="s">
        <v>1560</v>
      </c>
      <c r="D708" t="s">
        <v>1124</v>
      </c>
      <c r="E708" t="s">
        <v>1633</v>
      </c>
      <c r="F708" t="s">
        <v>1035</v>
      </c>
      <c r="G708" t="s">
        <v>1035</v>
      </c>
      <c r="H708" t="s">
        <v>1035</v>
      </c>
      <c r="I708" t="s">
        <v>1035</v>
      </c>
      <c r="J708" t="s">
        <v>1035</v>
      </c>
      <c r="K708">
        <v>707</v>
      </c>
      <c r="L708" t="str">
        <f t="shared" si="22"/>
        <v>Tyler Johnson</v>
      </c>
      <c r="M708" s="69" t="str">
        <f>IFERROR(VLOOKUP(E708,RISK!A:B,2,FALSE()),"")</f>
        <v/>
      </c>
      <c r="N708" s="43" t="e">
        <f t="shared" si="23"/>
        <v>#N/A</v>
      </c>
    </row>
    <row r="709" spans="1:14" ht="14.25" customHeight="1" x14ac:dyDescent="0.3">
      <c r="A709">
        <v>708</v>
      </c>
      <c r="B709">
        <v>14</v>
      </c>
      <c r="C709" t="s">
        <v>1739</v>
      </c>
      <c r="D709" t="s">
        <v>533</v>
      </c>
      <c r="E709" t="s">
        <v>1638</v>
      </c>
      <c r="F709">
        <v>11</v>
      </c>
      <c r="G709" t="s">
        <v>1035</v>
      </c>
      <c r="H709" t="s">
        <v>1035</v>
      </c>
      <c r="I709" t="s">
        <v>1032</v>
      </c>
      <c r="J709" t="s">
        <v>1035</v>
      </c>
      <c r="K709">
        <v>708</v>
      </c>
      <c r="L709" t="str">
        <f t="shared" si="22"/>
        <v>Beaux Collins</v>
      </c>
      <c r="M709" s="69" t="str">
        <f>IFERROR(VLOOKUP(E709,RISK!A:B,2,FALSE()),"")</f>
        <v/>
      </c>
      <c r="N709" s="43" t="e">
        <f t="shared" si="23"/>
        <v>#N/A</v>
      </c>
    </row>
    <row r="710" spans="1:14" ht="14.25" customHeight="1" x14ac:dyDescent="0.3">
      <c r="A710">
        <v>709</v>
      </c>
      <c r="B710">
        <v>14</v>
      </c>
      <c r="C710" t="s">
        <v>1627</v>
      </c>
      <c r="D710" t="s">
        <v>531</v>
      </c>
      <c r="E710" t="s">
        <v>1644</v>
      </c>
      <c r="F710">
        <v>13</v>
      </c>
      <c r="G710" t="s">
        <v>1035</v>
      </c>
      <c r="H710" t="s">
        <v>1035</v>
      </c>
      <c r="I710" t="s">
        <v>1028</v>
      </c>
      <c r="J710" t="s">
        <v>1035</v>
      </c>
      <c r="K710">
        <v>709</v>
      </c>
      <c r="L710" t="str">
        <f t="shared" si="22"/>
        <v>Deven Thompkins</v>
      </c>
      <c r="M710" s="69" t="str">
        <f>IFERROR(VLOOKUP(E710,RISK!A:B,2,FALSE()),"")</f>
        <v/>
      </c>
      <c r="N710" s="43" t="e">
        <f t="shared" si="23"/>
        <v>#N/A</v>
      </c>
    </row>
    <row r="711" spans="1:14" ht="14.25" customHeight="1" x14ac:dyDescent="0.3">
      <c r="A711">
        <v>710</v>
      </c>
      <c r="B711">
        <v>14</v>
      </c>
      <c r="C711" t="s">
        <v>1305</v>
      </c>
      <c r="D711" t="s">
        <v>1124</v>
      </c>
      <c r="E711" t="s">
        <v>1526</v>
      </c>
      <c r="F711" t="s">
        <v>1035</v>
      </c>
      <c r="G711" t="s">
        <v>1035</v>
      </c>
      <c r="H711" t="s">
        <v>1035</v>
      </c>
      <c r="I711" t="s">
        <v>1035</v>
      </c>
      <c r="J711" t="s">
        <v>1035</v>
      </c>
      <c r="K711">
        <v>710</v>
      </c>
      <c r="L711" t="str">
        <f t="shared" si="22"/>
        <v>Jason Sanders</v>
      </c>
      <c r="M711" s="69" t="str">
        <f>IFERROR(VLOOKUP(E711,RISK!A:B,2,FALSE()),"")</f>
        <v/>
      </c>
      <c r="N711" s="43" t="e">
        <f t="shared" si="23"/>
        <v>#N/A</v>
      </c>
    </row>
    <row r="712" spans="1:14" ht="14.25" customHeight="1" x14ac:dyDescent="0.3">
      <c r="A712">
        <v>711</v>
      </c>
      <c r="B712">
        <v>14</v>
      </c>
      <c r="C712" t="s">
        <v>561</v>
      </c>
      <c r="D712" t="s">
        <v>521</v>
      </c>
      <c r="E712" t="s">
        <v>1784</v>
      </c>
      <c r="F712">
        <v>5</v>
      </c>
      <c r="G712" t="s">
        <v>1035</v>
      </c>
      <c r="H712" t="s">
        <v>1035</v>
      </c>
      <c r="I712" t="s">
        <v>1028</v>
      </c>
      <c r="J712" t="s">
        <v>1035</v>
      </c>
      <c r="K712">
        <v>711</v>
      </c>
      <c r="L712" t="str">
        <f t="shared" si="22"/>
        <v>Kenny Pickett</v>
      </c>
      <c r="M712" s="69" t="str">
        <f>IFERROR(VLOOKUP(E712,RISK!A:B,2,FALSE()),"")</f>
        <v/>
      </c>
      <c r="N712" s="43" t="e">
        <f t="shared" si="23"/>
        <v>#N/A</v>
      </c>
    </row>
    <row r="713" spans="1:14" ht="14.25" customHeight="1" x14ac:dyDescent="0.3">
      <c r="A713">
        <v>712</v>
      </c>
      <c r="B713">
        <v>14</v>
      </c>
      <c r="C713" t="s">
        <v>1568</v>
      </c>
      <c r="D713" t="s">
        <v>1124</v>
      </c>
      <c r="E713" t="s">
        <v>1645</v>
      </c>
      <c r="F713" t="s">
        <v>1035</v>
      </c>
      <c r="G713" t="s">
        <v>1035</v>
      </c>
      <c r="H713" t="s">
        <v>1035</v>
      </c>
      <c r="I713" t="s">
        <v>1035</v>
      </c>
      <c r="J713" t="s">
        <v>1035</v>
      </c>
      <c r="K713">
        <v>712</v>
      </c>
      <c r="L713" t="str">
        <f t="shared" si="22"/>
        <v>Sterling Shepard</v>
      </c>
      <c r="M713" s="69" t="str">
        <f>IFERROR(VLOOKUP(E713,RISK!A:B,2,FALSE()),"")</f>
        <v/>
      </c>
      <c r="N713" s="43" t="e">
        <f t="shared" si="23"/>
        <v>#N/A</v>
      </c>
    </row>
    <row r="714" spans="1:14" ht="14.25" customHeight="1" x14ac:dyDescent="0.3">
      <c r="A714">
        <v>713</v>
      </c>
      <c r="B714">
        <v>14</v>
      </c>
      <c r="C714" t="s">
        <v>995</v>
      </c>
      <c r="D714" t="s">
        <v>499</v>
      </c>
      <c r="E714" t="s">
        <v>1641</v>
      </c>
      <c r="F714">
        <v>10</v>
      </c>
      <c r="G714" t="s">
        <v>1035</v>
      </c>
      <c r="H714" t="s">
        <v>1035</v>
      </c>
      <c r="I714" t="s">
        <v>1029</v>
      </c>
      <c r="J714" t="s">
        <v>1035</v>
      </c>
      <c r="K714">
        <v>713</v>
      </c>
      <c r="L714" t="str">
        <f t="shared" si="22"/>
        <v>Lucas Krull</v>
      </c>
      <c r="M714" s="69" t="str">
        <f>IFERROR(VLOOKUP(E714,RISK!A:B,2,FALSE()),"")</f>
        <v/>
      </c>
      <c r="N714" s="43" t="e">
        <f t="shared" si="23"/>
        <v>#N/A</v>
      </c>
    </row>
    <row r="715" spans="1:14" ht="14.25" customHeight="1" x14ac:dyDescent="0.3">
      <c r="A715">
        <v>714</v>
      </c>
      <c r="B715">
        <v>14</v>
      </c>
      <c r="C715" t="s">
        <v>1878</v>
      </c>
      <c r="D715" t="s">
        <v>499</v>
      </c>
      <c r="E715" t="s">
        <v>1642</v>
      </c>
      <c r="F715">
        <v>10</v>
      </c>
      <c r="G715" t="s">
        <v>1035</v>
      </c>
      <c r="H715" t="s">
        <v>1035</v>
      </c>
      <c r="I715" t="s">
        <v>1029</v>
      </c>
      <c r="J715" t="s">
        <v>1035</v>
      </c>
      <c r="K715">
        <v>714</v>
      </c>
      <c r="L715" t="str">
        <f t="shared" si="22"/>
        <v>Caleb Lohner</v>
      </c>
      <c r="M715" s="69" t="str">
        <f>IFERROR(VLOOKUP(E715,RISK!A:B,2,FALSE()),"")</f>
        <v/>
      </c>
      <c r="N715" s="43" t="e">
        <f t="shared" si="23"/>
        <v>#N/A</v>
      </c>
    </row>
    <row r="716" spans="1:14" ht="14.25" customHeight="1" x14ac:dyDescent="0.3">
      <c r="A716">
        <v>715</v>
      </c>
      <c r="B716">
        <v>14</v>
      </c>
      <c r="C716" t="s">
        <v>1732</v>
      </c>
      <c r="D716" t="s">
        <v>525</v>
      </c>
      <c r="E716" t="s">
        <v>1647</v>
      </c>
      <c r="F716">
        <v>9</v>
      </c>
      <c r="G716" t="s">
        <v>1035</v>
      </c>
      <c r="H716" t="s">
        <v>1035</v>
      </c>
      <c r="I716" t="s">
        <v>1032</v>
      </c>
      <c r="J716" t="s">
        <v>1035</v>
      </c>
      <c r="K716">
        <v>715</v>
      </c>
      <c r="L716" t="str">
        <f t="shared" si="22"/>
        <v>Jaren Kanak</v>
      </c>
      <c r="M716" s="69" t="str">
        <f>IFERROR(VLOOKUP(E716,RISK!A:B,2,FALSE()),"")</f>
        <v/>
      </c>
      <c r="N716" s="43" t="e">
        <f t="shared" si="23"/>
        <v>#N/A</v>
      </c>
    </row>
    <row r="717" spans="1:14" ht="14.25" customHeight="1" x14ac:dyDescent="0.3">
      <c r="A717">
        <v>716</v>
      </c>
      <c r="B717">
        <v>14</v>
      </c>
      <c r="C717" t="s">
        <v>2006</v>
      </c>
      <c r="D717" t="s">
        <v>1124</v>
      </c>
      <c r="E717" t="s">
        <v>1738</v>
      </c>
      <c r="F717" t="s">
        <v>1035</v>
      </c>
      <c r="G717" t="s">
        <v>1035</v>
      </c>
      <c r="H717" t="s">
        <v>1035</v>
      </c>
      <c r="I717" t="s">
        <v>1035</v>
      </c>
      <c r="J717" t="s">
        <v>1035</v>
      </c>
      <c r="K717">
        <v>716</v>
      </c>
      <c r="L717" t="str">
        <f t="shared" si="22"/>
        <v>Avery Williams</v>
      </c>
      <c r="M717" s="69" t="str">
        <f>IFERROR(VLOOKUP(E717,RISK!A:B,2,FALSE()),"")</f>
        <v/>
      </c>
      <c r="N717" s="43" t="e">
        <f t="shared" si="23"/>
        <v>#N/A</v>
      </c>
    </row>
    <row r="718" spans="1:14" ht="14.25" customHeight="1" x14ac:dyDescent="0.3">
      <c r="A718">
        <v>717</v>
      </c>
      <c r="B718">
        <v>14</v>
      </c>
      <c r="C718" t="s">
        <v>564</v>
      </c>
      <c r="D718" t="s">
        <v>517</v>
      </c>
      <c r="E718" t="s">
        <v>1785</v>
      </c>
      <c r="F718">
        <v>11</v>
      </c>
      <c r="G718" t="s">
        <v>1035</v>
      </c>
      <c r="H718" t="s">
        <v>1035</v>
      </c>
      <c r="I718" t="s">
        <v>1029</v>
      </c>
      <c r="J718" t="s">
        <v>1035</v>
      </c>
      <c r="K718">
        <v>717</v>
      </c>
      <c r="L718" t="str">
        <f t="shared" si="22"/>
        <v>Drew Lock</v>
      </c>
      <c r="M718" s="69" t="str">
        <f>IFERROR(VLOOKUP(E718,RISK!A:B,2,FALSE()),"")</f>
        <v/>
      </c>
      <c r="N718" s="43" t="e">
        <f t="shared" si="23"/>
        <v>#N/A</v>
      </c>
    </row>
    <row r="719" spans="1:14" ht="14.25" customHeight="1" x14ac:dyDescent="0.3">
      <c r="A719">
        <v>718</v>
      </c>
      <c r="B719">
        <v>14</v>
      </c>
      <c r="C719" t="s">
        <v>574</v>
      </c>
      <c r="D719" t="s">
        <v>471</v>
      </c>
      <c r="E719" t="s">
        <v>1787</v>
      </c>
      <c r="F719">
        <v>7</v>
      </c>
      <c r="G719" t="s">
        <v>1035</v>
      </c>
      <c r="H719" t="s">
        <v>1035</v>
      </c>
      <c r="I719" t="s">
        <v>1032</v>
      </c>
      <c r="J719" t="s">
        <v>1035</v>
      </c>
      <c r="K719">
        <v>718</v>
      </c>
      <c r="L719" t="str">
        <f t="shared" si="22"/>
        <v>Kyle Allen</v>
      </c>
      <c r="M719" s="69" t="str">
        <f>IFERROR(VLOOKUP(E719,RISK!A:B,2,FALSE()),"")</f>
        <v/>
      </c>
      <c r="N719" s="43" t="e">
        <f t="shared" si="23"/>
        <v>#N/A</v>
      </c>
    </row>
    <row r="720" spans="1:14" ht="14.25" customHeight="1" x14ac:dyDescent="0.3">
      <c r="A720">
        <v>719</v>
      </c>
      <c r="B720">
        <v>14</v>
      </c>
      <c r="C720" t="s">
        <v>1983</v>
      </c>
      <c r="D720" t="s">
        <v>1124</v>
      </c>
      <c r="E720" t="s">
        <v>1760</v>
      </c>
      <c r="F720" t="s">
        <v>1035</v>
      </c>
      <c r="G720" t="s">
        <v>1035</v>
      </c>
      <c r="H720" t="s">
        <v>1035</v>
      </c>
      <c r="I720" t="s">
        <v>1035</v>
      </c>
      <c r="J720" t="s">
        <v>1035</v>
      </c>
      <c r="K720">
        <v>719</v>
      </c>
      <c r="L720" t="str">
        <f t="shared" si="22"/>
        <v>Ja'Quinden Jackson</v>
      </c>
      <c r="M720" s="69" t="str">
        <f>IFERROR(VLOOKUP(E720,RISK!A:B,2,FALSE()),"")</f>
        <v/>
      </c>
      <c r="N720" s="43" t="e">
        <f t="shared" si="23"/>
        <v>#N/A</v>
      </c>
    </row>
    <row r="721" spans="1:14" ht="14.25" customHeight="1" x14ac:dyDescent="0.3">
      <c r="A721">
        <v>720</v>
      </c>
      <c r="B721">
        <v>14</v>
      </c>
      <c r="C721" t="s">
        <v>1725</v>
      </c>
      <c r="D721" t="s">
        <v>489</v>
      </c>
      <c r="E721" t="s">
        <v>1649</v>
      </c>
      <c r="F721">
        <v>7</v>
      </c>
      <c r="G721" t="s">
        <v>1035</v>
      </c>
      <c r="H721" t="s">
        <v>1035</v>
      </c>
      <c r="I721" t="s">
        <v>1029</v>
      </c>
      <c r="J721" t="s">
        <v>1035</v>
      </c>
      <c r="K721">
        <v>720</v>
      </c>
      <c r="L721" t="str">
        <f t="shared" si="22"/>
        <v>Tim Jones</v>
      </c>
      <c r="M721" s="69" t="str">
        <f>IFERROR(VLOOKUP(E721,RISK!A:B,2,FALSE()),"")</f>
        <v/>
      </c>
      <c r="N721" s="43" t="e">
        <f t="shared" si="23"/>
        <v>#N/A</v>
      </c>
    </row>
    <row r="722" spans="1:14" ht="14.25" customHeight="1" x14ac:dyDescent="0.3">
      <c r="A722">
        <v>721</v>
      </c>
      <c r="B722">
        <v>14</v>
      </c>
      <c r="C722" t="s">
        <v>1835</v>
      </c>
      <c r="D722" t="s">
        <v>1124</v>
      </c>
      <c r="E722" t="s">
        <v>1765</v>
      </c>
      <c r="F722" t="s">
        <v>1035</v>
      </c>
      <c r="G722" t="s">
        <v>1035</v>
      </c>
      <c r="H722" t="s">
        <v>1035</v>
      </c>
      <c r="I722" t="s">
        <v>1035</v>
      </c>
      <c r="J722" t="s">
        <v>1035</v>
      </c>
      <c r="K722">
        <v>721</v>
      </c>
      <c r="L722" t="str">
        <f t="shared" si="22"/>
        <v>Kenny McIntosh</v>
      </c>
      <c r="M722" s="69" t="str">
        <f>IFERROR(VLOOKUP(E722,RISK!A:B,2,FALSE()),"")</f>
        <v/>
      </c>
      <c r="N722" s="43" t="e">
        <f t="shared" si="23"/>
        <v>#N/A</v>
      </c>
    </row>
    <row r="723" spans="1:14" ht="14.25" customHeight="1" x14ac:dyDescent="0.3">
      <c r="A723">
        <v>722</v>
      </c>
      <c r="B723">
        <v>14</v>
      </c>
      <c r="C723" t="s">
        <v>666</v>
      </c>
      <c r="D723" t="s">
        <v>1124</v>
      </c>
      <c r="E723" t="s">
        <v>1769</v>
      </c>
      <c r="F723" t="s">
        <v>1035</v>
      </c>
      <c r="G723" t="s">
        <v>1035</v>
      </c>
      <c r="H723" t="s">
        <v>1035</v>
      </c>
      <c r="I723" t="s">
        <v>1035</v>
      </c>
      <c r="J723" t="s">
        <v>1035</v>
      </c>
      <c r="K723">
        <v>722</v>
      </c>
      <c r="L723" t="str">
        <f t="shared" si="22"/>
        <v>Trayveon Williams</v>
      </c>
      <c r="M723" s="69" t="str">
        <f>IFERROR(VLOOKUP(E723,RISK!A:B,2,FALSE()),"")</f>
        <v/>
      </c>
      <c r="N723" s="43" t="e">
        <f t="shared" si="23"/>
        <v>#N/A</v>
      </c>
    </row>
    <row r="724" spans="1:14" ht="14.25" customHeight="1" x14ac:dyDescent="0.3">
      <c r="A724">
        <v>723</v>
      </c>
      <c r="B724">
        <v>14</v>
      </c>
      <c r="C724" t="s">
        <v>1809</v>
      </c>
      <c r="D724" t="s">
        <v>517</v>
      </c>
      <c r="E724" t="s">
        <v>1777</v>
      </c>
      <c r="F724">
        <v>11</v>
      </c>
      <c r="G724" t="s">
        <v>1035</v>
      </c>
      <c r="H724" t="s">
        <v>1035</v>
      </c>
      <c r="I724" t="s">
        <v>1029</v>
      </c>
      <c r="J724" t="s">
        <v>1035</v>
      </c>
      <c r="K724">
        <v>723</v>
      </c>
      <c r="L724" t="str">
        <f t="shared" si="22"/>
        <v>Jacardia Wright</v>
      </c>
      <c r="M724" s="69" t="str">
        <f>IFERROR(VLOOKUP(E724,RISK!A:B,2,FALSE()),"")</f>
        <v/>
      </c>
      <c r="N724" s="43" t="e">
        <f t="shared" si="23"/>
        <v>#N/A</v>
      </c>
    </row>
    <row r="725" spans="1:14" ht="14.25" customHeight="1" x14ac:dyDescent="0.3">
      <c r="A725">
        <v>724</v>
      </c>
      <c r="B725">
        <v>14</v>
      </c>
      <c r="C725" t="s">
        <v>1490</v>
      </c>
      <c r="D725" t="s">
        <v>1124</v>
      </c>
      <c r="E725" t="s">
        <v>1792</v>
      </c>
      <c r="F725" t="s">
        <v>1035</v>
      </c>
      <c r="G725" t="s">
        <v>1035</v>
      </c>
      <c r="H725" t="s">
        <v>1035</v>
      </c>
      <c r="I725" t="s">
        <v>1035</v>
      </c>
      <c r="J725" t="s">
        <v>1035</v>
      </c>
      <c r="K725">
        <v>724</v>
      </c>
      <c r="L725" t="str">
        <f t="shared" si="22"/>
        <v>Jaret Patterson</v>
      </c>
      <c r="M725" s="69" t="str">
        <f>IFERROR(VLOOKUP(E725,RISK!A:B,2,FALSE()),"")</f>
        <v/>
      </c>
      <c r="N725" s="43" t="e">
        <f t="shared" si="23"/>
        <v>#N/A</v>
      </c>
    </row>
    <row r="726" spans="1:14" ht="14.25" customHeight="1" x14ac:dyDescent="0.3">
      <c r="A726">
        <v>725</v>
      </c>
      <c r="B726">
        <v>14</v>
      </c>
      <c r="C726" t="s">
        <v>1890</v>
      </c>
      <c r="D726" t="s">
        <v>1124</v>
      </c>
      <c r="E726" t="s">
        <v>1797</v>
      </c>
      <c r="F726" t="s">
        <v>1035</v>
      </c>
      <c r="G726" t="s">
        <v>1035</v>
      </c>
      <c r="H726" t="s">
        <v>1035</v>
      </c>
      <c r="I726" t="s">
        <v>1035</v>
      </c>
      <c r="J726" t="s">
        <v>1035</v>
      </c>
      <c r="K726">
        <v>725</v>
      </c>
      <c r="L726" t="str">
        <f t="shared" si="22"/>
        <v>Jashaun Corbin</v>
      </c>
      <c r="M726" s="69" t="str">
        <f>IFERROR(VLOOKUP(E726,RISK!A:B,2,FALSE()),"")</f>
        <v/>
      </c>
      <c r="N726" s="43" t="e">
        <f t="shared" si="23"/>
        <v>#N/A</v>
      </c>
    </row>
    <row r="727" spans="1:14" ht="14.25" customHeight="1" x14ac:dyDescent="0.3">
      <c r="A727">
        <v>726</v>
      </c>
      <c r="B727">
        <v>14</v>
      </c>
      <c r="C727" t="s">
        <v>1452</v>
      </c>
      <c r="D727" t="s">
        <v>521</v>
      </c>
      <c r="E727" t="s">
        <v>1788</v>
      </c>
      <c r="F727">
        <v>5</v>
      </c>
      <c r="G727" t="s">
        <v>1035</v>
      </c>
      <c r="H727" t="s">
        <v>1035</v>
      </c>
      <c r="I727" t="s">
        <v>1028</v>
      </c>
      <c r="J727" t="s">
        <v>1035</v>
      </c>
      <c r="K727">
        <v>726</v>
      </c>
      <c r="L727" t="str">
        <f t="shared" si="22"/>
        <v>Haynes King</v>
      </c>
      <c r="M727" s="69" t="str">
        <f>IFERROR(VLOOKUP(E727,RISK!A:B,2,FALSE()),"")</f>
        <v/>
      </c>
      <c r="N727" s="43" t="e">
        <f t="shared" si="23"/>
        <v>#N/A</v>
      </c>
    </row>
    <row r="728" spans="1:14" ht="14.25" customHeight="1" x14ac:dyDescent="0.3">
      <c r="A728">
        <v>727</v>
      </c>
      <c r="B728">
        <v>14</v>
      </c>
      <c r="C728" t="s">
        <v>1806</v>
      </c>
      <c r="D728" t="s">
        <v>1124</v>
      </c>
      <c r="E728" t="s">
        <v>1799</v>
      </c>
      <c r="F728" t="s">
        <v>1035</v>
      </c>
      <c r="G728" t="s">
        <v>1035</v>
      </c>
      <c r="H728" t="s">
        <v>1035</v>
      </c>
      <c r="I728" t="s">
        <v>1035</v>
      </c>
      <c r="J728" t="s">
        <v>1035</v>
      </c>
      <c r="K728">
        <v>727</v>
      </c>
      <c r="L728" t="str">
        <f t="shared" si="22"/>
        <v>Coleman Bennett</v>
      </c>
      <c r="M728" s="69" t="str">
        <f>IFERROR(VLOOKUP(E728,RISK!A:B,2,FALSE()),"")</f>
        <v/>
      </c>
      <c r="N728" s="43" t="e">
        <f t="shared" si="23"/>
        <v>#N/A</v>
      </c>
    </row>
    <row r="729" spans="1:14" ht="14.25" customHeight="1" x14ac:dyDescent="0.3">
      <c r="A729">
        <v>728</v>
      </c>
      <c r="B729">
        <v>14</v>
      </c>
      <c r="C729" t="s">
        <v>982</v>
      </c>
      <c r="D729" t="s">
        <v>515</v>
      </c>
      <c r="E729" t="s">
        <v>1651</v>
      </c>
      <c r="F729">
        <v>11</v>
      </c>
      <c r="G729" t="s">
        <v>1035</v>
      </c>
      <c r="H729" t="s">
        <v>1035</v>
      </c>
      <c r="I729" t="s">
        <v>1028</v>
      </c>
      <c r="J729" t="s">
        <v>1035</v>
      </c>
      <c r="K729">
        <v>728</v>
      </c>
      <c r="L729" t="str">
        <f t="shared" si="22"/>
        <v>Drake Dabney</v>
      </c>
      <c r="M729" s="69" t="str">
        <f>IFERROR(VLOOKUP(E729,RISK!A:B,2,FALSE()),"")</f>
        <v/>
      </c>
      <c r="N729" s="43" t="e">
        <f t="shared" si="23"/>
        <v>#N/A</v>
      </c>
    </row>
    <row r="730" spans="1:14" ht="14.25" customHeight="1" x14ac:dyDescent="0.3">
      <c r="A730">
        <v>729</v>
      </c>
      <c r="B730">
        <v>14</v>
      </c>
      <c r="C730" t="s">
        <v>1793</v>
      </c>
      <c r="D730" t="s">
        <v>533</v>
      </c>
      <c r="E730" t="s">
        <v>1789</v>
      </c>
      <c r="F730">
        <v>11</v>
      </c>
      <c r="G730" t="s">
        <v>1035</v>
      </c>
      <c r="H730" t="s">
        <v>1035</v>
      </c>
      <c r="I730" t="s">
        <v>1029</v>
      </c>
      <c r="J730" t="s">
        <v>1035</v>
      </c>
      <c r="K730">
        <v>729</v>
      </c>
      <c r="L730" t="str">
        <f t="shared" si="22"/>
        <v>Jack Strand</v>
      </c>
      <c r="M730" s="69" t="str">
        <f>IFERROR(VLOOKUP(E730,RISK!A:B,2,FALSE()),"")</f>
        <v/>
      </c>
      <c r="N730" s="43" t="e">
        <f t="shared" si="23"/>
        <v>#N/A</v>
      </c>
    </row>
    <row r="731" spans="1:14" ht="14.25" customHeight="1" x14ac:dyDescent="0.3">
      <c r="A731">
        <v>730</v>
      </c>
      <c r="B731">
        <v>14</v>
      </c>
      <c r="C731" t="s">
        <v>1681</v>
      </c>
      <c r="D731" t="s">
        <v>489</v>
      </c>
      <c r="E731" t="s">
        <v>1654</v>
      </c>
      <c r="F731">
        <v>7</v>
      </c>
      <c r="G731" t="s">
        <v>1035</v>
      </c>
      <c r="H731" t="s">
        <v>1035</v>
      </c>
      <c r="I731" t="s">
        <v>1029</v>
      </c>
      <c r="J731" t="s">
        <v>1035</v>
      </c>
      <c r="K731">
        <v>730</v>
      </c>
      <c r="L731" t="str">
        <f t="shared" si="22"/>
        <v>Austin Trammell</v>
      </c>
      <c r="M731" s="69" t="str">
        <f>IFERROR(VLOOKUP(E731,RISK!A:B,2,FALSE()),"")</f>
        <v/>
      </c>
      <c r="N731" s="43" t="e">
        <f t="shared" si="23"/>
        <v>#N/A</v>
      </c>
    </row>
    <row r="732" spans="1:14" ht="14.25" customHeight="1" x14ac:dyDescent="0.3">
      <c r="A732">
        <v>731</v>
      </c>
      <c r="B732">
        <v>14</v>
      </c>
      <c r="C732" t="s">
        <v>1550</v>
      </c>
      <c r="D732" t="s">
        <v>499</v>
      </c>
      <c r="E732" t="s">
        <v>1662</v>
      </c>
      <c r="F732">
        <v>10</v>
      </c>
      <c r="G732" t="s">
        <v>1035</v>
      </c>
      <c r="H732" t="s">
        <v>1035</v>
      </c>
      <c r="I732" t="s">
        <v>1028</v>
      </c>
      <c r="J732" t="s">
        <v>1035</v>
      </c>
      <c r="K732">
        <v>731</v>
      </c>
      <c r="L732" t="str">
        <f t="shared" si="22"/>
        <v>Michael Woods II</v>
      </c>
      <c r="M732" s="69" t="str">
        <f>IFERROR(VLOOKUP(E732,RISK!A:B,2,FALSE()),"")</f>
        <v/>
      </c>
      <c r="N732" s="43" t="e">
        <f t="shared" si="23"/>
        <v>#N/A</v>
      </c>
    </row>
    <row r="733" spans="1:14" ht="14.25" customHeight="1" x14ac:dyDescent="0.3">
      <c r="A733">
        <v>732</v>
      </c>
      <c r="B733">
        <v>14</v>
      </c>
      <c r="C733" t="s">
        <v>2009</v>
      </c>
      <c r="D733" t="s">
        <v>1124</v>
      </c>
      <c r="E733" t="s">
        <v>1805</v>
      </c>
      <c r="F733" t="s">
        <v>1035</v>
      </c>
      <c r="G733" t="s">
        <v>1035</v>
      </c>
      <c r="H733" t="s">
        <v>1035</v>
      </c>
      <c r="I733" t="s">
        <v>1035</v>
      </c>
      <c r="J733" t="s">
        <v>1035</v>
      </c>
      <c r="K733">
        <v>732</v>
      </c>
      <c r="L733" t="str">
        <f t="shared" si="22"/>
        <v>Montrell Johnson Jr.</v>
      </c>
      <c r="M733" s="69" t="str">
        <f>IFERROR(VLOOKUP(E733,RISK!A:B,2,FALSE()),"")</f>
        <v/>
      </c>
      <c r="N733" s="43" t="e">
        <f t="shared" si="23"/>
        <v>#N/A</v>
      </c>
    </row>
    <row r="734" spans="1:14" ht="14.25" customHeight="1" x14ac:dyDescent="0.3">
      <c r="A734">
        <v>733</v>
      </c>
      <c r="B734">
        <v>14</v>
      </c>
      <c r="C734" t="s">
        <v>1993</v>
      </c>
      <c r="D734" t="s">
        <v>1124</v>
      </c>
      <c r="E734" t="s">
        <v>1653</v>
      </c>
      <c r="F734" t="s">
        <v>1035</v>
      </c>
      <c r="G734" t="s">
        <v>1035</v>
      </c>
      <c r="H734" t="s">
        <v>1035</v>
      </c>
      <c r="I734" t="s">
        <v>1035</v>
      </c>
      <c r="J734" t="s">
        <v>1035</v>
      </c>
      <c r="K734">
        <v>733</v>
      </c>
      <c r="L734" t="str">
        <f t="shared" si="22"/>
        <v>Jordan Akins</v>
      </c>
      <c r="M734" s="69" t="str">
        <f>IFERROR(VLOOKUP(E734,RISK!A:B,2,FALSE()),"")</f>
        <v/>
      </c>
      <c r="N734" s="43" t="e">
        <f t="shared" si="23"/>
        <v>#N/A</v>
      </c>
    </row>
    <row r="735" spans="1:14" ht="14.25" customHeight="1" x14ac:dyDescent="0.3">
      <c r="A735">
        <v>734</v>
      </c>
      <c r="B735">
        <v>14</v>
      </c>
      <c r="C735" t="s">
        <v>1999</v>
      </c>
      <c r="D735" t="s">
        <v>531</v>
      </c>
      <c r="E735" t="s">
        <v>1602</v>
      </c>
      <c r="F735">
        <v>13</v>
      </c>
      <c r="G735" t="s">
        <v>1035</v>
      </c>
      <c r="H735" t="s">
        <v>1035</v>
      </c>
      <c r="I735" t="s">
        <v>1031</v>
      </c>
      <c r="J735" t="s">
        <v>1035</v>
      </c>
      <c r="K735">
        <v>734</v>
      </c>
      <c r="L735" t="str">
        <f t="shared" si="22"/>
        <v>Matt Gay</v>
      </c>
      <c r="M735" s="69" t="str">
        <f>IFERROR(VLOOKUP(E735,RISK!A:B,2,FALSE()),"")</f>
        <v/>
      </c>
      <c r="N735" s="43" t="e">
        <f t="shared" si="23"/>
        <v>#N/A</v>
      </c>
    </row>
    <row r="736" spans="1:14" ht="14.25" customHeight="1" x14ac:dyDescent="0.3">
      <c r="A736">
        <v>735</v>
      </c>
      <c r="B736">
        <v>14</v>
      </c>
      <c r="C736" t="s">
        <v>577</v>
      </c>
      <c r="D736" t="s">
        <v>529</v>
      </c>
      <c r="E736" t="s">
        <v>1790</v>
      </c>
      <c r="F736">
        <v>9</v>
      </c>
      <c r="G736" t="s">
        <v>1035</v>
      </c>
      <c r="H736" t="s">
        <v>1035</v>
      </c>
      <c r="I736" t="s">
        <v>1028</v>
      </c>
      <c r="J736" t="s">
        <v>1035</v>
      </c>
      <c r="K736">
        <v>735</v>
      </c>
      <c r="L736" t="str">
        <f t="shared" si="22"/>
        <v>Will Howard</v>
      </c>
      <c r="M736" s="69" t="str">
        <f>IFERROR(VLOOKUP(E736,RISK!A:B,2,FALSE()),"")</f>
        <v/>
      </c>
      <c r="N736" s="43" t="e">
        <f t="shared" si="23"/>
        <v>#N/A</v>
      </c>
    </row>
    <row r="737" spans="1:14" ht="14.25" customHeight="1" x14ac:dyDescent="0.3">
      <c r="A737">
        <v>736</v>
      </c>
      <c r="B737">
        <v>14</v>
      </c>
      <c r="C737" t="s">
        <v>1994</v>
      </c>
      <c r="D737" t="s">
        <v>1124</v>
      </c>
      <c r="E737" t="s">
        <v>1656</v>
      </c>
      <c r="F737" t="s">
        <v>1035</v>
      </c>
      <c r="G737" t="s">
        <v>1035</v>
      </c>
      <c r="H737" t="s">
        <v>1035</v>
      </c>
      <c r="I737" t="s">
        <v>1035</v>
      </c>
      <c r="J737" t="s">
        <v>1035</v>
      </c>
      <c r="K737">
        <v>736</v>
      </c>
      <c r="L737" t="str">
        <f t="shared" si="22"/>
        <v>Harrison Bryant</v>
      </c>
      <c r="M737" s="69" t="str">
        <f>IFERROR(VLOOKUP(E737,RISK!A:B,2,FALSE()),"")</f>
        <v/>
      </c>
      <c r="N737" s="43" t="e">
        <f t="shared" si="23"/>
        <v>#N/A</v>
      </c>
    </row>
    <row r="738" spans="1:14" ht="14.25" customHeight="1" x14ac:dyDescent="0.3">
      <c r="A738">
        <v>737</v>
      </c>
      <c r="B738">
        <v>14</v>
      </c>
      <c r="C738" t="s">
        <v>890</v>
      </c>
      <c r="D738" t="s">
        <v>485</v>
      </c>
      <c r="E738" t="s">
        <v>1666</v>
      </c>
      <c r="F738">
        <v>8</v>
      </c>
      <c r="G738" t="s">
        <v>1035</v>
      </c>
      <c r="H738" t="s">
        <v>1035</v>
      </c>
      <c r="I738" t="s">
        <v>1029</v>
      </c>
      <c r="J738" t="s">
        <v>1035</v>
      </c>
      <c r="K738">
        <v>737</v>
      </c>
      <c r="L738" t="str">
        <f t="shared" si="22"/>
        <v>Charlie Jones</v>
      </c>
      <c r="M738" s="69" t="str">
        <f>IFERROR(VLOOKUP(E738,RISK!A:B,2,FALSE()),"")</f>
        <v/>
      </c>
      <c r="N738" s="43" t="e">
        <f t="shared" si="23"/>
        <v>#N/A</v>
      </c>
    </row>
    <row r="739" spans="1:14" ht="14.25" customHeight="1" x14ac:dyDescent="0.3">
      <c r="A739">
        <v>738</v>
      </c>
      <c r="B739">
        <v>14</v>
      </c>
      <c r="C739" t="s">
        <v>1561</v>
      </c>
      <c r="D739" t="s">
        <v>531</v>
      </c>
      <c r="E739" t="s">
        <v>1668</v>
      </c>
      <c r="F739">
        <v>13</v>
      </c>
      <c r="G739" t="s">
        <v>1035</v>
      </c>
      <c r="H739" t="s">
        <v>1035</v>
      </c>
      <c r="I739" t="s">
        <v>1028</v>
      </c>
      <c r="J739" t="s">
        <v>1035</v>
      </c>
      <c r="K739">
        <v>738</v>
      </c>
      <c r="L739" t="str">
        <f t="shared" si="22"/>
        <v>Ronnie Bell</v>
      </c>
      <c r="M739" s="69" t="str">
        <f>IFERROR(VLOOKUP(E739,RISK!A:B,2,FALSE()),"")</f>
        <v/>
      </c>
      <c r="N739" s="43" t="e">
        <f t="shared" si="23"/>
        <v>#N/A</v>
      </c>
    </row>
    <row r="740" spans="1:14" ht="14.25" customHeight="1" x14ac:dyDescent="0.3">
      <c r="A740">
        <v>739</v>
      </c>
      <c r="B740">
        <v>14</v>
      </c>
      <c r="C740" t="s">
        <v>1872</v>
      </c>
      <c r="D740" t="s">
        <v>1124</v>
      </c>
      <c r="E740" t="s">
        <v>1807</v>
      </c>
      <c r="F740" t="s">
        <v>1035</v>
      </c>
      <c r="G740" t="s">
        <v>1035</v>
      </c>
      <c r="H740" t="s">
        <v>1035</v>
      </c>
      <c r="I740" t="s">
        <v>1035</v>
      </c>
      <c r="J740" t="s">
        <v>1035</v>
      </c>
      <c r="K740">
        <v>739</v>
      </c>
      <c r="L740" t="str">
        <f t="shared" si="22"/>
        <v>Zack Moss</v>
      </c>
      <c r="M740" s="69" t="str">
        <f>IFERROR(VLOOKUP(E740,RISK!A:B,2,FALSE()),"")</f>
        <v/>
      </c>
      <c r="N740" s="43" t="e">
        <f t="shared" si="23"/>
        <v>#N/A</v>
      </c>
    </row>
    <row r="741" spans="1:14" ht="14.25" customHeight="1" x14ac:dyDescent="0.3">
      <c r="A741">
        <v>740</v>
      </c>
      <c r="B741">
        <v>14</v>
      </c>
      <c r="C741" t="s">
        <v>883</v>
      </c>
      <c r="D741" t="s">
        <v>485</v>
      </c>
      <c r="E741" t="s">
        <v>1670</v>
      </c>
      <c r="F741">
        <v>8</v>
      </c>
      <c r="G741" t="s">
        <v>1035</v>
      </c>
      <c r="H741" t="s">
        <v>1035</v>
      </c>
      <c r="I741" t="s">
        <v>1029</v>
      </c>
      <c r="J741" t="s">
        <v>1035</v>
      </c>
      <c r="K741">
        <v>740</v>
      </c>
      <c r="L741" t="str">
        <f t="shared" si="22"/>
        <v>Braxton Berrios</v>
      </c>
      <c r="M741" s="69" t="str">
        <f>IFERROR(VLOOKUP(E741,RISK!A:B,2,FALSE()),"")</f>
        <v/>
      </c>
      <c r="N741" s="43" t="e">
        <f t="shared" si="23"/>
        <v>#N/A</v>
      </c>
    </row>
    <row r="742" spans="1:14" ht="14.25" customHeight="1" x14ac:dyDescent="0.3">
      <c r="A742">
        <v>741</v>
      </c>
      <c r="B742">
        <v>14</v>
      </c>
      <c r="C742" t="s">
        <v>1512</v>
      </c>
      <c r="D742" t="s">
        <v>1124</v>
      </c>
      <c r="E742" t="s">
        <v>1657</v>
      </c>
      <c r="F742" t="s">
        <v>1035</v>
      </c>
      <c r="G742" t="s">
        <v>1035</v>
      </c>
      <c r="H742" t="s">
        <v>1035</v>
      </c>
      <c r="I742" t="s">
        <v>1035</v>
      </c>
      <c r="J742" t="s">
        <v>1035</v>
      </c>
      <c r="K742">
        <v>741</v>
      </c>
      <c r="L742" t="str">
        <f t="shared" si="22"/>
        <v>Jaheim Bell</v>
      </c>
      <c r="M742" s="69" t="str">
        <f>IFERROR(VLOOKUP(E742,RISK!A:B,2,FALSE()),"")</f>
        <v/>
      </c>
      <c r="N742" s="43" t="e">
        <f t="shared" si="23"/>
        <v>#N/A</v>
      </c>
    </row>
    <row r="743" spans="1:14" ht="14.25" customHeight="1" x14ac:dyDescent="0.3">
      <c r="A743">
        <v>742</v>
      </c>
      <c r="B743">
        <v>14</v>
      </c>
      <c r="C743" t="s">
        <v>1268</v>
      </c>
      <c r="D743" t="s">
        <v>531</v>
      </c>
      <c r="E743" t="s">
        <v>1808</v>
      </c>
      <c r="F743">
        <v>13</v>
      </c>
      <c r="G743" t="s">
        <v>1035</v>
      </c>
      <c r="H743" t="s">
        <v>1035</v>
      </c>
      <c r="I743" t="s">
        <v>1028</v>
      </c>
      <c r="J743" t="s">
        <v>1035</v>
      </c>
      <c r="K743">
        <v>742</v>
      </c>
      <c r="L743" t="str">
        <f t="shared" si="22"/>
        <v>Roman Hemby</v>
      </c>
      <c r="M743" s="69" t="str">
        <f>IFERROR(VLOOKUP(E743,RISK!A:B,2,FALSE()),"")</f>
        <v/>
      </c>
      <c r="N743" s="43" t="e">
        <f t="shared" si="23"/>
        <v>#N/A</v>
      </c>
    </row>
    <row r="744" spans="1:14" ht="14.25" customHeight="1" x14ac:dyDescent="0.3">
      <c r="A744">
        <v>743</v>
      </c>
      <c r="B744">
        <v>14</v>
      </c>
      <c r="C744" t="s">
        <v>1783</v>
      </c>
      <c r="D744" t="s">
        <v>499</v>
      </c>
      <c r="E744" t="s">
        <v>1794</v>
      </c>
      <c r="F744">
        <v>10</v>
      </c>
      <c r="G744" t="s">
        <v>1035</v>
      </c>
      <c r="H744" t="s">
        <v>1035</v>
      </c>
      <c r="I744" t="s">
        <v>1032</v>
      </c>
      <c r="J744" t="s">
        <v>1035</v>
      </c>
      <c r="K744">
        <v>743</v>
      </c>
      <c r="L744" t="str">
        <f t="shared" si="22"/>
        <v>Sam Ehlinger</v>
      </c>
      <c r="M744" s="69" t="str">
        <f>IFERROR(VLOOKUP(E744,RISK!A:B,2,FALSE()),"")</f>
        <v/>
      </c>
      <c r="N744" s="43" t="e">
        <f t="shared" si="23"/>
        <v>#N/A</v>
      </c>
    </row>
    <row r="745" spans="1:14" ht="14.25" customHeight="1" x14ac:dyDescent="0.3">
      <c r="A745">
        <v>744</v>
      </c>
      <c r="B745">
        <v>14</v>
      </c>
      <c r="C745" t="s">
        <v>2010</v>
      </c>
      <c r="D745" t="s">
        <v>1124</v>
      </c>
      <c r="E745" t="s">
        <v>1810</v>
      </c>
      <c r="F745" t="s">
        <v>1035</v>
      </c>
      <c r="G745" t="s">
        <v>1035</v>
      </c>
      <c r="H745" t="s">
        <v>1035</v>
      </c>
      <c r="I745" t="s">
        <v>1035</v>
      </c>
      <c r="J745" t="s">
        <v>1035</v>
      </c>
      <c r="K745">
        <v>744</v>
      </c>
      <c r="L745" t="str">
        <f t="shared" si="22"/>
        <v>Wendell Smallwood</v>
      </c>
      <c r="M745" s="69" t="str">
        <f>IFERROR(VLOOKUP(E745,RISK!A:B,2,FALSE()),"")</f>
        <v/>
      </c>
      <c r="N745" s="43" t="e">
        <f t="shared" si="23"/>
        <v>#N/A</v>
      </c>
    </row>
    <row r="746" spans="1:14" ht="14.25" customHeight="1" x14ac:dyDescent="0.3">
      <c r="A746">
        <v>745</v>
      </c>
      <c r="B746">
        <v>14</v>
      </c>
      <c r="C746" t="s">
        <v>1652</v>
      </c>
      <c r="D746" t="s">
        <v>491</v>
      </c>
      <c r="E746" t="s">
        <v>1660</v>
      </c>
      <c r="F746">
        <v>14</v>
      </c>
      <c r="G746" t="s">
        <v>1035</v>
      </c>
      <c r="H746" t="s">
        <v>1035</v>
      </c>
      <c r="I746" t="s">
        <v>1028</v>
      </c>
      <c r="J746" t="s">
        <v>1035</v>
      </c>
      <c r="K746">
        <v>745</v>
      </c>
      <c r="L746" t="str">
        <f t="shared" si="22"/>
        <v>James Mitchell</v>
      </c>
      <c r="M746" s="69" t="str">
        <f>IFERROR(VLOOKUP(E746,RISK!A:B,2,FALSE()),"")</f>
        <v/>
      </c>
      <c r="N746" s="43" t="e">
        <f t="shared" si="23"/>
        <v>#N/A</v>
      </c>
    </row>
    <row r="747" spans="1:14" ht="14.25" customHeight="1" x14ac:dyDescent="0.3">
      <c r="A747">
        <v>746</v>
      </c>
      <c r="B747">
        <v>14</v>
      </c>
      <c r="C747" t="s">
        <v>1665</v>
      </c>
      <c r="D747" t="s">
        <v>533</v>
      </c>
      <c r="E747" t="s">
        <v>1672</v>
      </c>
      <c r="F747">
        <v>11</v>
      </c>
      <c r="G747" t="s">
        <v>1035</v>
      </c>
      <c r="H747" t="s">
        <v>1035</v>
      </c>
      <c r="I747" t="s">
        <v>1032</v>
      </c>
      <c r="J747">
        <v>-406</v>
      </c>
      <c r="K747">
        <v>746</v>
      </c>
      <c r="L747" t="str">
        <f t="shared" si="22"/>
        <v>Dylan Drummond</v>
      </c>
      <c r="M747" s="69" t="str">
        <f>IFERROR(VLOOKUP(E747,RISK!A:B,2,FALSE()),"")</f>
        <v/>
      </c>
      <c r="N747" s="43" t="e">
        <f t="shared" si="23"/>
        <v>#N/A</v>
      </c>
    </row>
    <row r="748" spans="1:14" ht="14.25" customHeight="1" x14ac:dyDescent="0.3">
      <c r="A748">
        <v>747</v>
      </c>
      <c r="B748">
        <v>14</v>
      </c>
      <c r="C748" t="s">
        <v>2011</v>
      </c>
      <c r="D748" t="s">
        <v>1124</v>
      </c>
      <c r="E748" t="s">
        <v>1812</v>
      </c>
      <c r="F748" t="s">
        <v>1035</v>
      </c>
      <c r="G748" t="s">
        <v>1035</v>
      </c>
      <c r="H748" t="s">
        <v>1035</v>
      </c>
      <c r="I748" t="s">
        <v>1035</v>
      </c>
      <c r="J748" t="s">
        <v>1035</v>
      </c>
      <c r="K748">
        <v>747</v>
      </c>
      <c r="L748" t="str">
        <f t="shared" si="22"/>
        <v>Jonathan Williams</v>
      </c>
      <c r="M748" s="69" t="str">
        <f>IFERROR(VLOOKUP(E748,RISK!A:B,2,FALSE()),"")</f>
        <v/>
      </c>
      <c r="N748" s="43" t="e">
        <f t="shared" si="23"/>
        <v>#N/A</v>
      </c>
    </row>
    <row r="749" spans="1:14" ht="14.25" customHeight="1" x14ac:dyDescent="0.3">
      <c r="A749">
        <v>748</v>
      </c>
      <c r="B749">
        <v>14</v>
      </c>
      <c r="C749" t="s">
        <v>1842</v>
      </c>
      <c r="D749" t="s">
        <v>509</v>
      </c>
      <c r="E749" t="s">
        <v>1676</v>
      </c>
      <c r="F749">
        <v>6</v>
      </c>
      <c r="G749" t="s">
        <v>1035</v>
      </c>
      <c r="H749" t="s">
        <v>1035</v>
      </c>
      <c r="I749" t="s">
        <v>1027</v>
      </c>
      <c r="J749" t="s">
        <v>1035</v>
      </c>
      <c r="K749">
        <v>748</v>
      </c>
      <c r="L749" t="str">
        <f t="shared" si="22"/>
        <v>Michael Briscoe</v>
      </c>
      <c r="M749" s="69" t="str">
        <f>IFERROR(VLOOKUP(E749,RISK!A:B,2,FALSE()),"")</f>
        <v/>
      </c>
      <c r="N749" s="43" t="e">
        <f t="shared" si="23"/>
        <v>#N/A</v>
      </c>
    </row>
    <row r="750" spans="1:14" ht="14.25" customHeight="1" x14ac:dyDescent="0.3">
      <c r="A750">
        <v>749</v>
      </c>
      <c r="B750">
        <v>14</v>
      </c>
      <c r="C750" t="s">
        <v>1848</v>
      </c>
      <c r="D750" t="s">
        <v>531</v>
      </c>
      <c r="E750" t="s">
        <v>1822</v>
      </c>
      <c r="F750">
        <v>13</v>
      </c>
      <c r="G750" t="s">
        <v>1035</v>
      </c>
      <c r="H750" t="s">
        <v>1035</v>
      </c>
      <c r="I750" t="s">
        <v>1028</v>
      </c>
      <c r="J750" t="s">
        <v>1035</v>
      </c>
      <c r="K750">
        <v>749</v>
      </c>
      <c r="L750" t="str">
        <f t="shared" si="22"/>
        <v>Raheem Mostert</v>
      </c>
      <c r="M750" s="69" t="str">
        <f>IFERROR(VLOOKUP(E750,RISK!A:B,2,FALSE()),"")</f>
        <v/>
      </c>
      <c r="N750" s="43" t="e">
        <f t="shared" si="23"/>
        <v>#N/A</v>
      </c>
    </row>
    <row r="751" spans="1:14" ht="14.25" customHeight="1" x14ac:dyDescent="0.3">
      <c r="A751">
        <v>750</v>
      </c>
      <c r="B751">
        <v>14</v>
      </c>
      <c r="C751" t="s">
        <v>885</v>
      </c>
      <c r="D751" t="s">
        <v>499</v>
      </c>
      <c r="E751" t="s">
        <v>1682</v>
      </c>
      <c r="F751">
        <v>10</v>
      </c>
      <c r="G751" t="s">
        <v>1035</v>
      </c>
      <c r="H751" t="s">
        <v>1035</v>
      </c>
      <c r="I751" t="s">
        <v>1028</v>
      </c>
      <c r="J751" t="s">
        <v>1035</v>
      </c>
      <c r="K751">
        <v>750</v>
      </c>
      <c r="L751" t="str">
        <f t="shared" si="22"/>
        <v>Michael Bandy</v>
      </c>
      <c r="M751" s="69" t="str">
        <f>IFERROR(VLOOKUP(E751,RISK!A:B,2,FALSE()),"")</f>
        <v/>
      </c>
      <c r="N751" s="43" t="e">
        <f t="shared" si="23"/>
        <v>#N/A</v>
      </c>
    </row>
    <row r="752" spans="1:14" ht="14.25" customHeight="1" x14ac:dyDescent="0.3">
      <c r="A752">
        <v>751</v>
      </c>
      <c r="B752">
        <v>14</v>
      </c>
      <c r="C752" t="s">
        <v>2012</v>
      </c>
      <c r="D752" t="s">
        <v>1124</v>
      </c>
      <c r="E752" t="s">
        <v>1828</v>
      </c>
      <c r="F752" t="s">
        <v>1035</v>
      </c>
      <c r="G752" t="s">
        <v>1035</v>
      </c>
      <c r="H752" t="s">
        <v>1035</v>
      </c>
      <c r="I752" t="s">
        <v>1035</v>
      </c>
      <c r="J752" t="s">
        <v>1035</v>
      </c>
      <c r="K752">
        <v>751</v>
      </c>
      <c r="L752" t="str">
        <f t="shared" si="22"/>
        <v>Nick Bawden</v>
      </c>
      <c r="M752" s="69" t="str">
        <f>IFERROR(VLOOKUP(E752,RISK!A:B,2,FALSE()),"")</f>
        <v/>
      </c>
      <c r="N752" s="43" t="e">
        <f t="shared" si="23"/>
        <v>#N/A</v>
      </c>
    </row>
    <row r="753" spans="1:14" ht="14.25" customHeight="1" x14ac:dyDescent="0.3">
      <c r="A753">
        <v>752</v>
      </c>
      <c r="B753">
        <v>14</v>
      </c>
      <c r="C753" t="s">
        <v>1522</v>
      </c>
      <c r="D753" t="s">
        <v>525</v>
      </c>
      <c r="E753" t="s">
        <v>1664</v>
      </c>
      <c r="F753">
        <v>9</v>
      </c>
      <c r="G753" t="s">
        <v>1035</v>
      </c>
      <c r="H753" t="s">
        <v>1035</v>
      </c>
      <c r="I753" t="s">
        <v>1032</v>
      </c>
      <c r="J753" t="s">
        <v>1035</v>
      </c>
      <c r="K753">
        <v>752</v>
      </c>
      <c r="L753" t="str">
        <f t="shared" si="22"/>
        <v>Joel Wilson</v>
      </c>
      <c r="M753" s="69" t="str">
        <f>IFERROR(VLOOKUP(E753,RISK!A:B,2,FALSE()),"")</f>
        <v/>
      </c>
      <c r="N753" s="43" t="e">
        <f t="shared" si="23"/>
        <v>#N/A</v>
      </c>
    </row>
    <row r="754" spans="1:14" ht="14.25" customHeight="1" x14ac:dyDescent="0.3">
      <c r="A754">
        <v>753</v>
      </c>
      <c r="B754">
        <v>14</v>
      </c>
      <c r="C754" t="s">
        <v>690</v>
      </c>
      <c r="D754" t="s">
        <v>523</v>
      </c>
      <c r="E754" t="s">
        <v>1830</v>
      </c>
      <c r="F754">
        <v>13</v>
      </c>
      <c r="G754" t="s">
        <v>1035</v>
      </c>
      <c r="H754" t="s">
        <v>1035</v>
      </c>
      <c r="I754" t="s">
        <v>1032</v>
      </c>
      <c r="J754" t="s">
        <v>1035</v>
      </c>
      <c r="K754">
        <v>753</v>
      </c>
      <c r="L754" t="str">
        <f t="shared" si="22"/>
        <v>Andrew Beck</v>
      </c>
      <c r="M754" s="69" t="str">
        <f>IFERROR(VLOOKUP(E754,RISK!A:B,2,FALSE()),"")</f>
        <v/>
      </c>
      <c r="N754" s="43" t="e">
        <f t="shared" si="23"/>
        <v>#N/A</v>
      </c>
    </row>
    <row r="755" spans="1:14" ht="14.25" customHeight="1" x14ac:dyDescent="0.3">
      <c r="A755">
        <v>754</v>
      </c>
      <c r="B755">
        <v>14</v>
      </c>
      <c r="C755" t="s">
        <v>1706</v>
      </c>
      <c r="D755" t="s">
        <v>531</v>
      </c>
      <c r="E755" t="s">
        <v>1674</v>
      </c>
      <c r="F755">
        <v>13</v>
      </c>
      <c r="G755" t="s">
        <v>1035</v>
      </c>
      <c r="H755" t="s">
        <v>1035</v>
      </c>
      <c r="I755" t="s">
        <v>1032</v>
      </c>
      <c r="J755" t="s">
        <v>1035</v>
      </c>
      <c r="K755">
        <v>754</v>
      </c>
      <c r="L755" t="str">
        <f t="shared" si="22"/>
        <v>Carter Runyon</v>
      </c>
      <c r="M755" s="69" t="str">
        <f>IFERROR(VLOOKUP(E755,RISK!A:B,2,FALSE()),"")</f>
        <v/>
      </c>
      <c r="N755" s="43" t="e">
        <f t="shared" si="23"/>
        <v>#N/A</v>
      </c>
    </row>
    <row r="756" spans="1:14" ht="14.25" customHeight="1" x14ac:dyDescent="0.3">
      <c r="A756">
        <v>755</v>
      </c>
      <c r="B756">
        <v>14</v>
      </c>
      <c r="C756" t="s">
        <v>1449</v>
      </c>
      <c r="D756" t="s">
        <v>475</v>
      </c>
      <c r="E756" t="s">
        <v>1795</v>
      </c>
      <c r="F756">
        <v>13</v>
      </c>
      <c r="G756" t="s">
        <v>1035</v>
      </c>
      <c r="H756" t="s">
        <v>1035</v>
      </c>
      <c r="I756" t="s">
        <v>1032</v>
      </c>
      <c r="J756" t="s">
        <v>1035</v>
      </c>
      <c r="K756">
        <v>755</v>
      </c>
      <c r="L756" t="str">
        <f t="shared" si="22"/>
        <v>Joe Fagnano</v>
      </c>
      <c r="M756" s="69" t="str">
        <f>IFERROR(VLOOKUP(E756,RISK!A:B,2,FALSE()),"")</f>
        <v/>
      </c>
      <c r="N756" s="43" t="e">
        <f t="shared" si="23"/>
        <v>#N/A</v>
      </c>
    </row>
    <row r="757" spans="1:14" ht="14.25" customHeight="1" x14ac:dyDescent="0.3">
      <c r="A757">
        <v>756</v>
      </c>
      <c r="B757">
        <v>14</v>
      </c>
      <c r="C757" t="s">
        <v>2000</v>
      </c>
      <c r="D757" t="s">
        <v>1124</v>
      </c>
      <c r="E757" t="s">
        <v>1684</v>
      </c>
      <c r="F757" t="s">
        <v>1035</v>
      </c>
      <c r="G757" t="s">
        <v>1035</v>
      </c>
      <c r="H757" t="s">
        <v>1035</v>
      </c>
      <c r="I757" t="s">
        <v>1035</v>
      </c>
      <c r="J757" t="s">
        <v>1035</v>
      </c>
      <c r="K757">
        <v>756</v>
      </c>
      <c r="L757" t="str">
        <f t="shared" si="22"/>
        <v>Juice Wells Jr.</v>
      </c>
      <c r="M757" s="69" t="str">
        <f>IFERROR(VLOOKUP(E757,RISK!A:B,2,FALSE()),"")</f>
        <v/>
      </c>
      <c r="N757" s="43" t="e">
        <f t="shared" si="23"/>
        <v>#N/A</v>
      </c>
    </row>
    <row r="758" spans="1:14" ht="14.25" customHeight="1" x14ac:dyDescent="0.3">
      <c r="A758">
        <v>757</v>
      </c>
      <c r="B758">
        <v>14</v>
      </c>
      <c r="C758" t="s">
        <v>1566</v>
      </c>
      <c r="D758" t="s">
        <v>1124</v>
      </c>
      <c r="E758" t="s">
        <v>1686</v>
      </c>
      <c r="F758" t="s">
        <v>1035</v>
      </c>
      <c r="G758" t="s">
        <v>1035</v>
      </c>
      <c r="H758" t="s">
        <v>1035</v>
      </c>
      <c r="I758" t="s">
        <v>1035</v>
      </c>
      <c r="J758" t="s">
        <v>1035</v>
      </c>
      <c r="K758">
        <v>757</v>
      </c>
      <c r="L758" t="str">
        <f t="shared" si="22"/>
        <v>Tahj Washington</v>
      </c>
      <c r="M758" s="69" t="str">
        <f>IFERROR(VLOOKUP(E758,RISK!A:B,2,FALSE()),"")</f>
        <v/>
      </c>
      <c r="N758" s="43" t="e">
        <f t="shared" si="23"/>
        <v>#N/A</v>
      </c>
    </row>
    <row r="759" spans="1:14" ht="14.25" customHeight="1" x14ac:dyDescent="0.3">
      <c r="A759">
        <v>758</v>
      </c>
      <c r="B759">
        <v>14</v>
      </c>
      <c r="C759" t="s">
        <v>572</v>
      </c>
      <c r="D759" t="s">
        <v>481</v>
      </c>
      <c r="E759" t="s">
        <v>1800</v>
      </c>
      <c r="F759">
        <v>10</v>
      </c>
      <c r="G759" t="s">
        <v>1035</v>
      </c>
      <c r="H759" t="s">
        <v>1035</v>
      </c>
      <c r="I759" t="s">
        <v>1027</v>
      </c>
      <c r="J759" t="s">
        <v>1035</v>
      </c>
      <c r="K759">
        <v>758</v>
      </c>
      <c r="L759" t="str">
        <f t="shared" si="22"/>
        <v>Cole Payton</v>
      </c>
      <c r="M759" s="69" t="str">
        <f>IFERROR(VLOOKUP(E759,RISK!A:B,2,FALSE()),"")</f>
        <v/>
      </c>
      <c r="N759" s="43" t="e">
        <f t="shared" si="23"/>
        <v>#N/A</v>
      </c>
    </row>
    <row r="760" spans="1:14" ht="14.25" customHeight="1" x14ac:dyDescent="0.3">
      <c r="A760">
        <v>759</v>
      </c>
      <c r="B760">
        <v>14</v>
      </c>
      <c r="C760" t="s">
        <v>1786</v>
      </c>
      <c r="D760" t="s">
        <v>479</v>
      </c>
      <c r="E760" t="s">
        <v>1802</v>
      </c>
      <c r="F760">
        <v>7</v>
      </c>
      <c r="G760" t="s">
        <v>1035</v>
      </c>
      <c r="H760" t="s">
        <v>1035</v>
      </c>
      <c r="I760" t="s">
        <v>1028</v>
      </c>
      <c r="J760" t="s">
        <v>1035</v>
      </c>
      <c r="K760">
        <v>759</v>
      </c>
      <c r="L760" t="str">
        <f t="shared" si="22"/>
        <v>Athan Kaliakmanis</v>
      </c>
      <c r="M760" s="69" t="str">
        <f>IFERROR(VLOOKUP(E760,RISK!A:B,2,FALSE()),"")</f>
        <v/>
      </c>
      <c r="N760" s="43" t="e">
        <f t="shared" si="23"/>
        <v>#N/A</v>
      </c>
    </row>
    <row r="761" spans="1:14" ht="14.25" customHeight="1" x14ac:dyDescent="0.3">
      <c r="A761">
        <v>760</v>
      </c>
      <c r="B761">
        <v>14</v>
      </c>
      <c r="C761" t="s">
        <v>1601</v>
      </c>
      <c r="D761" t="s">
        <v>513</v>
      </c>
      <c r="E761" t="s">
        <v>1607</v>
      </c>
      <c r="F761">
        <v>6</v>
      </c>
      <c r="G761" t="s">
        <v>1035</v>
      </c>
      <c r="H761" t="s">
        <v>1035</v>
      </c>
      <c r="I761" t="s">
        <v>1028</v>
      </c>
      <c r="J761" t="s">
        <v>1035</v>
      </c>
      <c r="K761">
        <v>760</v>
      </c>
      <c r="L761" t="str">
        <f t="shared" si="22"/>
        <v>Riley Patterson</v>
      </c>
      <c r="M761" s="69" t="str">
        <f>IFERROR(VLOOKUP(E761,RISK!A:B,2,FALSE()),"")</f>
        <v/>
      </c>
      <c r="N761" s="43" t="e">
        <f t="shared" si="23"/>
        <v>#N/A</v>
      </c>
    </row>
    <row r="762" spans="1:14" ht="14.25" customHeight="1" x14ac:dyDescent="0.3">
      <c r="A762">
        <v>761</v>
      </c>
      <c r="B762">
        <v>14</v>
      </c>
      <c r="C762" t="s">
        <v>1886</v>
      </c>
      <c r="D762" t="s">
        <v>1124</v>
      </c>
      <c r="E762" t="s">
        <v>1831</v>
      </c>
      <c r="F762" t="s">
        <v>1035</v>
      </c>
      <c r="G762" t="s">
        <v>1035</v>
      </c>
      <c r="H762" t="s">
        <v>1035</v>
      </c>
      <c r="I762" t="s">
        <v>1035</v>
      </c>
      <c r="J762" t="s">
        <v>1035</v>
      </c>
      <c r="K762">
        <v>761</v>
      </c>
      <c r="L762" t="str">
        <f t="shared" si="22"/>
        <v>D'Onta Foreman</v>
      </c>
      <c r="M762" s="69" t="str">
        <f>IFERROR(VLOOKUP(E762,RISK!A:B,2,FALSE()),"")</f>
        <v/>
      </c>
      <c r="N762" s="43" t="e">
        <f t="shared" si="23"/>
        <v>#N/A</v>
      </c>
    </row>
    <row r="763" spans="1:14" ht="14.25" customHeight="1" x14ac:dyDescent="0.3">
      <c r="A763">
        <v>762</v>
      </c>
      <c r="B763">
        <v>14</v>
      </c>
      <c r="C763" t="s">
        <v>566</v>
      </c>
      <c r="D763" t="s">
        <v>489</v>
      </c>
      <c r="E763" t="s">
        <v>1803</v>
      </c>
      <c r="F763">
        <v>7</v>
      </c>
      <c r="G763" t="s">
        <v>1035</v>
      </c>
      <c r="H763" t="s">
        <v>1035</v>
      </c>
      <c r="I763" t="s">
        <v>1029</v>
      </c>
      <c r="J763" t="s">
        <v>1035</v>
      </c>
      <c r="K763">
        <v>762</v>
      </c>
      <c r="L763" t="str">
        <f t="shared" si="22"/>
        <v>Nick Mullens</v>
      </c>
      <c r="M763" s="69" t="str">
        <f>IFERROR(VLOOKUP(E763,RISK!A:B,2,FALSE()),"")</f>
        <v/>
      </c>
      <c r="N763" s="43" t="e">
        <f t="shared" si="23"/>
        <v>#N/A</v>
      </c>
    </row>
    <row r="764" spans="1:14" ht="14.25" customHeight="1" x14ac:dyDescent="0.3">
      <c r="A764">
        <v>763</v>
      </c>
      <c r="B764">
        <v>14</v>
      </c>
      <c r="C764" t="s">
        <v>1541</v>
      </c>
      <c r="D764" t="s">
        <v>1124</v>
      </c>
      <c r="E764" t="s">
        <v>1691</v>
      </c>
      <c r="F764" t="s">
        <v>1035</v>
      </c>
      <c r="G764" t="s">
        <v>1035</v>
      </c>
      <c r="H764" t="s">
        <v>1035</v>
      </c>
      <c r="I764" t="s">
        <v>1035</v>
      </c>
      <c r="J764" t="s">
        <v>1035</v>
      </c>
      <c r="K764">
        <v>763</v>
      </c>
      <c r="L764" t="str">
        <f t="shared" si="22"/>
        <v>Isaiah Hodgins</v>
      </c>
      <c r="M764" s="69" t="str">
        <f>IFERROR(VLOOKUP(E764,RISK!A:B,2,FALSE()),"")</f>
        <v/>
      </c>
      <c r="N764" s="43" t="e">
        <f t="shared" si="23"/>
        <v>#N/A</v>
      </c>
    </row>
    <row r="765" spans="1:14" ht="14.25" customHeight="1" x14ac:dyDescent="0.3">
      <c r="A765">
        <v>764</v>
      </c>
      <c r="B765">
        <v>14</v>
      </c>
      <c r="C765" t="s">
        <v>1888</v>
      </c>
      <c r="D765" t="s">
        <v>531</v>
      </c>
      <c r="E765" t="s">
        <v>1832</v>
      </c>
      <c r="F765">
        <v>13</v>
      </c>
      <c r="G765" t="s">
        <v>1035</v>
      </c>
      <c r="H765" t="s">
        <v>1035</v>
      </c>
      <c r="I765" t="s">
        <v>1028</v>
      </c>
      <c r="J765" t="s">
        <v>1035</v>
      </c>
      <c r="K765">
        <v>764</v>
      </c>
      <c r="L765" t="str">
        <f t="shared" si="22"/>
        <v>Dare Ogunbowale</v>
      </c>
      <c r="M765" s="69" t="str">
        <f>IFERROR(VLOOKUP(E765,RISK!A:B,2,FALSE()),"")</f>
        <v/>
      </c>
      <c r="N765" s="43" t="e">
        <f t="shared" si="23"/>
        <v>#N/A</v>
      </c>
    </row>
    <row r="766" spans="1:14" ht="14.25" customHeight="1" x14ac:dyDescent="0.3">
      <c r="A766">
        <v>765</v>
      </c>
      <c r="B766">
        <v>14</v>
      </c>
      <c r="C766" t="s">
        <v>1870</v>
      </c>
      <c r="D766" t="s">
        <v>1124</v>
      </c>
      <c r="E766" t="s">
        <v>1836</v>
      </c>
      <c r="F766" t="s">
        <v>1035</v>
      </c>
      <c r="G766" t="s">
        <v>1035</v>
      </c>
      <c r="H766" t="s">
        <v>1035</v>
      </c>
      <c r="I766" t="s">
        <v>1035</v>
      </c>
      <c r="J766" t="s">
        <v>1035</v>
      </c>
      <c r="K766">
        <v>765</v>
      </c>
      <c r="L766" t="str">
        <f t="shared" si="22"/>
        <v>Gus Edwards</v>
      </c>
      <c r="M766" s="69" t="str">
        <f>IFERROR(VLOOKUP(E766,RISK!A:B,2,FALSE()),"")</f>
        <v/>
      </c>
      <c r="N766" s="43" t="e">
        <f t="shared" si="23"/>
        <v>#N/A</v>
      </c>
    </row>
    <row r="767" spans="1:14" ht="14.25" customHeight="1" x14ac:dyDescent="0.3">
      <c r="A767">
        <v>766</v>
      </c>
      <c r="B767">
        <v>14</v>
      </c>
      <c r="C767" t="s">
        <v>1995</v>
      </c>
      <c r="D767" t="s">
        <v>1124</v>
      </c>
      <c r="E767" t="s">
        <v>1678</v>
      </c>
      <c r="F767" t="s">
        <v>1035</v>
      </c>
      <c r="G767" t="s">
        <v>1035</v>
      </c>
      <c r="H767" t="s">
        <v>1035</v>
      </c>
      <c r="I767" t="s">
        <v>1035</v>
      </c>
      <c r="J767" t="s">
        <v>1035</v>
      </c>
      <c r="K767">
        <v>766</v>
      </c>
      <c r="L767" t="str">
        <f t="shared" si="22"/>
        <v>Noah Togiai</v>
      </c>
      <c r="M767" s="69" t="str">
        <f>IFERROR(VLOOKUP(E767,RISK!A:B,2,FALSE()),"")</f>
        <v/>
      </c>
      <c r="N767" s="43" t="e">
        <f t="shared" si="23"/>
        <v>#N/A</v>
      </c>
    </row>
    <row r="768" spans="1:14" ht="14.25" customHeight="1" x14ac:dyDescent="0.3">
      <c r="A768">
        <v>767</v>
      </c>
      <c r="B768">
        <v>14</v>
      </c>
      <c r="C768" t="s">
        <v>1903</v>
      </c>
      <c r="D768" t="s">
        <v>1124</v>
      </c>
      <c r="E768" t="s">
        <v>1847</v>
      </c>
      <c r="F768" t="s">
        <v>1035</v>
      </c>
      <c r="G768" t="s">
        <v>1035</v>
      </c>
      <c r="H768" t="s">
        <v>1035</v>
      </c>
      <c r="I768" t="s">
        <v>1035</v>
      </c>
      <c r="J768" t="s">
        <v>1035</v>
      </c>
      <c r="K768">
        <v>767</v>
      </c>
      <c r="L768" t="str">
        <f t="shared" si="22"/>
        <v>Tyrion Davis-Price</v>
      </c>
      <c r="M768" s="69" t="str">
        <f>IFERROR(VLOOKUP(E768,RISK!A:B,2,FALSE()),"")</f>
        <v/>
      </c>
      <c r="N768" s="43" t="e">
        <f t="shared" si="23"/>
        <v>#N/A</v>
      </c>
    </row>
    <row r="769" spans="1:14" ht="14.25" customHeight="1" x14ac:dyDescent="0.3">
      <c r="A769">
        <v>768</v>
      </c>
      <c r="B769">
        <v>14</v>
      </c>
      <c r="C769" t="s">
        <v>1548</v>
      </c>
      <c r="D769" t="s">
        <v>477</v>
      </c>
      <c r="E769" t="s">
        <v>1849</v>
      </c>
      <c r="F769">
        <v>11</v>
      </c>
      <c r="G769" t="s">
        <v>1035</v>
      </c>
      <c r="H769" t="s">
        <v>1035</v>
      </c>
      <c r="I769" t="s">
        <v>1028</v>
      </c>
      <c r="J769" t="s">
        <v>1035</v>
      </c>
      <c r="K769">
        <v>768</v>
      </c>
      <c r="L769" t="str">
        <f t="shared" si="22"/>
        <v>Hassan Haskins</v>
      </c>
      <c r="M769" s="69" t="str">
        <f>IFERROR(VLOOKUP(E769,RISK!A:B,2,FALSE()),"")</f>
        <v/>
      </c>
      <c r="N769" s="43" t="e">
        <f t="shared" si="23"/>
        <v>#N/A</v>
      </c>
    </row>
    <row r="770" spans="1:14" ht="14.25" customHeight="1" x14ac:dyDescent="0.3">
      <c r="A770">
        <v>769</v>
      </c>
      <c r="B770">
        <v>14</v>
      </c>
      <c r="C770" t="s">
        <v>1551</v>
      </c>
      <c r="D770" t="s">
        <v>489</v>
      </c>
      <c r="E770" t="s">
        <v>1693</v>
      </c>
      <c r="F770">
        <v>7</v>
      </c>
      <c r="G770" t="s">
        <v>1035</v>
      </c>
      <c r="H770" t="s">
        <v>1035</v>
      </c>
      <c r="I770" t="s">
        <v>1029</v>
      </c>
      <c r="J770" t="s">
        <v>1035</v>
      </c>
      <c r="K770">
        <v>769</v>
      </c>
      <c r="L770" t="str">
        <f t="shared" ref="L770:L825" si="24">C770</f>
        <v>Michael Wortham</v>
      </c>
      <c r="M770" s="69" t="str">
        <f>IFERROR(VLOOKUP(E770,RISK!A:B,2,FALSE()),"")</f>
        <v/>
      </c>
      <c r="N770" s="43" t="e">
        <f t="shared" si="23"/>
        <v>#N/A</v>
      </c>
    </row>
    <row r="771" spans="1:14" ht="14.25" customHeight="1" x14ac:dyDescent="0.3">
      <c r="A771">
        <v>770</v>
      </c>
      <c r="B771">
        <v>14</v>
      </c>
      <c r="C771" t="s">
        <v>1728</v>
      </c>
      <c r="D771" t="s">
        <v>1124</v>
      </c>
      <c r="E771" t="s">
        <v>1851</v>
      </c>
      <c r="F771" t="s">
        <v>1035</v>
      </c>
      <c r="G771" t="s">
        <v>1035</v>
      </c>
      <c r="H771" t="s">
        <v>1035</v>
      </c>
      <c r="I771" t="s">
        <v>1035</v>
      </c>
      <c r="J771" t="s">
        <v>1035</v>
      </c>
      <c r="K771">
        <v>770</v>
      </c>
      <c r="L771" t="str">
        <f t="shared" si="24"/>
        <v>Gary Brightwell</v>
      </c>
      <c r="M771" s="69" t="str">
        <f>IFERROR(VLOOKUP(E771,RISK!A:B,2,FALSE()),"")</f>
        <v/>
      </c>
      <c r="N771" s="43" t="e">
        <f t="shared" ref="N771:N834" si="25">VLOOKUP(E771,Q:R,2,FALSE)</f>
        <v>#N/A</v>
      </c>
    </row>
    <row r="772" spans="1:14" ht="14.25" customHeight="1" x14ac:dyDescent="0.3">
      <c r="A772">
        <v>771</v>
      </c>
      <c r="B772">
        <v>14</v>
      </c>
      <c r="C772" t="s">
        <v>1996</v>
      </c>
      <c r="D772" t="s">
        <v>1124</v>
      </c>
      <c r="E772" t="s">
        <v>1687</v>
      </c>
      <c r="F772" t="s">
        <v>1035</v>
      </c>
      <c r="G772" t="s">
        <v>1035</v>
      </c>
      <c r="H772" t="s">
        <v>1035</v>
      </c>
      <c r="I772" t="s">
        <v>1035</v>
      </c>
      <c r="J772" t="s">
        <v>1035</v>
      </c>
      <c r="K772">
        <v>771</v>
      </c>
      <c r="L772" t="str">
        <f t="shared" si="24"/>
        <v>Zach Gentry</v>
      </c>
      <c r="M772" s="69" t="str">
        <f>IFERROR(VLOOKUP(E772,RISK!A:B,2,FALSE()),"")</f>
        <v/>
      </c>
      <c r="N772" s="43" t="e">
        <f t="shared" si="25"/>
        <v>#N/A</v>
      </c>
    </row>
    <row r="773" spans="1:14" ht="14.25" customHeight="1" x14ac:dyDescent="0.3">
      <c r="A773">
        <v>772</v>
      </c>
      <c r="B773">
        <v>14</v>
      </c>
      <c r="C773" t="s">
        <v>2001</v>
      </c>
      <c r="D773" t="s">
        <v>481</v>
      </c>
      <c r="E773" t="s">
        <v>1701</v>
      </c>
      <c r="F773">
        <v>10</v>
      </c>
      <c r="G773" t="s">
        <v>1035</v>
      </c>
      <c r="H773" t="s">
        <v>1035</v>
      </c>
      <c r="I773" t="s">
        <v>1029</v>
      </c>
      <c r="J773" t="s">
        <v>1035</v>
      </c>
      <c r="K773">
        <v>772</v>
      </c>
      <c r="L773" t="str">
        <f t="shared" si="24"/>
        <v>Johnny Wilson</v>
      </c>
      <c r="M773" s="69" t="str">
        <f>IFERROR(VLOOKUP(E773,RISK!A:B,2,FALSE()),"")</f>
        <v/>
      </c>
      <c r="N773" s="43" t="e">
        <f t="shared" si="25"/>
        <v>#N/A</v>
      </c>
    </row>
    <row r="774" spans="1:14" ht="14.25" customHeight="1" x14ac:dyDescent="0.3">
      <c r="A774">
        <v>773</v>
      </c>
      <c r="B774">
        <v>14</v>
      </c>
      <c r="C774" t="s">
        <v>1997</v>
      </c>
      <c r="D774" t="s">
        <v>1124</v>
      </c>
      <c r="E774" t="s">
        <v>1689</v>
      </c>
      <c r="F774" t="s">
        <v>1035</v>
      </c>
      <c r="G774" t="s">
        <v>1035</v>
      </c>
      <c r="H774" t="s">
        <v>1035</v>
      </c>
      <c r="I774" t="s">
        <v>1035</v>
      </c>
      <c r="J774" t="s">
        <v>1035</v>
      </c>
      <c r="K774">
        <v>773</v>
      </c>
      <c r="L774" t="str">
        <f t="shared" si="24"/>
        <v>Peyton Hendershot</v>
      </c>
      <c r="M774" s="69" t="str">
        <f>IFERROR(VLOOKUP(E774,RISK!A:B,2,FALSE()),"")</f>
        <v/>
      </c>
      <c r="N774" s="43" t="e">
        <f t="shared" si="25"/>
        <v>#N/A</v>
      </c>
    </row>
    <row r="775" spans="1:14" ht="14.25" customHeight="1" x14ac:dyDescent="0.3">
      <c r="A775">
        <v>774</v>
      </c>
      <c r="B775">
        <v>14</v>
      </c>
      <c r="C775" t="s">
        <v>1484</v>
      </c>
      <c r="D775" t="s">
        <v>1124</v>
      </c>
      <c r="E775" t="s">
        <v>1695</v>
      </c>
      <c r="F775" t="s">
        <v>1035</v>
      </c>
      <c r="G775" t="s">
        <v>1035</v>
      </c>
      <c r="H775" t="s">
        <v>1035</v>
      </c>
      <c r="I775" t="s">
        <v>1035</v>
      </c>
      <c r="J775" t="s">
        <v>1035</v>
      </c>
      <c r="K775">
        <v>774</v>
      </c>
      <c r="L775" t="str">
        <f t="shared" si="24"/>
        <v>Tanner Conner</v>
      </c>
      <c r="M775" s="69" t="str">
        <f>IFERROR(VLOOKUP(E775,RISK!A:B,2,FALSE()),"")</f>
        <v/>
      </c>
      <c r="N775" s="43" t="e">
        <f t="shared" si="25"/>
        <v>#N/A</v>
      </c>
    </row>
    <row r="776" spans="1:14" ht="14.25" customHeight="1" x14ac:dyDescent="0.3">
      <c r="A776">
        <v>775</v>
      </c>
      <c r="B776">
        <v>14</v>
      </c>
      <c r="C776" t="s">
        <v>1531</v>
      </c>
      <c r="D776" t="s">
        <v>479</v>
      </c>
      <c r="E776" t="s">
        <v>1697</v>
      </c>
      <c r="F776">
        <v>7</v>
      </c>
      <c r="G776" t="s">
        <v>1035</v>
      </c>
      <c r="H776" t="s">
        <v>1035</v>
      </c>
      <c r="I776" t="s">
        <v>1031</v>
      </c>
      <c r="J776" t="s">
        <v>1035</v>
      </c>
      <c r="K776">
        <v>775</v>
      </c>
      <c r="L776" t="str">
        <f t="shared" si="24"/>
        <v>Joshua Simon</v>
      </c>
      <c r="M776" s="69" t="str">
        <f>IFERROR(VLOOKUP(E776,RISK!A:B,2,FALSE()),"")</f>
        <v/>
      </c>
      <c r="N776" s="43" t="e">
        <f t="shared" si="25"/>
        <v>#N/A</v>
      </c>
    </row>
    <row r="777" spans="1:14" ht="14.25" customHeight="1" x14ac:dyDescent="0.3">
      <c r="A777">
        <v>776</v>
      </c>
      <c r="B777">
        <v>14</v>
      </c>
      <c r="C777" t="s">
        <v>1992</v>
      </c>
      <c r="D777" t="s">
        <v>509</v>
      </c>
      <c r="E777" t="s">
        <v>1814</v>
      </c>
      <c r="F777">
        <v>6</v>
      </c>
      <c r="G777" t="s">
        <v>1035</v>
      </c>
      <c r="H777" t="s">
        <v>1035</v>
      </c>
      <c r="I777" t="s">
        <v>1027</v>
      </c>
      <c r="J777" t="s">
        <v>1035</v>
      </c>
      <c r="K777">
        <v>776</v>
      </c>
      <c r="L777" t="str">
        <f t="shared" si="24"/>
        <v>Max Brosmer</v>
      </c>
      <c r="M777" s="69" t="str">
        <f>IFERROR(VLOOKUP(E777,RISK!A:B,2,FALSE()),"")</f>
        <v/>
      </c>
      <c r="N777" s="43" t="e">
        <f t="shared" si="25"/>
        <v>#N/A</v>
      </c>
    </row>
    <row r="778" spans="1:14" ht="14.25" customHeight="1" x14ac:dyDescent="0.3">
      <c r="A778">
        <v>777</v>
      </c>
      <c r="B778">
        <v>14</v>
      </c>
      <c r="C778" t="s">
        <v>1690</v>
      </c>
      <c r="D778" t="s">
        <v>1124</v>
      </c>
      <c r="E778" t="s">
        <v>1709</v>
      </c>
      <c r="F778" t="s">
        <v>1035</v>
      </c>
      <c r="G778" t="s">
        <v>1035</v>
      </c>
      <c r="H778" t="s">
        <v>1035</v>
      </c>
      <c r="I778" t="s">
        <v>1035</v>
      </c>
      <c r="J778" t="s">
        <v>1035</v>
      </c>
      <c r="K778">
        <v>777</v>
      </c>
      <c r="L778" t="str">
        <f t="shared" si="24"/>
        <v>Joshua Cephus</v>
      </c>
      <c r="M778" s="69" t="str">
        <f>IFERROR(VLOOKUP(E778,RISK!A:B,2,FALSE()),"")</f>
        <v/>
      </c>
      <c r="N778" s="43" t="e">
        <f t="shared" si="25"/>
        <v>#N/A</v>
      </c>
    </row>
    <row r="779" spans="1:14" ht="14.25" customHeight="1" x14ac:dyDescent="0.3">
      <c r="A779">
        <v>778</v>
      </c>
      <c r="B779">
        <v>14</v>
      </c>
      <c r="C779" t="s">
        <v>1692</v>
      </c>
      <c r="D779" t="s">
        <v>1124</v>
      </c>
      <c r="E779" t="s">
        <v>1724</v>
      </c>
      <c r="F779" t="s">
        <v>1035</v>
      </c>
      <c r="G779" t="s">
        <v>1035</v>
      </c>
      <c r="H779" t="s">
        <v>1035</v>
      </c>
      <c r="I779" t="s">
        <v>1035</v>
      </c>
      <c r="J779" t="s">
        <v>1035</v>
      </c>
      <c r="K779">
        <v>778</v>
      </c>
      <c r="L779" t="str">
        <f t="shared" si="24"/>
        <v>Deontay Burnett</v>
      </c>
      <c r="M779" s="69" t="str">
        <f>IFERROR(VLOOKUP(E779,RISK!A:B,2,FALSE()),"")</f>
        <v/>
      </c>
      <c r="N779" s="43" t="e">
        <f t="shared" si="25"/>
        <v>#N/A</v>
      </c>
    </row>
    <row r="780" spans="1:14" ht="14.25" customHeight="1" x14ac:dyDescent="0.3">
      <c r="A780">
        <v>779</v>
      </c>
      <c r="B780">
        <v>14</v>
      </c>
      <c r="C780" t="s">
        <v>1533</v>
      </c>
      <c r="D780" t="s">
        <v>475</v>
      </c>
      <c r="E780" t="s">
        <v>1698</v>
      </c>
      <c r="F780">
        <v>13</v>
      </c>
      <c r="G780" t="s">
        <v>1035</v>
      </c>
      <c r="H780" t="s">
        <v>1035</v>
      </c>
      <c r="I780" t="s">
        <v>1029</v>
      </c>
      <c r="J780" t="s">
        <v>1035</v>
      </c>
      <c r="K780">
        <v>779</v>
      </c>
      <c r="L780" t="str">
        <f t="shared" si="24"/>
        <v>Ty Pezza</v>
      </c>
      <c r="M780" s="69" t="str">
        <f>IFERROR(VLOOKUP(E780,RISK!A:B,2,FALSE()),"")</f>
        <v/>
      </c>
      <c r="N780" s="43" t="e">
        <f t="shared" si="25"/>
        <v>#N/A</v>
      </c>
    </row>
    <row r="781" spans="1:14" ht="14.25" customHeight="1" x14ac:dyDescent="0.3">
      <c r="A781">
        <v>780</v>
      </c>
      <c r="B781">
        <v>14</v>
      </c>
      <c r="C781" t="s">
        <v>2004</v>
      </c>
      <c r="D781" t="s">
        <v>523</v>
      </c>
      <c r="E781" t="s">
        <v>1815</v>
      </c>
      <c r="F781">
        <v>13</v>
      </c>
      <c r="G781" t="s">
        <v>1035</v>
      </c>
      <c r="H781" t="s">
        <v>1035</v>
      </c>
      <c r="I781" t="s">
        <v>1029</v>
      </c>
      <c r="J781" t="s">
        <v>1035</v>
      </c>
      <c r="K781">
        <v>780</v>
      </c>
      <c r="L781" t="str">
        <f t="shared" si="24"/>
        <v>Bailey Zappe</v>
      </c>
      <c r="M781" s="69" t="str">
        <f>IFERROR(VLOOKUP(E781,RISK!A:B,2,FALSE()),"")</f>
        <v/>
      </c>
      <c r="N781" s="43" t="e">
        <f t="shared" si="25"/>
        <v>#N/A</v>
      </c>
    </row>
    <row r="782" spans="1:14" ht="14.25" customHeight="1" x14ac:dyDescent="0.3">
      <c r="A782">
        <v>781</v>
      </c>
      <c r="B782">
        <v>14</v>
      </c>
      <c r="C782" t="s">
        <v>791</v>
      </c>
      <c r="D782" t="s">
        <v>1124</v>
      </c>
      <c r="E782" t="s">
        <v>1726</v>
      </c>
      <c r="F782" t="s">
        <v>1035</v>
      </c>
      <c r="G782" t="s">
        <v>1035</v>
      </c>
      <c r="H782" t="s">
        <v>1035</v>
      </c>
      <c r="I782" t="s">
        <v>1035</v>
      </c>
      <c r="J782" t="s">
        <v>1035</v>
      </c>
      <c r="K782">
        <v>781</v>
      </c>
      <c r="L782" t="str">
        <f t="shared" si="24"/>
        <v>Bub Means</v>
      </c>
      <c r="M782" s="69" t="str">
        <f>IFERROR(VLOOKUP(E782,RISK!A:B,2,FALSE()),"")</f>
        <v/>
      </c>
      <c r="N782" s="43" t="e">
        <f t="shared" si="25"/>
        <v>#N/A</v>
      </c>
    </row>
    <row r="783" spans="1:14" ht="14.25" customHeight="1" x14ac:dyDescent="0.3">
      <c r="A783">
        <v>782</v>
      </c>
      <c r="B783">
        <v>14</v>
      </c>
      <c r="C783" t="s">
        <v>1906</v>
      </c>
      <c r="D783" t="s">
        <v>1124</v>
      </c>
      <c r="E783" t="s">
        <v>1852</v>
      </c>
      <c r="F783" t="s">
        <v>1035</v>
      </c>
      <c r="G783" t="s">
        <v>1035</v>
      </c>
      <c r="H783" t="s">
        <v>1035</v>
      </c>
      <c r="I783" t="s">
        <v>1035</v>
      </c>
      <c r="J783" t="s">
        <v>1035</v>
      </c>
      <c r="K783">
        <v>782</v>
      </c>
      <c r="L783" t="str">
        <f t="shared" si="24"/>
        <v>D'Ernest Johnson</v>
      </c>
      <c r="M783" s="69" t="str">
        <f>IFERROR(VLOOKUP(E783,RISK!A:B,2,FALSE()),"")</f>
        <v/>
      </c>
      <c r="N783" s="43" t="e">
        <f t="shared" si="25"/>
        <v>#N/A</v>
      </c>
    </row>
    <row r="784" spans="1:14" ht="14.25" customHeight="1" x14ac:dyDescent="0.3">
      <c r="A784">
        <v>783</v>
      </c>
      <c r="B784">
        <v>14</v>
      </c>
      <c r="C784" t="s">
        <v>2002</v>
      </c>
      <c r="D784" t="s">
        <v>1124</v>
      </c>
      <c r="E784" t="s">
        <v>1817</v>
      </c>
      <c r="F784" t="s">
        <v>1035</v>
      </c>
      <c r="G784" t="s">
        <v>1035</v>
      </c>
      <c r="H784" t="s">
        <v>1035</v>
      </c>
      <c r="I784" t="s">
        <v>1035</v>
      </c>
      <c r="J784" t="s">
        <v>1035</v>
      </c>
      <c r="K784">
        <v>783</v>
      </c>
      <c r="L784" t="str">
        <f t="shared" si="24"/>
        <v>Desmond Ridder</v>
      </c>
      <c r="M784" s="69" t="str">
        <f>IFERROR(VLOOKUP(E784,RISK!A:B,2,FALSE()),"")</f>
        <v/>
      </c>
      <c r="N784" s="43" t="e">
        <f t="shared" si="25"/>
        <v>#N/A</v>
      </c>
    </row>
    <row r="785" spans="1:14" ht="14.25" customHeight="1" x14ac:dyDescent="0.3">
      <c r="A785">
        <v>784</v>
      </c>
      <c r="B785">
        <v>14</v>
      </c>
      <c r="C785" t="s">
        <v>580</v>
      </c>
      <c r="D785" t="s">
        <v>483</v>
      </c>
      <c r="E785" t="s">
        <v>1819</v>
      </c>
      <c r="F785">
        <v>6</v>
      </c>
      <c r="G785" t="s">
        <v>1035</v>
      </c>
      <c r="H785" t="s">
        <v>1035</v>
      </c>
      <c r="I785" t="s">
        <v>1032</v>
      </c>
      <c r="J785" t="s">
        <v>1035</v>
      </c>
      <c r="K785">
        <v>784</v>
      </c>
      <c r="L785" t="str">
        <f t="shared" si="24"/>
        <v>Josh Johnson</v>
      </c>
      <c r="M785" s="69" t="str">
        <f>IFERROR(VLOOKUP(E785,RISK!A:B,2,FALSE()),"")</f>
        <v/>
      </c>
      <c r="N785" s="43" t="e">
        <f t="shared" si="25"/>
        <v>#N/A</v>
      </c>
    </row>
    <row r="786" spans="1:14" ht="14.25" customHeight="1" x14ac:dyDescent="0.3">
      <c r="A786">
        <v>785</v>
      </c>
      <c r="B786">
        <v>14</v>
      </c>
      <c r="C786" t="s">
        <v>1899</v>
      </c>
      <c r="D786" t="s">
        <v>1124</v>
      </c>
      <c r="E786" t="s">
        <v>1858</v>
      </c>
      <c r="F786" t="s">
        <v>1035</v>
      </c>
      <c r="G786" t="s">
        <v>1035</v>
      </c>
      <c r="H786" t="s">
        <v>1035</v>
      </c>
      <c r="I786" t="s">
        <v>1035</v>
      </c>
      <c r="J786" t="s">
        <v>1035</v>
      </c>
      <c r="K786">
        <v>785</v>
      </c>
      <c r="L786" t="str">
        <f t="shared" si="24"/>
        <v>Darrynton Evans</v>
      </c>
      <c r="M786" s="69" t="str">
        <f>IFERROR(VLOOKUP(E786,RISK!A:B,2,FALSE()),"")</f>
        <v/>
      </c>
      <c r="N786" s="43" t="e">
        <f t="shared" si="25"/>
        <v>#N/A</v>
      </c>
    </row>
    <row r="787" spans="1:14" ht="14.25" customHeight="1" x14ac:dyDescent="0.3">
      <c r="A787">
        <v>786</v>
      </c>
      <c r="B787">
        <v>14</v>
      </c>
      <c r="C787" t="s">
        <v>1555</v>
      </c>
      <c r="D787" t="s">
        <v>509</v>
      </c>
      <c r="E787" t="s">
        <v>1703</v>
      </c>
      <c r="F787">
        <v>6</v>
      </c>
      <c r="G787" t="s">
        <v>1035</v>
      </c>
      <c r="H787" t="s">
        <v>1035</v>
      </c>
      <c r="I787" t="s">
        <v>1029</v>
      </c>
      <c r="J787" t="s">
        <v>1035</v>
      </c>
      <c r="K787">
        <v>786</v>
      </c>
      <c r="L787" t="str">
        <f t="shared" si="24"/>
        <v>Bryson Nesbit</v>
      </c>
      <c r="M787" s="69" t="str">
        <f>IFERROR(VLOOKUP(E787,RISK!A:B,2,FALSE()),"")</f>
        <v/>
      </c>
      <c r="N787" s="43" t="e">
        <f t="shared" si="25"/>
        <v>#N/A</v>
      </c>
    </row>
    <row r="788" spans="1:14" ht="14.25" customHeight="1" x14ac:dyDescent="0.3">
      <c r="A788">
        <v>787</v>
      </c>
      <c r="B788">
        <v>14</v>
      </c>
      <c r="C788" t="s">
        <v>1447</v>
      </c>
      <c r="D788" t="s">
        <v>493</v>
      </c>
      <c r="E788" t="s">
        <v>1707</v>
      </c>
      <c r="F788">
        <v>5</v>
      </c>
      <c r="G788" t="s">
        <v>1035</v>
      </c>
      <c r="H788" t="s">
        <v>1035</v>
      </c>
      <c r="I788" t="s">
        <v>1029</v>
      </c>
      <c r="J788" t="s">
        <v>1035</v>
      </c>
      <c r="K788">
        <v>787</v>
      </c>
      <c r="L788" t="str">
        <f t="shared" si="24"/>
        <v>John Michael Gyllenborg</v>
      </c>
      <c r="M788" s="69" t="str">
        <f>IFERROR(VLOOKUP(E788,RISK!A:B,2,FALSE()),"")</f>
        <v/>
      </c>
      <c r="N788" s="43" t="e">
        <f t="shared" si="25"/>
        <v>#N/A</v>
      </c>
    </row>
    <row r="789" spans="1:14" ht="14.25" customHeight="1" x14ac:dyDescent="0.3">
      <c r="A789">
        <v>788</v>
      </c>
      <c r="B789">
        <v>14</v>
      </c>
      <c r="C789" t="s">
        <v>2014</v>
      </c>
      <c r="D789" t="s">
        <v>479</v>
      </c>
      <c r="E789" t="s">
        <v>1859</v>
      </c>
      <c r="F789">
        <v>7</v>
      </c>
      <c r="G789" t="s">
        <v>1035</v>
      </c>
      <c r="H789" t="s">
        <v>1035</v>
      </c>
      <c r="I789" t="s">
        <v>1029</v>
      </c>
      <c r="J789" t="s">
        <v>1035</v>
      </c>
      <c r="K789">
        <v>788</v>
      </c>
      <c r="L789" t="str">
        <f t="shared" si="24"/>
        <v>Chase Edmonds</v>
      </c>
      <c r="M789" s="69" t="str">
        <f>IFERROR(VLOOKUP(E789,RISK!A:B,2,FALSE()),"")</f>
        <v/>
      </c>
      <c r="N789" s="43" t="e">
        <f t="shared" si="25"/>
        <v>#N/A</v>
      </c>
    </row>
    <row r="790" spans="1:14" ht="14.25" customHeight="1" x14ac:dyDescent="0.3">
      <c r="A790">
        <v>789</v>
      </c>
      <c r="B790">
        <v>14</v>
      </c>
      <c r="C790" t="s">
        <v>2013</v>
      </c>
      <c r="D790" t="s">
        <v>1124</v>
      </c>
      <c r="E790" t="s">
        <v>1860</v>
      </c>
      <c r="F790" t="s">
        <v>1035</v>
      </c>
      <c r="G790" t="s">
        <v>1035</v>
      </c>
      <c r="H790" t="s">
        <v>1035</v>
      </c>
      <c r="I790" t="s">
        <v>1035</v>
      </c>
      <c r="J790" t="s">
        <v>1035</v>
      </c>
      <c r="K790">
        <v>789</v>
      </c>
      <c r="L790" t="str">
        <f t="shared" si="24"/>
        <v>Dillon Johnson</v>
      </c>
      <c r="M790" s="69" t="str">
        <f>IFERROR(VLOOKUP(E790,RISK!A:B,2,FALSE()),"")</f>
        <v/>
      </c>
      <c r="N790" s="43" t="e">
        <f t="shared" si="25"/>
        <v>#N/A</v>
      </c>
    </row>
    <row r="791" spans="1:14" ht="14.25" customHeight="1" x14ac:dyDescent="0.3">
      <c r="A791">
        <v>790</v>
      </c>
      <c r="B791">
        <v>14</v>
      </c>
      <c r="C791" t="s">
        <v>851</v>
      </c>
      <c r="D791" t="s">
        <v>1124</v>
      </c>
      <c r="E791" t="s">
        <v>1731</v>
      </c>
      <c r="F791" t="s">
        <v>1035</v>
      </c>
      <c r="G791" t="s">
        <v>1035</v>
      </c>
      <c r="H791" t="s">
        <v>1035</v>
      </c>
      <c r="I791" t="s">
        <v>1035</v>
      </c>
      <c r="J791" t="s">
        <v>1035</v>
      </c>
      <c r="K791">
        <v>790</v>
      </c>
      <c r="L791" t="str">
        <f t="shared" si="24"/>
        <v>Justin Watson</v>
      </c>
      <c r="M791" s="69" t="str">
        <f>IFERROR(VLOOKUP(E791,RISK!A:B,2,FALSE()),"")</f>
        <v/>
      </c>
      <c r="N791" s="43" t="e">
        <f t="shared" si="25"/>
        <v>#N/A</v>
      </c>
    </row>
    <row r="792" spans="1:14" ht="14.25" customHeight="1" x14ac:dyDescent="0.3">
      <c r="A792">
        <v>791</v>
      </c>
      <c r="B792">
        <v>14</v>
      </c>
      <c r="C792" t="s">
        <v>1911</v>
      </c>
      <c r="D792" t="s">
        <v>491</v>
      </c>
      <c r="E792" t="s">
        <v>1736</v>
      </c>
      <c r="F792">
        <v>14</v>
      </c>
      <c r="G792" t="s">
        <v>1035</v>
      </c>
      <c r="H792" t="s">
        <v>1035</v>
      </c>
      <c r="I792" t="s">
        <v>1028</v>
      </c>
      <c r="J792" t="s">
        <v>1035</v>
      </c>
      <c r="K792">
        <v>791</v>
      </c>
      <c r="L792" t="str">
        <f t="shared" si="24"/>
        <v>Camden Brown</v>
      </c>
      <c r="M792" s="69" t="str">
        <f>IFERROR(VLOOKUP(E792,RISK!A:B,2,FALSE()),"")</f>
        <v/>
      </c>
      <c r="N792" s="43" t="e">
        <f t="shared" si="25"/>
        <v>#N/A</v>
      </c>
    </row>
    <row r="793" spans="1:14" ht="14.25" customHeight="1" x14ac:dyDescent="0.3">
      <c r="A793">
        <v>792</v>
      </c>
      <c r="B793">
        <v>14</v>
      </c>
      <c r="C793" t="s">
        <v>2015</v>
      </c>
      <c r="D793" t="s">
        <v>475</v>
      </c>
      <c r="E793" t="s">
        <v>1869</v>
      </c>
      <c r="F793">
        <v>13</v>
      </c>
      <c r="G793" t="s">
        <v>1035</v>
      </c>
      <c r="H793" t="s">
        <v>1035</v>
      </c>
      <c r="I793" t="s">
        <v>1032</v>
      </c>
      <c r="J793" t="s">
        <v>1035</v>
      </c>
      <c r="K793">
        <v>792</v>
      </c>
      <c r="L793" t="str">
        <f t="shared" si="24"/>
        <v>Jonathan Ward</v>
      </c>
      <c r="M793" s="69" t="str">
        <f>IFERROR(VLOOKUP(E793,RISK!A:B,2,FALSE()),"")</f>
        <v/>
      </c>
      <c r="N793" s="43" t="e">
        <f t="shared" si="25"/>
        <v>#N/A</v>
      </c>
    </row>
    <row r="794" spans="1:14" ht="14.25" customHeight="1" x14ac:dyDescent="0.3">
      <c r="A794">
        <v>793</v>
      </c>
      <c r="B794">
        <v>15</v>
      </c>
      <c r="C794" t="s">
        <v>1509</v>
      </c>
      <c r="D794" t="s">
        <v>511</v>
      </c>
      <c r="E794" t="s">
        <v>1740</v>
      </c>
      <c r="F794">
        <v>13</v>
      </c>
      <c r="G794" t="s">
        <v>1035</v>
      </c>
      <c r="H794" t="s">
        <v>1035</v>
      </c>
      <c r="I794" t="s">
        <v>1029</v>
      </c>
      <c r="J794" t="s">
        <v>1035</v>
      </c>
      <c r="K794">
        <v>793</v>
      </c>
      <c r="L794" t="str">
        <f t="shared" si="24"/>
        <v>Coleman Owen</v>
      </c>
      <c r="M794" s="69" t="str">
        <f>IFERROR(VLOOKUP(E794,RISK!A:B,2,FALSE()),"")</f>
        <v/>
      </c>
      <c r="N794" s="43" t="e">
        <f t="shared" si="25"/>
        <v>#N/A</v>
      </c>
    </row>
    <row r="795" spans="1:14" ht="14.25" customHeight="1" x14ac:dyDescent="0.3">
      <c r="A795">
        <v>794</v>
      </c>
      <c r="B795">
        <v>15</v>
      </c>
      <c r="C795" t="s">
        <v>1735</v>
      </c>
      <c r="D795" t="s">
        <v>1124</v>
      </c>
      <c r="E795" t="s">
        <v>1744</v>
      </c>
      <c r="F795" t="s">
        <v>1035</v>
      </c>
      <c r="G795" t="s">
        <v>1035</v>
      </c>
      <c r="H795" t="s">
        <v>1035</v>
      </c>
      <c r="I795" t="s">
        <v>1035</v>
      </c>
      <c r="J795" t="s">
        <v>1035</v>
      </c>
      <c r="K795">
        <v>794</v>
      </c>
      <c r="L795" t="str">
        <f t="shared" si="24"/>
        <v>Jason Brownlee</v>
      </c>
      <c r="M795" s="69" t="str">
        <f>IFERROR(VLOOKUP(E795,RISK!A:B,2,FALSE()),"")</f>
        <v/>
      </c>
      <c r="N795" s="43" t="e">
        <f t="shared" si="25"/>
        <v>#N/A</v>
      </c>
    </row>
    <row r="796" spans="1:14" ht="14.25" customHeight="1" x14ac:dyDescent="0.3">
      <c r="A796">
        <v>795</v>
      </c>
      <c r="B796">
        <v>15</v>
      </c>
      <c r="C796" t="s">
        <v>1897</v>
      </c>
      <c r="D796" t="s">
        <v>1124</v>
      </c>
      <c r="E796" t="s">
        <v>1871</v>
      </c>
      <c r="F796" t="s">
        <v>1035</v>
      </c>
      <c r="G796" t="s">
        <v>1035</v>
      </c>
      <c r="H796" t="s">
        <v>1035</v>
      </c>
      <c r="I796" t="s">
        <v>1035</v>
      </c>
      <c r="J796" t="s">
        <v>1035</v>
      </c>
      <c r="K796">
        <v>795</v>
      </c>
      <c r="L796" t="str">
        <f t="shared" si="24"/>
        <v>Clyde Edwards-Helaire</v>
      </c>
      <c r="M796" s="69" t="str">
        <f>IFERROR(VLOOKUP(E796,RISK!A:B,2,FALSE()),"")</f>
        <v/>
      </c>
      <c r="N796" s="43" t="e">
        <f t="shared" si="25"/>
        <v>#N/A</v>
      </c>
    </row>
    <row r="797" spans="1:14" ht="14.25" customHeight="1" x14ac:dyDescent="0.3">
      <c r="A797">
        <v>796</v>
      </c>
      <c r="B797">
        <v>15</v>
      </c>
      <c r="C797" t="s">
        <v>1875</v>
      </c>
      <c r="D797" t="s">
        <v>1124</v>
      </c>
      <c r="E797" t="s">
        <v>1873</v>
      </c>
      <c r="F797" t="s">
        <v>1035</v>
      </c>
      <c r="G797" t="s">
        <v>1035</v>
      </c>
      <c r="H797" t="s">
        <v>1035</v>
      </c>
      <c r="I797" t="s">
        <v>1035</v>
      </c>
      <c r="J797" t="s">
        <v>1035</v>
      </c>
      <c r="K797">
        <v>796</v>
      </c>
      <c r="L797" t="str">
        <f t="shared" si="24"/>
        <v>Jeff Wilson Jr.</v>
      </c>
      <c r="M797" s="69" t="str">
        <f>IFERROR(VLOOKUP(E797,RISK!A:B,2,FALSE()),"")</f>
        <v/>
      </c>
      <c r="N797" s="43" t="e">
        <f t="shared" si="25"/>
        <v>#N/A</v>
      </c>
    </row>
    <row r="798" spans="1:14" ht="14.25" customHeight="1" x14ac:dyDescent="0.3">
      <c r="A798">
        <v>797</v>
      </c>
      <c r="B798">
        <v>15</v>
      </c>
      <c r="C798" t="s">
        <v>1935</v>
      </c>
      <c r="D798" t="s">
        <v>491</v>
      </c>
      <c r="E798" t="s">
        <v>1747</v>
      </c>
      <c r="F798">
        <v>14</v>
      </c>
      <c r="G798" t="s">
        <v>1035</v>
      </c>
      <c r="H798" t="s">
        <v>1035</v>
      </c>
      <c r="I798" t="s">
        <v>1028</v>
      </c>
      <c r="J798" t="s">
        <v>1035</v>
      </c>
      <c r="K798">
        <v>797</v>
      </c>
      <c r="L798" t="str">
        <f t="shared" si="24"/>
        <v>Anthony Smith</v>
      </c>
      <c r="M798" s="69" t="str">
        <f>IFERROR(VLOOKUP(E798,RISK!A:B,2,FALSE()),"")</f>
        <v/>
      </c>
      <c r="N798" s="43" t="e">
        <f t="shared" si="25"/>
        <v>#N/A</v>
      </c>
    </row>
    <row r="799" spans="1:14" ht="14.25" customHeight="1" x14ac:dyDescent="0.3">
      <c r="A799">
        <v>798</v>
      </c>
      <c r="B799">
        <v>15</v>
      </c>
      <c r="C799" t="s">
        <v>2052</v>
      </c>
      <c r="D799" t="s">
        <v>1124</v>
      </c>
      <c r="E799" t="s">
        <v>1876</v>
      </c>
      <c r="F799" t="s">
        <v>1035</v>
      </c>
      <c r="G799" t="s">
        <v>1035</v>
      </c>
      <c r="H799" t="s">
        <v>1035</v>
      </c>
      <c r="I799" t="s">
        <v>1035</v>
      </c>
      <c r="J799" t="s">
        <v>1035</v>
      </c>
      <c r="K799">
        <v>798</v>
      </c>
      <c r="L799" t="str">
        <f t="shared" si="24"/>
        <v>Elijah Mitchell</v>
      </c>
      <c r="M799" s="69" t="str">
        <f>IFERROR(VLOOKUP(E799,RISK!A:B,2,FALSE()),"")</f>
        <v/>
      </c>
      <c r="N799" s="43" t="e">
        <f t="shared" si="25"/>
        <v>#N/A</v>
      </c>
    </row>
    <row r="800" spans="1:14" ht="14.25" customHeight="1" x14ac:dyDescent="0.3">
      <c r="A800">
        <v>799</v>
      </c>
      <c r="B800">
        <v>15</v>
      </c>
      <c r="C800" t="s">
        <v>1696</v>
      </c>
      <c r="D800" t="s">
        <v>477</v>
      </c>
      <c r="E800" t="s">
        <v>1711</v>
      </c>
      <c r="F800">
        <v>11</v>
      </c>
      <c r="G800" t="s">
        <v>1035</v>
      </c>
      <c r="H800" t="s">
        <v>1035</v>
      </c>
      <c r="I800" t="s">
        <v>1029</v>
      </c>
      <c r="J800" t="s">
        <v>1035</v>
      </c>
      <c r="K800">
        <v>799</v>
      </c>
      <c r="L800" t="str">
        <f t="shared" si="24"/>
        <v>Shane Zylstra</v>
      </c>
      <c r="M800" s="69" t="str">
        <f>IFERROR(VLOOKUP(E800,RISK!A:B,2,FALSE()),"")</f>
        <v/>
      </c>
      <c r="N800" s="43" t="e">
        <f t="shared" si="25"/>
        <v>#N/A</v>
      </c>
    </row>
    <row r="801" spans="1:14" ht="14.25" customHeight="1" x14ac:dyDescent="0.3">
      <c r="A801">
        <v>800</v>
      </c>
      <c r="B801">
        <v>15</v>
      </c>
      <c r="C801" t="s">
        <v>2107</v>
      </c>
      <c r="D801" t="s">
        <v>529</v>
      </c>
      <c r="E801" t="s">
        <v>1713</v>
      </c>
      <c r="F801">
        <v>9</v>
      </c>
      <c r="G801" t="s">
        <v>1035</v>
      </c>
      <c r="H801" t="s">
        <v>1035</v>
      </c>
      <c r="I801" t="s">
        <v>1028</v>
      </c>
      <c r="J801" t="s">
        <v>1035</v>
      </c>
      <c r="K801">
        <v>800</v>
      </c>
      <c r="L801" t="str">
        <f t="shared" si="24"/>
        <v>Robert Tonyan</v>
      </c>
      <c r="M801" s="69" t="str">
        <f>IFERROR(VLOOKUP(E801,RISK!A:B,2,FALSE()),"")</f>
        <v/>
      </c>
      <c r="N801" s="43" t="e">
        <f t="shared" si="25"/>
        <v>#N/A</v>
      </c>
    </row>
    <row r="802" spans="1:14" ht="14.25" customHeight="1" x14ac:dyDescent="0.3">
      <c r="A802">
        <v>801</v>
      </c>
      <c r="B802">
        <v>15</v>
      </c>
      <c r="C802" t="s">
        <v>1977</v>
      </c>
      <c r="D802" t="s">
        <v>503</v>
      </c>
      <c r="E802" t="s">
        <v>1753</v>
      </c>
      <c r="F802">
        <v>6</v>
      </c>
      <c r="G802" t="s">
        <v>1035</v>
      </c>
      <c r="H802" t="s">
        <v>1035</v>
      </c>
      <c r="I802" t="s">
        <v>1029</v>
      </c>
      <c r="J802" t="s">
        <v>1035</v>
      </c>
      <c r="K802">
        <v>801</v>
      </c>
      <c r="L802" t="str">
        <f t="shared" si="24"/>
        <v>Jackson Meeks</v>
      </c>
      <c r="M802" s="69" t="str">
        <f>IFERROR(VLOOKUP(E802,RISK!A:B,2,FALSE()),"")</f>
        <v/>
      </c>
      <c r="N802" s="43" t="e">
        <f t="shared" si="25"/>
        <v>#N/A</v>
      </c>
    </row>
    <row r="803" spans="1:14" ht="14.25" customHeight="1" x14ac:dyDescent="0.3">
      <c r="A803">
        <v>802</v>
      </c>
      <c r="B803">
        <v>15</v>
      </c>
      <c r="C803" t="s">
        <v>1743</v>
      </c>
      <c r="D803" t="s">
        <v>501</v>
      </c>
      <c r="E803" t="s">
        <v>1756</v>
      </c>
      <c r="F803">
        <v>11</v>
      </c>
      <c r="G803" t="s">
        <v>1035</v>
      </c>
      <c r="H803" t="s">
        <v>1035</v>
      </c>
      <c r="I803" t="s">
        <v>1031</v>
      </c>
      <c r="J803" t="s">
        <v>1035</v>
      </c>
      <c r="K803">
        <v>802</v>
      </c>
      <c r="L803" t="str">
        <f t="shared" si="24"/>
        <v>Alex Bachman</v>
      </c>
      <c r="M803" s="69" t="str">
        <f>IFERROR(VLOOKUP(E803,RISK!A:B,2,FALSE()),"")</f>
        <v/>
      </c>
      <c r="N803" s="43" t="e">
        <f t="shared" si="25"/>
        <v>#N/A</v>
      </c>
    </row>
    <row r="804" spans="1:14" ht="14.25" customHeight="1" x14ac:dyDescent="0.3">
      <c r="A804">
        <v>803</v>
      </c>
      <c r="B804">
        <v>15</v>
      </c>
      <c r="C804" t="s">
        <v>1646</v>
      </c>
      <c r="D804" t="s">
        <v>529</v>
      </c>
      <c r="E804" t="s">
        <v>1717</v>
      </c>
      <c r="F804">
        <v>9</v>
      </c>
      <c r="G804" t="s">
        <v>1035</v>
      </c>
      <c r="H804" t="s">
        <v>1035</v>
      </c>
      <c r="I804" t="s">
        <v>1028</v>
      </c>
      <c r="J804" t="s">
        <v>1035</v>
      </c>
      <c r="K804">
        <v>803</v>
      </c>
      <c r="L804" t="str">
        <f t="shared" si="24"/>
        <v>Lake McRee</v>
      </c>
      <c r="M804" s="69" t="str">
        <f>IFERROR(VLOOKUP(E804,RISK!A:B,2,FALSE()),"")</f>
        <v/>
      </c>
      <c r="N804" s="43" t="e">
        <f t="shared" si="25"/>
        <v>#N/A</v>
      </c>
    </row>
    <row r="805" spans="1:14" ht="14.25" customHeight="1" x14ac:dyDescent="0.3">
      <c r="A805">
        <v>804</v>
      </c>
      <c r="B805">
        <v>15</v>
      </c>
      <c r="C805" t="s">
        <v>2047</v>
      </c>
      <c r="D805" t="s">
        <v>1124</v>
      </c>
      <c r="E805" t="s">
        <v>1758</v>
      </c>
      <c r="F805" t="s">
        <v>1035</v>
      </c>
      <c r="G805" t="s">
        <v>1035</v>
      </c>
      <c r="H805" t="s">
        <v>1035</v>
      </c>
      <c r="I805" t="s">
        <v>1035</v>
      </c>
      <c r="J805" t="s">
        <v>1035</v>
      </c>
      <c r="K805">
        <v>804</v>
      </c>
      <c r="L805" t="str">
        <f t="shared" si="24"/>
        <v>DeAndre Carter</v>
      </c>
      <c r="M805" s="69" t="str">
        <f>IFERROR(VLOOKUP(E805,RISK!A:B,2,FALSE()),"")</f>
        <v/>
      </c>
      <c r="N805" s="43" t="e">
        <f t="shared" si="25"/>
        <v>#N/A</v>
      </c>
    </row>
    <row r="806" spans="1:14" ht="14.25" customHeight="1" x14ac:dyDescent="0.3">
      <c r="A806">
        <v>805</v>
      </c>
      <c r="B806">
        <v>15</v>
      </c>
      <c r="C806" t="s">
        <v>873</v>
      </c>
      <c r="D806" t="s">
        <v>519</v>
      </c>
      <c r="E806" t="s">
        <v>1766</v>
      </c>
      <c r="F806">
        <v>8</v>
      </c>
      <c r="G806" t="s">
        <v>1035</v>
      </c>
      <c r="H806" t="s">
        <v>1035</v>
      </c>
      <c r="I806" t="s">
        <v>1032</v>
      </c>
      <c r="J806" t="s">
        <v>1035</v>
      </c>
      <c r="K806">
        <v>805</v>
      </c>
      <c r="L806" t="str">
        <f t="shared" si="24"/>
        <v>Lewis Bond</v>
      </c>
      <c r="M806" s="69" t="str">
        <f>IFERROR(VLOOKUP(E806,RISK!A:B,2,FALSE()),"")</f>
        <v/>
      </c>
      <c r="N806" s="43" t="e">
        <f t="shared" si="25"/>
        <v>#N/A</v>
      </c>
    </row>
    <row r="807" spans="1:14" ht="14.25" customHeight="1" x14ac:dyDescent="0.3">
      <c r="A807">
        <v>806</v>
      </c>
      <c r="B807">
        <v>15</v>
      </c>
      <c r="C807" t="s">
        <v>1615</v>
      </c>
      <c r="D807" t="s">
        <v>491</v>
      </c>
      <c r="E807" t="s">
        <v>1722</v>
      </c>
      <c r="F807">
        <v>14</v>
      </c>
      <c r="G807" t="s">
        <v>1035</v>
      </c>
      <c r="H807" t="s">
        <v>1035</v>
      </c>
      <c r="I807" t="s">
        <v>1028</v>
      </c>
      <c r="J807" t="s">
        <v>1035</v>
      </c>
      <c r="K807">
        <v>806</v>
      </c>
      <c r="L807" t="str">
        <f t="shared" si="24"/>
        <v>Princeton Fant</v>
      </c>
      <c r="M807" s="69" t="str">
        <f>IFERROR(VLOOKUP(E807,RISK!A:B,2,FALSE()),"")</f>
        <v/>
      </c>
      <c r="N807" s="43" t="e">
        <f t="shared" si="25"/>
        <v>#N/A</v>
      </c>
    </row>
    <row r="808" spans="1:14" ht="14.25" customHeight="1" x14ac:dyDescent="0.3">
      <c r="A808">
        <v>807</v>
      </c>
      <c r="B808">
        <v>15</v>
      </c>
      <c r="C808" t="s">
        <v>1527</v>
      </c>
      <c r="D808" t="s">
        <v>1124</v>
      </c>
      <c r="E808" t="s">
        <v>1877</v>
      </c>
      <c r="F808" t="s">
        <v>1035</v>
      </c>
      <c r="G808" t="s">
        <v>1035</v>
      </c>
      <c r="H808" t="s">
        <v>1035</v>
      </c>
      <c r="I808" t="s">
        <v>1035</v>
      </c>
      <c r="J808" t="s">
        <v>1035</v>
      </c>
      <c r="K808">
        <v>807</v>
      </c>
      <c r="L808" t="str">
        <f t="shared" si="24"/>
        <v>JaMycal Hasty</v>
      </c>
      <c r="M808" s="69" t="str">
        <f>IFERROR(VLOOKUP(E808,RISK!A:B,2,FALSE()),"")</f>
        <v/>
      </c>
      <c r="N808" s="43" t="e">
        <f t="shared" si="25"/>
        <v>#N/A</v>
      </c>
    </row>
    <row r="809" spans="1:14" ht="14.25" customHeight="1" x14ac:dyDescent="0.3">
      <c r="A809">
        <v>808</v>
      </c>
      <c r="B809">
        <v>15</v>
      </c>
      <c r="C809" t="s">
        <v>2017</v>
      </c>
      <c r="D809" t="s">
        <v>1124</v>
      </c>
      <c r="E809" t="s">
        <v>1820</v>
      </c>
      <c r="F809" t="s">
        <v>1035</v>
      </c>
      <c r="G809" t="s">
        <v>1035</v>
      </c>
      <c r="H809" t="s">
        <v>1035</v>
      </c>
      <c r="I809" t="s">
        <v>1035</v>
      </c>
      <c r="J809" t="s">
        <v>1035</v>
      </c>
      <c r="K809">
        <v>808</v>
      </c>
      <c r="L809" t="str">
        <f t="shared" si="24"/>
        <v>Collin Hill</v>
      </c>
      <c r="M809" s="69" t="str">
        <f>IFERROR(VLOOKUP(E809,RISK!A:B,2,FALSE()),"")</f>
        <v/>
      </c>
      <c r="N809" s="43" t="e">
        <f t="shared" si="25"/>
        <v>#N/A</v>
      </c>
    </row>
    <row r="810" spans="1:14" ht="14.25" customHeight="1" x14ac:dyDescent="0.3">
      <c r="A810">
        <v>809</v>
      </c>
      <c r="B810">
        <v>15</v>
      </c>
      <c r="C810" t="s">
        <v>1650</v>
      </c>
      <c r="D810" t="s">
        <v>513</v>
      </c>
      <c r="E810" t="s">
        <v>1727</v>
      </c>
      <c r="F810">
        <v>6</v>
      </c>
      <c r="G810" t="s">
        <v>1035</v>
      </c>
      <c r="H810" t="s">
        <v>1035</v>
      </c>
      <c r="I810" t="s">
        <v>1027</v>
      </c>
      <c r="J810" t="s">
        <v>1035</v>
      </c>
      <c r="K810">
        <v>809</v>
      </c>
      <c r="L810" t="str">
        <f t="shared" si="24"/>
        <v>Tre Watson</v>
      </c>
      <c r="M810" s="69" t="str">
        <f>IFERROR(VLOOKUP(E810,RISK!A:B,2,FALSE()),"")</f>
        <v/>
      </c>
      <c r="N810" s="43" t="e">
        <f t="shared" si="25"/>
        <v>#N/A</v>
      </c>
    </row>
    <row r="811" spans="1:14" ht="14.25" customHeight="1" x14ac:dyDescent="0.3">
      <c r="A811">
        <v>810</v>
      </c>
      <c r="B811">
        <v>15</v>
      </c>
      <c r="C811" t="s">
        <v>2051</v>
      </c>
      <c r="D811" t="s">
        <v>1124</v>
      </c>
      <c r="E811" t="s">
        <v>1733</v>
      </c>
      <c r="F811" t="s">
        <v>1035</v>
      </c>
      <c r="G811" t="s">
        <v>1035</v>
      </c>
      <c r="H811" t="s">
        <v>1035</v>
      </c>
      <c r="I811" t="s">
        <v>1035</v>
      </c>
      <c r="J811" t="s">
        <v>1035</v>
      </c>
      <c r="K811">
        <v>810</v>
      </c>
      <c r="L811" t="str">
        <f t="shared" si="24"/>
        <v>Logan Thomas</v>
      </c>
      <c r="M811" s="69" t="str">
        <f>IFERROR(VLOOKUP(E811,RISK!A:B,2,FALSE()),"")</f>
        <v/>
      </c>
      <c r="N811" s="43" t="e">
        <f t="shared" si="25"/>
        <v>#N/A</v>
      </c>
    </row>
    <row r="812" spans="1:14" ht="14.25" customHeight="1" x14ac:dyDescent="0.3">
      <c r="A812">
        <v>811</v>
      </c>
      <c r="B812">
        <v>15</v>
      </c>
      <c r="C812" t="s">
        <v>1659</v>
      </c>
      <c r="D812" t="s">
        <v>503</v>
      </c>
      <c r="E812" t="s">
        <v>1737</v>
      </c>
      <c r="F812">
        <v>6</v>
      </c>
      <c r="G812" t="s">
        <v>1035</v>
      </c>
      <c r="H812" t="s">
        <v>1035</v>
      </c>
      <c r="I812" t="s">
        <v>1032</v>
      </c>
      <c r="J812" t="s">
        <v>1035</v>
      </c>
      <c r="K812">
        <v>811</v>
      </c>
      <c r="L812" t="str">
        <f t="shared" si="24"/>
        <v>Thomas Gordon</v>
      </c>
      <c r="M812" s="69" t="str">
        <f>IFERROR(VLOOKUP(E812,RISK!A:B,2,FALSE()),"")</f>
        <v/>
      </c>
      <c r="N812" s="43" t="e">
        <f t="shared" si="25"/>
        <v>#N/A</v>
      </c>
    </row>
    <row r="813" spans="1:14" ht="14.25" customHeight="1" x14ac:dyDescent="0.3">
      <c r="A813">
        <v>812</v>
      </c>
      <c r="B813">
        <v>15</v>
      </c>
      <c r="C813" t="s">
        <v>1420</v>
      </c>
      <c r="D813" t="s">
        <v>523</v>
      </c>
      <c r="E813" t="s">
        <v>1885</v>
      </c>
      <c r="F813">
        <v>13</v>
      </c>
      <c r="G813" t="s">
        <v>1035</v>
      </c>
      <c r="H813" t="s">
        <v>1035</v>
      </c>
      <c r="I813" t="s">
        <v>1032</v>
      </c>
      <c r="J813" t="s">
        <v>1035</v>
      </c>
      <c r="K813">
        <v>812</v>
      </c>
      <c r="L813" t="str">
        <f t="shared" si="24"/>
        <v>Chip Trayanum</v>
      </c>
      <c r="M813" s="69" t="str">
        <f>IFERROR(VLOOKUP(E813,RISK!A:B,2,FALSE()),"")</f>
        <v/>
      </c>
      <c r="N813" s="43" t="e">
        <f t="shared" si="25"/>
        <v>#N/A</v>
      </c>
    </row>
    <row r="814" spans="1:14" ht="14.25" customHeight="1" x14ac:dyDescent="0.3">
      <c r="A814">
        <v>813</v>
      </c>
      <c r="B814">
        <v>15</v>
      </c>
      <c r="C814" t="s">
        <v>1755</v>
      </c>
      <c r="D814" t="s">
        <v>1124</v>
      </c>
      <c r="E814" t="s">
        <v>1772</v>
      </c>
      <c r="F814" t="s">
        <v>1035</v>
      </c>
      <c r="G814" t="s">
        <v>1035</v>
      </c>
      <c r="H814" t="s">
        <v>1035</v>
      </c>
      <c r="I814" t="s">
        <v>1035</v>
      </c>
      <c r="J814" t="s">
        <v>1035</v>
      </c>
      <c r="K814">
        <v>813</v>
      </c>
      <c r="L814" t="str">
        <f t="shared" si="24"/>
        <v>Tejhaun Palmer</v>
      </c>
      <c r="M814" s="69" t="str">
        <f>IFERROR(VLOOKUP(E814,RISK!A:B,2,FALSE()),"")</f>
        <v/>
      </c>
      <c r="N814" s="43" t="e">
        <f t="shared" si="25"/>
        <v>#N/A</v>
      </c>
    </row>
    <row r="815" spans="1:14" ht="14.25" customHeight="1" x14ac:dyDescent="0.3">
      <c r="A815">
        <v>814</v>
      </c>
      <c r="B815">
        <v>15</v>
      </c>
      <c r="C815" t="s">
        <v>579</v>
      </c>
      <c r="D815" t="s">
        <v>513</v>
      </c>
      <c r="E815" t="s">
        <v>1823</v>
      </c>
      <c r="F815">
        <v>6</v>
      </c>
      <c r="G815" t="s">
        <v>1035</v>
      </c>
      <c r="H815" t="s">
        <v>1035</v>
      </c>
      <c r="I815" t="s">
        <v>1032</v>
      </c>
      <c r="J815" t="s">
        <v>1035</v>
      </c>
      <c r="K815">
        <v>814</v>
      </c>
      <c r="L815" t="str">
        <f t="shared" si="24"/>
        <v>Brady Cook</v>
      </c>
      <c r="M815" s="69" t="str">
        <f>IFERROR(VLOOKUP(E815,RISK!A:B,2,FALSE()),"")</f>
        <v/>
      </c>
      <c r="N815" s="43" t="e">
        <f t="shared" si="25"/>
        <v>#N/A</v>
      </c>
    </row>
    <row r="816" spans="1:14" ht="14.25" customHeight="1" x14ac:dyDescent="0.3">
      <c r="A816">
        <v>815</v>
      </c>
      <c r="B816">
        <v>15</v>
      </c>
      <c r="C816" t="s">
        <v>1694</v>
      </c>
      <c r="D816" t="s">
        <v>511</v>
      </c>
      <c r="E816" t="s">
        <v>1742</v>
      </c>
      <c r="F816">
        <v>13</v>
      </c>
      <c r="G816" t="s">
        <v>1035</v>
      </c>
      <c r="H816" t="s">
        <v>1035</v>
      </c>
      <c r="I816" t="s">
        <v>1032</v>
      </c>
      <c r="J816" t="s">
        <v>1035</v>
      </c>
      <c r="K816">
        <v>815</v>
      </c>
      <c r="L816" t="str">
        <f t="shared" si="24"/>
        <v>Carson Towt</v>
      </c>
      <c r="M816" s="69" t="str">
        <f>IFERROR(VLOOKUP(E816,RISK!A:B,2,FALSE()),"")</f>
        <v/>
      </c>
      <c r="N816" s="43" t="e">
        <f t="shared" si="25"/>
        <v>#N/A</v>
      </c>
    </row>
    <row r="817" spans="1:14" ht="14.25" customHeight="1" x14ac:dyDescent="0.3">
      <c r="A817">
        <v>816</v>
      </c>
      <c r="B817">
        <v>15</v>
      </c>
      <c r="C817" t="s">
        <v>1974</v>
      </c>
      <c r="D817" t="s">
        <v>505</v>
      </c>
      <c r="E817" t="s">
        <v>1834</v>
      </c>
      <c r="F817">
        <v>8</v>
      </c>
      <c r="G817" t="s">
        <v>1035</v>
      </c>
      <c r="H817" t="s">
        <v>1035</v>
      </c>
      <c r="I817" t="s">
        <v>1032</v>
      </c>
      <c r="J817" t="s">
        <v>1035</v>
      </c>
      <c r="K817">
        <v>816</v>
      </c>
      <c r="L817" t="str">
        <f t="shared" si="24"/>
        <v>Trey Palmer</v>
      </c>
      <c r="M817" s="69" t="str">
        <f>IFERROR(VLOOKUP(E817,RISK!A:B,2,FALSE()),"")</f>
        <v/>
      </c>
      <c r="N817" s="43" t="e">
        <f t="shared" si="25"/>
        <v>#N/A</v>
      </c>
    </row>
    <row r="818" spans="1:14" ht="14.25" customHeight="1" x14ac:dyDescent="0.3">
      <c r="A818">
        <v>817</v>
      </c>
      <c r="B818">
        <v>15</v>
      </c>
      <c r="C818" t="s">
        <v>1901</v>
      </c>
      <c r="D818" t="s">
        <v>1124</v>
      </c>
      <c r="E818" t="s">
        <v>1887</v>
      </c>
      <c r="F818" t="s">
        <v>1035</v>
      </c>
      <c r="G818" t="s">
        <v>1035</v>
      </c>
      <c r="H818" t="s">
        <v>1035</v>
      </c>
      <c r="I818" t="s">
        <v>1035</v>
      </c>
      <c r="J818">
        <v>-504</v>
      </c>
      <c r="K818">
        <v>817</v>
      </c>
      <c r="L818" t="str">
        <f t="shared" si="24"/>
        <v>Myles Gaskin</v>
      </c>
      <c r="M818" s="69" t="str">
        <f>IFERROR(VLOOKUP(E818,RISK!A:B,2,FALSE()),"")</f>
        <v/>
      </c>
      <c r="N818" s="43" t="e">
        <f t="shared" si="25"/>
        <v>#N/A</v>
      </c>
    </row>
    <row r="819" spans="1:14" ht="14.25" customHeight="1" x14ac:dyDescent="0.3">
      <c r="A819">
        <v>818</v>
      </c>
      <c r="B819">
        <v>15</v>
      </c>
      <c r="C819" t="s">
        <v>1855</v>
      </c>
      <c r="D819" t="s">
        <v>531</v>
      </c>
      <c r="E819" t="s">
        <v>1745</v>
      </c>
      <c r="F819">
        <v>13</v>
      </c>
      <c r="G819" t="s">
        <v>1035</v>
      </c>
      <c r="H819" t="s">
        <v>1035</v>
      </c>
      <c r="I819" t="s">
        <v>1032</v>
      </c>
      <c r="J819" t="s">
        <v>1035</v>
      </c>
      <c r="K819">
        <v>818</v>
      </c>
      <c r="L819" t="str">
        <f t="shared" si="24"/>
        <v>Chris Myarick</v>
      </c>
      <c r="M819" s="69" t="str">
        <f>IFERROR(VLOOKUP(E819,RISK!A:B,2,FALSE()),"")</f>
        <v/>
      </c>
      <c r="N819" s="43" t="e">
        <f t="shared" si="25"/>
        <v>#N/A</v>
      </c>
    </row>
    <row r="820" spans="1:14" ht="14.25" customHeight="1" x14ac:dyDescent="0.3">
      <c r="A820">
        <v>819</v>
      </c>
      <c r="B820">
        <v>15</v>
      </c>
      <c r="C820" t="s">
        <v>1712</v>
      </c>
      <c r="D820" t="s">
        <v>527</v>
      </c>
      <c r="E820" t="s">
        <v>1748</v>
      </c>
      <c r="F820">
        <v>14</v>
      </c>
      <c r="G820" t="s">
        <v>1035</v>
      </c>
      <c r="H820" t="s">
        <v>1035</v>
      </c>
      <c r="I820" t="s">
        <v>1028</v>
      </c>
      <c r="J820" t="s">
        <v>1035</v>
      </c>
      <c r="K820">
        <v>819</v>
      </c>
      <c r="L820" t="str">
        <f t="shared" si="24"/>
        <v>Jameson Geers</v>
      </c>
      <c r="N820" s="43" t="e">
        <f t="shared" si="25"/>
        <v>#N/A</v>
      </c>
    </row>
    <row r="821" spans="1:14" ht="14.25" customHeight="1" x14ac:dyDescent="0.3">
      <c r="A821">
        <v>820</v>
      </c>
      <c r="B821">
        <v>15</v>
      </c>
      <c r="C821" t="s">
        <v>899</v>
      </c>
      <c r="D821" t="s">
        <v>1124</v>
      </c>
      <c r="E821" t="s">
        <v>1840</v>
      </c>
      <c r="F821" t="s">
        <v>1035</v>
      </c>
      <c r="G821" t="s">
        <v>1035</v>
      </c>
      <c r="H821" t="s">
        <v>1035</v>
      </c>
      <c r="I821" t="s">
        <v>1035</v>
      </c>
      <c r="J821" t="s">
        <v>1035</v>
      </c>
      <c r="K821">
        <v>820</v>
      </c>
      <c r="L821" t="str">
        <f t="shared" si="24"/>
        <v>Gage Larvadain</v>
      </c>
      <c r="N821" s="43" t="e">
        <f t="shared" si="25"/>
        <v>#N/A</v>
      </c>
    </row>
    <row r="822" spans="1:14" ht="14.25" customHeight="1" x14ac:dyDescent="0.3">
      <c r="A822">
        <v>821</v>
      </c>
      <c r="B822">
        <v>15</v>
      </c>
      <c r="C822" t="s">
        <v>1640</v>
      </c>
      <c r="D822" t="s">
        <v>1124</v>
      </c>
      <c r="E822" t="s">
        <v>1749</v>
      </c>
      <c r="F822" t="s">
        <v>1035</v>
      </c>
      <c r="G822" t="s">
        <v>1035</v>
      </c>
      <c r="H822" t="s">
        <v>1035</v>
      </c>
      <c r="I822" t="s">
        <v>1035</v>
      </c>
      <c r="J822" t="s">
        <v>1035</v>
      </c>
      <c r="K822">
        <v>821</v>
      </c>
      <c r="L822" t="str">
        <f t="shared" si="24"/>
        <v>Zach Horton</v>
      </c>
      <c r="N822" s="43" t="e">
        <f t="shared" si="25"/>
        <v>#N/A</v>
      </c>
    </row>
    <row r="823" spans="1:14" ht="14.25" customHeight="1" x14ac:dyDescent="0.3">
      <c r="A823">
        <v>822</v>
      </c>
      <c r="B823">
        <v>15</v>
      </c>
      <c r="C823" t="s">
        <v>2034</v>
      </c>
      <c r="D823" t="s">
        <v>1124</v>
      </c>
      <c r="E823" t="s">
        <v>1843</v>
      </c>
      <c r="F823" t="s">
        <v>1035</v>
      </c>
      <c r="G823" t="s">
        <v>1035</v>
      </c>
      <c r="H823" t="s">
        <v>1035</v>
      </c>
      <c r="I823" t="s">
        <v>1035</v>
      </c>
      <c r="J823" t="s">
        <v>1035</v>
      </c>
      <c r="K823">
        <v>822</v>
      </c>
      <c r="L823" t="str">
        <f t="shared" si="24"/>
        <v>Malik Taylor</v>
      </c>
      <c r="N823" s="43" t="e">
        <f t="shared" si="25"/>
        <v>#N/A</v>
      </c>
    </row>
    <row r="824" spans="1:14" ht="14.25" customHeight="1" x14ac:dyDescent="0.3">
      <c r="A824">
        <v>823</v>
      </c>
      <c r="B824">
        <v>15</v>
      </c>
      <c r="C824" t="s">
        <v>581</v>
      </c>
      <c r="D824" t="s">
        <v>501</v>
      </c>
      <c r="E824" t="s">
        <v>1825</v>
      </c>
      <c r="F824">
        <v>11</v>
      </c>
      <c r="G824" t="s">
        <v>1035</v>
      </c>
      <c r="H824" t="s">
        <v>1035</v>
      </c>
      <c r="I824" t="s">
        <v>1032</v>
      </c>
      <c r="J824" t="s">
        <v>1035</v>
      </c>
      <c r="K824">
        <v>823</v>
      </c>
      <c r="L824" t="str">
        <f t="shared" si="24"/>
        <v>Stetson Bennett IV</v>
      </c>
      <c r="N824" s="43" t="e">
        <f t="shared" si="25"/>
        <v>#N/A</v>
      </c>
    </row>
    <row r="825" spans="1:14" ht="14.25" customHeight="1" x14ac:dyDescent="0.3">
      <c r="A825">
        <v>824</v>
      </c>
      <c r="B825">
        <v>15</v>
      </c>
      <c r="C825" t="s">
        <v>1688</v>
      </c>
      <c r="D825" t="s">
        <v>497</v>
      </c>
      <c r="E825" t="s">
        <v>1751</v>
      </c>
      <c r="F825">
        <v>7</v>
      </c>
      <c r="G825" t="s">
        <v>1035</v>
      </c>
      <c r="H825" t="s">
        <v>1035</v>
      </c>
      <c r="I825" t="s">
        <v>1029</v>
      </c>
      <c r="J825" t="s">
        <v>1035</v>
      </c>
      <c r="K825">
        <v>824</v>
      </c>
      <c r="L825" t="str">
        <f t="shared" si="24"/>
        <v>Patrick Herbert</v>
      </c>
      <c r="N825" s="43" t="e">
        <f t="shared" si="25"/>
        <v>#N/A</v>
      </c>
    </row>
    <row r="826" spans="1:14" ht="14.25" customHeight="1" x14ac:dyDescent="0.3">
      <c r="A826">
        <v>825</v>
      </c>
      <c r="B826">
        <v>15</v>
      </c>
      <c r="C826" t="s">
        <v>1816</v>
      </c>
      <c r="D826" t="s">
        <v>1124</v>
      </c>
      <c r="E826" t="s">
        <v>1826</v>
      </c>
      <c r="F826" t="s">
        <v>1035</v>
      </c>
      <c r="G826" t="s">
        <v>1035</v>
      </c>
      <c r="H826" t="s">
        <v>1035</v>
      </c>
      <c r="I826" t="s">
        <v>1035</v>
      </c>
      <c r="J826" t="s">
        <v>1035</v>
      </c>
      <c r="N826" s="43" t="e">
        <f t="shared" si="25"/>
        <v>#N/A</v>
      </c>
    </row>
    <row r="827" spans="1:14" ht="14.25" customHeight="1" x14ac:dyDescent="0.3">
      <c r="A827">
        <v>826</v>
      </c>
      <c r="B827">
        <v>15</v>
      </c>
      <c r="C827" t="s">
        <v>2056</v>
      </c>
      <c r="D827" t="s">
        <v>1124</v>
      </c>
      <c r="E827" t="s">
        <v>1754</v>
      </c>
      <c r="F827" t="s">
        <v>1035</v>
      </c>
      <c r="G827" t="s">
        <v>1035</v>
      </c>
      <c r="H827" t="s">
        <v>1035</v>
      </c>
      <c r="I827" t="s">
        <v>1035</v>
      </c>
      <c r="J827" t="s">
        <v>1035</v>
      </c>
      <c r="N827" s="43" t="e">
        <f t="shared" si="25"/>
        <v>#N/A</v>
      </c>
    </row>
    <row r="828" spans="1:14" ht="14.25" customHeight="1" x14ac:dyDescent="0.3">
      <c r="A828">
        <v>827</v>
      </c>
      <c r="B828">
        <v>15</v>
      </c>
      <c r="C828" t="s">
        <v>1673</v>
      </c>
      <c r="D828" t="s">
        <v>479</v>
      </c>
      <c r="E828" t="s">
        <v>1762</v>
      </c>
      <c r="F828">
        <v>7</v>
      </c>
      <c r="G828" t="s">
        <v>1035</v>
      </c>
      <c r="H828" t="s">
        <v>1035</v>
      </c>
      <c r="I828" t="s">
        <v>1031</v>
      </c>
      <c r="J828" t="s">
        <v>1035</v>
      </c>
      <c r="N828" s="43" t="e">
        <f t="shared" si="25"/>
        <v>#N/A</v>
      </c>
    </row>
    <row r="829" spans="1:14" ht="14.25" customHeight="1" x14ac:dyDescent="0.3">
      <c r="A829">
        <v>828</v>
      </c>
      <c r="B829">
        <v>15</v>
      </c>
      <c r="C829" t="s">
        <v>1663</v>
      </c>
      <c r="D829" t="s">
        <v>491</v>
      </c>
      <c r="E829" t="s">
        <v>1763</v>
      </c>
      <c r="F829">
        <v>14</v>
      </c>
      <c r="G829" t="s">
        <v>1035</v>
      </c>
      <c r="H829" t="s">
        <v>1035</v>
      </c>
      <c r="I829" t="s">
        <v>1028</v>
      </c>
      <c r="J829" t="s">
        <v>1035</v>
      </c>
      <c r="N829" s="43" t="e">
        <f t="shared" si="25"/>
        <v>#N/A</v>
      </c>
    </row>
    <row r="830" spans="1:14" ht="14.25" customHeight="1" x14ac:dyDescent="0.3">
      <c r="A830">
        <v>829</v>
      </c>
      <c r="B830">
        <v>15</v>
      </c>
      <c r="C830" t="s">
        <v>1495</v>
      </c>
      <c r="D830" t="s">
        <v>1124</v>
      </c>
      <c r="E830" t="s">
        <v>1865</v>
      </c>
      <c r="F830" t="s">
        <v>1035</v>
      </c>
      <c r="G830" t="s">
        <v>1035</v>
      </c>
      <c r="H830" t="s">
        <v>1035</v>
      </c>
      <c r="I830" t="s">
        <v>1035</v>
      </c>
      <c r="J830" t="s">
        <v>1035</v>
      </c>
      <c r="N830" s="43" t="e">
        <f t="shared" si="25"/>
        <v>#N/A</v>
      </c>
    </row>
    <row r="831" spans="1:14" ht="14.25" customHeight="1" x14ac:dyDescent="0.3">
      <c r="A831">
        <v>830</v>
      </c>
      <c r="B831">
        <v>15</v>
      </c>
      <c r="C831" t="s">
        <v>1741</v>
      </c>
      <c r="D831" t="s">
        <v>497</v>
      </c>
      <c r="E831" t="s">
        <v>1768</v>
      </c>
      <c r="F831">
        <v>7</v>
      </c>
      <c r="G831" t="s">
        <v>1035</v>
      </c>
      <c r="H831" t="s">
        <v>1035</v>
      </c>
      <c r="I831" t="s">
        <v>1029</v>
      </c>
      <c r="J831" t="s">
        <v>1035</v>
      </c>
      <c r="N831" s="43" t="e">
        <f t="shared" si="25"/>
        <v>#N/A</v>
      </c>
    </row>
    <row r="832" spans="1:14" ht="14.25" customHeight="1" x14ac:dyDescent="0.3">
      <c r="A832">
        <v>831</v>
      </c>
      <c r="B832">
        <v>15</v>
      </c>
      <c r="C832" t="s">
        <v>2081</v>
      </c>
      <c r="D832" t="s">
        <v>1124</v>
      </c>
      <c r="E832" t="s">
        <v>1889</v>
      </c>
      <c r="F832" t="s">
        <v>1035</v>
      </c>
      <c r="G832" t="s">
        <v>1035</v>
      </c>
      <c r="H832" t="s">
        <v>1035</v>
      </c>
      <c r="I832" t="s">
        <v>1035</v>
      </c>
      <c r="J832" t="s">
        <v>1035</v>
      </c>
      <c r="N832" s="43" t="e">
        <f t="shared" si="25"/>
        <v>#N/A</v>
      </c>
    </row>
    <row r="833" spans="1:14" ht="14.25" customHeight="1" x14ac:dyDescent="0.3">
      <c r="A833">
        <v>832</v>
      </c>
      <c r="B833">
        <v>15</v>
      </c>
      <c r="C833" t="s">
        <v>2037</v>
      </c>
      <c r="D833" t="s">
        <v>1124</v>
      </c>
      <c r="E833" t="s">
        <v>1881</v>
      </c>
      <c r="F833" t="s">
        <v>1035</v>
      </c>
      <c r="G833" t="s">
        <v>1035</v>
      </c>
      <c r="H833" t="s">
        <v>1035</v>
      </c>
      <c r="I833" t="s">
        <v>1035</v>
      </c>
      <c r="J833" t="s">
        <v>1035</v>
      </c>
      <c r="N833" s="43" t="e">
        <f t="shared" si="25"/>
        <v>#N/A</v>
      </c>
    </row>
    <row r="834" spans="1:14" ht="14.25" customHeight="1" x14ac:dyDescent="0.3">
      <c r="A834">
        <v>833</v>
      </c>
      <c r="B834">
        <v>15</v>
      </c>
      <c r="C834" t="s">
        <v>1704</v>
      </c>
      <c r="D834" t="s">
        <v>501</v>
      </c>
      <c r="E834" t="s">
        <v>1891</v>
      </c>
      <c r="F834">
        <v>11</v>
      </c>
      <c r="G834" t="s">
        <v>1035</v>
      </c>
      <c r="H834" t="s">
        <v>1035</v>
      </c>
      <c r="I834" t="s">
        <v>1027</v>
      </c>
      <c r="J834" t="s">
        <v>1035</v>
      </c>
      <c r="N834" s="43" t="e">
        <f t="shared" si="25"/>
        <v>#N/A</v>
      </c>
    </row>
    <row r="835" spans="1:14" ht="14.25" customHeight="1" x14ac:dyDescent="0.3">
      <c r="A835">
        <v>834</v>
      </c>
      <c r="B835">
        <v>15</v>
      </c>
      <c r="C835" t="s">
        <v>1702</v>
      </c>
      <c r="D835" t="s">
        <v>535</v>
      </c>
      <c r="E835" t="s">
        <v>1771</v>
      </c>
      <c r="F835">
        <v>11</v>
      </c>
      <c r="G835" t="s">
        <v>1035</v>
      </c>
      <c r="H835" t="s">
        <v>1035</v>
      </c>
      <c r="I835" t="s">
        <v>1032</v>
      </c>
      <c r="J835" t="s">
        <v>1035</v>
      </c>
      <c r="N835" s="43" t="e">
        <f t="shared" ref="N835:N886" si="26">VLOOKUP(E835,Q:R,2,FALSE)</f>
        <v>#N/A</v>
      </c>
    </row>
    <row r="836" spans="1:14" ht="14.25" customHeight="1" x14ac:dyDescent="0.3">
      <c r="A836">
        <v>835</v>
      </c>
      <c r="B836">
        <v>15</v>
      </c>
      <c r="C836" t="s">
        <v>1710</v>
      </c>
      <c r="D836" t="s">
        <v>505</v>
      </c>
      <c r="E836" t="s">
        <v>1773</v>
      </c>
      <c r="F836">
        <v>8</v>
      </c>
      <c r="G836" t="s">
        <v>1035</v>
      </c>
      <c r="H836" t="s">
        <v>1035</v>
      </c>
      <c r="I836" t="s">
        <v>1028</v>
      </c>
      <c r="J836" t="s">
        <v>1035</v>
      </c>
      <c r="N836" s="43" t="e">
        <f t="shared" si="26"/>
        <v>#N/A</v>
      </c>
    </row>
    <row r="837" spans="1:14" ht="14.25" customHeight="1" x14ac:dyDescent="0.3">
      <c r="A837">
        <v>836</v>
      </c>
      <c r="B837">
        <v>15</v>
      </c>
      <c r="C837" t="s">
        <v>2003</v>
      </c>
      <c r="D837" t="s">
        <v>519</v>
      </c>
      <c r="E837" t="s">
        <v>2005</v>
      </c>
      <c r="F837">
        <v>8</v>
      </c>
      <c r="G837" t="s">
        <v>1035</v>
      </c>
      <c r="H837" t="s">
        <v>1035</v>
      </c>
      <c r="I837" t="s">
        <v>1029</v>
      </c>
      <c r="J837" t="s">
        <v>1035</v>
      </c>
      <c r="N837" s="43" t="e">
        <f t="shared" si="26"/>
        <v>#N/A</v>
      </c>
    </row>
    <row r="838" spans="1:14" ht="14.25" customHeight="1" x14ac:dyDescent="0.3">
      <c r="A838">
        <v>837</v>
      </c>
      <c r="B838">
        <v>15</v>
      </c>
      <c r="C838" t="s">
        <v>1752</v>
      </c>
      <c r="D838" t="s">
        <v>493</v>
      </c>
      <c r="E838" t="s">
        <v>1883</v>
      </c>
      <c r="F838">
        <v>5</v>
      </c>
      <c r="G838" t="s">
        <v>1035</v>
      </c>
      <c r="H838" t="s">
        <v>1035</v>
      </c>
      <c r="I838" t="s">
        <v>1028</v>
      </c>
      <c r="J838" t="s">
        <v>1035</v>
      </c>
      <c r="N838" s="43" t="e">
        <f t="shared" si="26"/>
        <v>#N/A</v>
      </c>
    </row>
    <row r="839" spans="1:14" ht="14.25" customHeight="1" x14ac:dyDescent="0.3">
      <c r="A839">
        <v>838</v>
      </c>
      <c r="B839">
        <v>15</v>
      </c>
      <c r="C839" t="s">
        <v>1909</v>
      </c>
      <c r="D839" t="s">
        <v>1124</v>
      </c>
      <c r="E839" t="s">
        <v>1894</v>
      </c>
      <c r="F839" t="s">
        <v>1035</v>
      </c>
      <c r="G839" t="s">
        <v>1035</v>
      </c>
      <c r="H839" t="s">
        <v>1035</v>
      </c>
      <c r="I839" t="s">
        <v>1035</v>
      </c>
      <c r="J839" t="s">
        <v>1035</v>
      </c>
      <c r="N839" s="43" t="e">
        <f t="shared" si="26"/>
        <v>#N/A</v>
      </c>
    </row>
    <row r="840" spans="1:14" ht="14.25" customHeight="1" x14ac:dyDescent="0.3">
      <c r="A840">
        <v>839</v>
      </c>
      <c r="B840">
        <v>15</v>
      </c>
      <c r="C840" t="s">
        <v>2077</v>
      </c>
      <c r="D840" t="s">
        <v>1124</v>
      </c>
      <c r="E840" t="s">
        <v>1896</v>
      </c>
      <c r="F840" t="s">
        <v>1035</v>
      </c>
      <c r="G840" t="s">
        <v>1035</v>
      </c>
      <c r="H840" t="s">
        <v>1035</v>
      </c>
      <c r="I840" t="s">
        <v>1035</v>
      </c>
      <c r="J840" t="s">
        <v>1035</v>
      </c>
      <c r="N840" s="43" t="e">
        <f t="shared" si="26"/>
        <v>#N/A</v>
      </c>
    </row>
    <row r="841" spans="1:14" ht="14.25" customHeight="1" x14ac:dyDescent="0.3">
      <c r="A841">
        <v>840</v>
      </c>
      <c r="B841">
        <v>15</v>
      </c>
      <c r="C841" t="s">
        <v>1483</v>
      </c>
      <c r="D841" t="s">
        <v>509</v>
      </c>
      <c r="E841" t="s">
        <v>1775</v>
      </c>
      <c r="F841">
        <v>6</v>
      </c>
      <c r="G841" t="s">
        <v>1035</v>
      </c>
      <c r="H841" t="s">
        <v>1035</v>
      </c>
      <c r="I841" t="s">
        <v>1029</v>
      </c>
      <c r="J841" t="s">
        <v>1035</v>
      </c>
      <c r="N841" s="43" t="e">
        <f t="shared" si="26"/>
        <v>#N/A</v>
      </c>
    </row>
    <row r="842" spans="1:14" ht="14.25" customHeight="1" x14ac:dyDescent="0.3">
      <c r="A842">
        <v>841</v>
      </c>
      <c r="B842">
        <v>15</v>
      </c>
      <c r="C842" t="s">
        <v>1781</v>
      </c>
      <c r="D842" t="s">
        <v>487</v>
      </c>
      <c r="E842" t="s">
        <v>2018</v>
      </c>
      <c r="F842">
        <v>8</v>
      </c>
      <c r="G842" t="s">
        <v>1035</v>
      </c>
      <c r="H842" t="s">
        <v>1035</v>
      </c>
      <c r="I842" t="s">
        <v>1031</v>
      </c>
      <c r="J842" t="s">
        <v>1035</v>
      </c>
      <c r="N842" s="43" t="e">
        <f t="shared" si="26"/>
        <v>#N/A</v>
      </c>
    </row>
    <row r="843" spans="1:14" ht="14.25" customHeight="1" x14ac:dyDescent="0.3">
      <c r="A843">
        <v>842</v>
      </c>
      <c r="B843">
        <v>15</v>
      </c>
      <c r="C843" t="s">
        <v>1978</v>
      </c>
      <c r="D843" t="s">
        <v>1124</v>
      </c>
      <c r="E843" t="s">
        <v>1893</v>
      </c>
      <c r="F843" t="s">
        <v>1035</v>
      </c>
      <c r="G843" t="s">
        <v>1035</v>
      </c>
      <c r="H843" t="s">
        <v>1035</v>
      </c>
      <c r="I843" t="s">
        <v>1035</v>
      </c>
      <c r="J843" t="s">
        <v>1035</v>
      </c>
      <c r="N843" s="43" t="e">
        <f t="shared" si="26"/>
        <v>#N/A</v>
      </c>
    </row>
    <row r="844" spans="1:14" ht="14.25" customHeight="1" x14ac:dyDescent="0.3">
      <c r="A844">
        <v>843</v>
      </c>
      <c r="B844">
        <v>15</v>
      </c>
      <c r="C844" t="s">
        <v>2020</v>
      </c>
      <c r="D844" t="s">
        <v>501</v>
      </c>
      <c r="E844" t="s">
        <v>2019</v>
      </c>
      <c r="F844">
        <v>11</v>
      </c>
      <c r="G844" t="s">
        <v>1035</v>
      </c>
      <c r="H844" t="s">
        <v>1035</v>
      </c>
      <c r="I844" t="s">
        <v>1032</v>
      </c>
      <c r="J844" t="s">
        <v>1035</v>
      </c>
      <c r="N844" s="43" t="e">
        <f t="shared" si="26"/>
        <v>#N/A</v>
      </c>
    </row>
    <row r="845" spans="1:14" ht="14.25" customHeight="1" x14ac:dyDescent="0.3">
      <c r="A845">
        <v>844</v>
      </c>
      <c r="B845">
        <v>15</v>
      </c>
      <c r="C845" t="s">
        <v>568</v>
      </c>
      <c r="D845" t="s">
        <v>477</v>
      </c>
      <c r="E845" t="s">
        <v>2021</v>
      </c>
      <c r="F845">
        <v>11</v>
      </c>
      <c r="G845" t="s">
        <v>1035</v>
      </c>
      <c r="H845" t="s">
        <v>1035</v>
      </c>
      <c r="I845" t="s">
        <v>1028</v>
      </c>
      <c r="J845" t="s">
        <v>1035</v>
      </c>
      <c r="N845" s="43" t="e">
        <f t="shared" si="26"/>
        <v>#N/A</v>
      </c>
    </row>
    <row r="846" spans="1:14" ht="14.25" customHeight="1" x14ac:dyDescent="0.3">
      <c r="A846">
        <v>845</v>
      </c>
      <c r="B846">
        <v>15</v>
      </c>
      <c r="C846" t="s">
        <v>1507</v>
      </c>
      <c r="D846" t="s">
        <v>1124</v>
      </c>
      <c r="E846" t="s">
        <v>1905</v>
      </c>
      <c r="F846" t="s">
        <v>1035</v>
      </c>
      <c r="G846" t="s">
        <v>1035</v>
      </c>
      <c r="H846" t="s">
        <v>1035</v>
      </c>
      <c r="I846" t="s">
        <v>1035</v>
      </c>
      <c r="J846" t="s">
        <v>1035</v>
      </c>
      <c r="N846" s="43" t="e">
        <f t="shared" si="26"/>
        <v>#N/A</v>
      </c>
    </row>
    <row r="847" spans="1:14" ht="14.25" customHeight="1" x14ac:dyDescent="0.3">
      <c r="A847">
        <v>846</v>
      </c>
      <c r="B847">
        <v>15</v>
      </c>
      <c r="C847" t="s">
        <v>887</v>
      </c>
      <c r="D847" t="s">
        <v>1124</v>
      </c>
      <c r="E847" t="s">
        <v>1908</v>
      </c>
      <c r="F847" t="s">
        <v>1035</v>
      </c>
      <c r="G847" t="s">
        <v>1035</v>
      </c>
      <c r="H847" t="s">
        <v>1035</v>
      </c>
      <c r="I847" t="s">
        <v>1035</v>
      </c>
      <c r="J847" t="s">
        <v>1035</v>
      </c>
      <c r="N847" s="43" t="e">
        <f t="shared" si="26"/>
        <v>#N/A</v>
      </c>
    </row>
    <row r="848" spans="1:14" ht="14.25" customHeight="1" x14ac:dyDescent="0.3">
      <c r="A848">
        <v>847</v>
      </c>
      <c r="B848">
        <v>15</v>
      </c>
      <c r="C848" t="s">
        <v>1479</v>
      </c>
      <c r="D848" t="s">
        <v>1124</v>
      </c>
      <c r="E848" t="s">
        <v>1898</v>
      </c>
      <c r="F848" t="s">
        <v>1035</v>
      </c>
      <c r="G848" t="s">
        <v>1035</v>
      </c>
      <c r="H848" t="s">
        <v>1035</v>
      </c>
      <c r="I848" t="s">
        <v>1035</v>
      </c>
      <c r="J848" t="s">
        <v>1035</v>
      </c>
      <c r="N848" s="43" t="e">
        <f t="shared" si="26"/>
        <v>#N/A</v>
      </c>
    </row>
    <row r="849" spans="1:14" ht="14.25" customHeight="1" x14ac:dyDescent="0.3">
      <c r="A849">
        <v>848</v>
      </c>
      <c r="B849">
        <v>15</v>
      </c>
      <c r="C849" t="s">
        <v>2023</v>
      </c>
      <c r="D849" t="s">
        <v>1124</v>
      </c>
      <c r="E849" t="s">
        <v>2022</v>
      </c>
      <c r="F849" t="s">
        <v>1035</v>
      </c>
      <c r="G849" t="s">
        <v>1035</v>
      </c>
      <c r="H849" t="s">
        <v>1035</v>
      </c>
      <c r="I849" t="s">
        <v>1035</v>
      </c>
      <c r="J849" t="s">
        <v>1035</v>
      </c>
      <c r="N849" s="43" t="e">
        <f t="shared" si="26"/>
        <v>#N/A</v>
      </c>
    </row>
    <row r="850" spans="1:14" ht="14.25" customHeight="1" x14ac:dyDescent="0.3">
      <c r="A850">
        <v>849</v>
      </c>
      <c r="B850">
        <v>15</v>
      </c>
      <c r="C850" t="s">
        <v>1767</v>
      </c>
      <c r="D850" t="s">
        <v>515</v>
      </c>
      <c r="E850" t="s">
        <v>1838</v>
      </c>
      <c r="F850">
        <v>11</v>
      </c>
      <c r="G850" t="s">
        <v>1035</v>
      </c>
      <c r="H850" t="s">
        <v>1035</v>
      </c>
      <c r="I850" t="s">
        <v>1028</v>
      </c>
      <c r="J850" t="s">
        <v>1035</v>
      </c>
      <c r="N850" s="43" t="e">
        <f t="shared" si="26"/>
        <v>#N/A</v>
      </c>
    </row>
    <row r="851" spans="1:14" ht="14.25" customHeight="1" x14ac:dyDescent="0.3">
      <c r="A851">
        <v>850</v>
      </c>
      <c r="B851">
        <v>15</v>
      </c>
      <c r="C851" t="s">
        <v>1750</v>
      </c>
      <c r="D851" t="s">
        <v>511</v>
      </c>
      <c r="E851" t="s">
        <v>1841</v>
      </c>
      <c r="F851">
        <v>13</v>
      </c>
      <c r="G851" t="s">
        <v>1035</v>
      </c>
      <c r="H851" t="s">
        <v>1035</v>
      </c>
      <c r="I851" t="s">
        <v>1032</v>
      </c>
      <c r="J851" t="s">
        <v>1035</v>
      </c>
      <c r="N851" s="43" t="e">
        <f t="shared" si="26"/>
        <v>#N/A</v>
      </c>
    </row>
    <row r="852" spans="1:14" ht="14.25" customHeight="1" x14ac:dyDescent="0.3">
      <c r="A852">
        <v>851</v>
      </c>
      <c r="B852">
        <v>15</v>
      </c>
      <c r="C852" t="s">
        <v>1770</v>
      </c>
      <c r="D852" t="s">
        <v>495</v>
      </c>
      <c r="E852" t="s">
        <v>1845</v>
      </c>
      <c r="F852">
        <v>10</v>
      </c>
      <c r="G852" t="s">
        <v>1035</v>
      </c>
      <c r="H852" t="s">
        <v>1035</v>
      </c>
      <c r="I852" t="s">
        <v>1028</v>
      </c>
      <c r="J852" t="s">
        <v>1035</v>
      </c>
      <c r="N852" s="43" t="e">
        <f t="shared" si="26"/>
        <v>#N/A</v>
      </c>
    </row>
    <row r="853" spans="1:14" ht="14.25" customHeight="1" x14ac:dyDescent="0.3">
      <c r="A853">
        <v>852</v>
      </c>
      <c r="B853">
        <v>15</v>
      </c>
      <c r="C853" t="s">
        <v>1632</v>
      </c>
      <c r="D853" t="s">
        <v>475</v>
      </c>
      <c r="E853" t="s">
        <v>1912</v>
      </c>
      <c r="F853">
        <v>13</v>
      </c>
      <c r="G853" t="s">
        <v>1035</v>
      </c>
      <c r="H853" t="s">
        <v>1035</v>
      </c>
      <c r="I853" t="s">
        <v>1029</v>
      </c>
      <c r="J853" t="s">
        <v>1035</v>
      </c>
      <c r="N853" s="43" t="e">
        <f t="shared" si="26"/>
        <v>#N/A</v>
      </c>
    </row>
    <row r="854" spans="1:14" ht="14.25" customHeight="1" x14ac:dyDescent="0.3">
      <c r="A854">
        <v>853</v>
      </c>
      <c r="B854">
        <v>15</v>
      </c>
      <c r="C854" t="s">
        <v>2054</v>
      </c>
      <c r="D854" t="s">
        <v>1124</v>
      </c>
      <c r="E854" t="s">
        <v>1850</v>
      </c>
      <c r="F854" t="s">
        <v>1035</v>
      </c>
      <c r="G854" t="s">
        <v>1035</v>
      </c>
      <c r="H854" t="s">
        <v>1035</v>
      </c>
      <c r="I854" t="s">
        <v>1035</v>
      </c>
      <c r="J854" t="s">
        <v>1035</v>
      </c>
      <c r="N854" s="43" t="e">
        <f t="shared" si="26"/>
        <v>#N/A</v>
      </c>
    </row>
    <row r="855" spans="1:14" ht="14.25" customHeight="1" x14ac:dyDescent="0.3">
      <c r="A855">
        <v>854</v>
      </c>
      <c r="B855">
        <v>15</v>
      </c>
      <c r="C855" t="s">
        <v>1423</v>
      </c>
      <c r="D855" t="s">
        <v>483</v>
      </c>
      <c r="E855" t="s">
        <v>1900</v>
      </c>
      <c r="F855">
        <v>6</v>
      </c>
      <c r="G855" t="s">
        <v>1035</v>
      </c>
      <c r="H855" t="s">
        <v>1035</v>
      </c>
      <c r="I855" t="s">
        <v>1028</v>
      </c>
      <c r="J855" t="s">
        <v>1035</v>
      </c>
      <c r="N855" s="43" t="e">
        <f t="shared" si="26"/>
        <v>#N/A</v>
      </c>
    </row>
    <row r="856" spans="1:14" ht="14.25" customHeight="1" x14ac:dyDescent="0.3">
      <c r="A856">
        <v>855</v>
      </c>
      <c r="B856">
        <v>15</v>
      </c>
      <c r="C856" t="s">
        <v>2083</v>
      </c>
      <c r="D856" t="s">
        <v>1124</v>
      </c>
      <c r="E856" t="s">
        <v>1902</v>
      </c>
      <c r="F856" t="s">
        <v>1035</v>
      </c>
      <c r="G856" t="s">
        <v>1035</v>
      </c>
      <c r="H856" t="s">
        <v>1035</v>
      </c>
      <c r="I856" t="s">
        <v>1035</v>
      </c>
      <c r="J856" t="s">
        <v>1035</v>
      </c>
      <c r="N856" s="43" t="e">
        <f t="shared" si="26"/>
        <v>#N/A</v>
      </c>
    </row>
    <row r="857" spans="1:14" ht="14.25" customHeight="1" x14ac:dyDescent="0.3">
      <c r="A857">
        <v>856</v>
      </c>
      <c r="B857">
        <v>15</v>
      </c>
      <c r="C857" t="s">
        <v>2025</v>
      </c>
      <c r="D857" t="s">
        <v>1124</v>
      </c>
      <c r="E857" t="s">
        <v>2024</v>
      </c>
      <c r="F857" t="s">
        <v>1035</v>
      </c>
      <c r="G857" t="s">
        <v>1035</v>
      </c>
      <c r="H857" t="s">
        <v>1035</v>
      </c>
      <c r="I857" t="s">
        <v>1035</v>
      </c>
      <c r="J857" t="s">
        <v>1035</v>
      </c>
      <c r="N857" s="43" t="e">
        <f t="shared" si="26"/>
        <v>#N/A</v>
      </c>
    </row>
    <row r="858" spans="1:14" ht="14.25" customHeight="1" x14ac:dyDescent="0.3">
      <c r="A858">
        <v>857</v>
      </c>
      <c r="B858">
        <v>15</v>
      </c>
      <c r="C858" t="s">
        <v>2050</v>
      </c>
      <c r="D858" t="s">
        <v>1124</v>
      </c>
      <c r="E858" t="s">
        <v>1915</v>
      </c>
      <c r="F858" t="s">
        <v>1035</v>
      </c>
      <c r="G858" t="s">
        <v>1035</v>
      </c>
      <c r="H858" t="s">
        <v>1035</v>
      </c>
      <c r="I858" t="s">
        <v>1035</v>
      </c>
      <c r="J858" t="s">
        <v>1035</v>
      </c>
      <c r="N858" s="43" t="e">
        <f t="shared" si="26"/>
        <v>#N/A</v>
      </c>
    </row>
    <row r="859" spans="1:14" ht="14.25" customHeight="1" x14ac:dyDescent="0.3">
      <c r="A859">
        <v>858</v>
      </c>
      <c r="B859">
        <v>15</v>
      </c>
      <c r="C859" t="s">
        <v>1759</v>
      </c>
      <c r="D859" t="s">
        <v>499</v>
      </c>
      <c r="E859" t="s">
        <v>1904</v>
      </c>
      <c r="F859">
        <v>10</v>
      </c>
      <c r="G859" t="s">
        <v>1035</v>
      </c>
      <c r="H859" t="s">
        <v>1035</v>
      </c>
      <c r="I859" t="s">
        <v>1028</v>
      </c>
      <c r="J859" t="s">
        <v>1035</v>
      </c>
      <c r="N859" s="43" t="e">
        <f t="shared" si="26"/>
        <v>#N/A</v>
      </c>
    </row>
    <row r="860" spans="1:14" ht="14.25" customHeight="1" x14ac:dyDescent="0.3">
      <c r="A860">
        <v>859</v>
      </c>
      <c r="B860">
        <v>15</v>
      </c>
      <c r="C860" t="s">
        <v>1931</v>
      </c>
      <c r="D860" t="s">
        <v>529</v>
      </c>
      <c r="E860" t="s">
        <v>1917</v>
      </c>
      <c r="F860">
        <v>9</v>
      </c>
      <c r="G860" t="s">
        <v>1035</v>
      </c>
      <c r="H860" t="s">
        <v>1035</v>
      </c>
      <c r="I860" t="s">
        <v>1032</v>
      </c>
      <c r="J860" t="s">
        <v>1035</v>
      </c>
      <c r="N860" s="43" t="e">
        <f t="shared" si="26"/>
        <v>#N/A</v>
      </c>
    </row>
    <row r="861" spans="1:14" ht="14.25" customHeight="1" x14ac:dyDescent="0.3">
      <c r="A861">
        <v>860</v>
      </c>
      <c r="B861">
        <v>15</v>
      </c>
      <c r="C861" t="s">
        <v>1916</v>
      </c>
      <c r="D861" t="s">
        <v>493</v>
      </c>
      <c r="E861" t="s">
        <v>1918</v>
      </c>
      <c r="F861">
        <v>5</v>
      </c>
      <c r="G861" t="s">
        <v>1035</v>
      </c>
      <c r="H861" t="s">
        <v>1035</v>
      </c>
      <c r="I861" t="s">
        <v>1028</v>
      </c>
      <c r="J861" t="s">
        <v>1035</v>
      </c>
      <c r="N861" s="43" t="e">
        <f t="shared" si="26"/>
        <v>#N/A</v>
      </c>
    </row>
    <row r="862" spans="1:14" ht="14.25" customHeight="1" x14ac:dyDescent="0.3">
      <c r="A862">
        <v>861</v>
      </c>
      <c r="B862">
        <v>15</v>
      </c>
      <c r="C862" t="s">
        <v>1700</v>
      </c>
      <c r="D862" t="s">
        <v>1124</v>
      </c>
      <c r="E862" t="s">
        <v>1919</v>
      </c>
      <c r="F862" t="s">
        <v>1035</v>
      </c>
      <c r="G862" t="s">
        <v>1035</v>
      </c>
      <c r="H862" t="s">
        <v>1035</v>
      </c>
      <c r="I862" t="s">
        <v>1035</v>
      </c>
      <c r="J862" t="s">
        <v>1035</v>
      </c>
      <c r="N862" s="43" t="e">
        <f t="shared" si="26"/>
        <v>#N/A</v>
      </c>
    </row>
    <row r="863" spans="1:14" ht="14.25" customHeight="1" x14ac:dyDescent="0.3">
      <c r="A863">
        <v>862</v>
      </c>
      <c r="B863">
        <v>15</v>
      </c>
      <c r="C863" t="s">
        <v>2027</v>
      </c>
      <c r="D863" t="s">
        <v>1124</v>
      </c>
      <c r="E863" t="s">
        <v>2026</v>
      </c>
      <c r="F863" t="s">
        <v>1035</v>
      </c>
      <c r="G863" t="s">
        <v>1035</v>
      </c>
      <c r="H863" t="s">
        <v>1035</v>
      </c>
      <c r="I863" t="s">
        <v>1035</v>
      </c>
      <c r="J863" t="s">
        <v>1035</v>
      </c>
      <c r="N863" s="43" t="e">
        <f t="shared" si="26"/>
        <v>#N/A</v>
      </c>
    </row>
    <row r="864" spans="1:14" ht="14.25" customHeight="1" x14ac:dyDescent="0.3">
      <c r="A864">
        <v>863</v>
      </c>
      <c r="B864">
        <v>15</v>
      </c>
      <c r="C864" t="s">
        <v>2029</v>
      </c>
      <c r="D864" t="s">
        <v>1124</v>
      </c>
      <c r="E864" t="s">
        <v>2028</v>
      </c>
      <c r="F864" t="s">
        <v>1035</v>
      </c>
      <c r="G864" t="s">
        <v>1035</v>
      </c>
      <c r="H864" t="s">
        <v>1035</v>
      </c>
      <c r="I864" t="s">
        <v>1035</v>
      </c>
      <c r="J864" t="s">
        <v>1035</v>
      </c>
      <c r="N864" s="43" t="e">
        <f t="shared" si="26"/>
        <v>#N/A</v>
      </c>
    </row>
    <row r="865" spans="1:14" ht="14.25" customHeight="1" x14ac:dyDescent="0.3">
      <c r="A865">
        <v>864</v>
      </c>
      <c r="B865">
        <v>15</v>
      </c>
      <c r="C865" t="s">
        <v>1818</v>
      </c>
      <c r="D865" t="s">
        <v>479</v>
      </c>
      <c r="E865" t="s">
        <v>2030</v>
      </c>
      <c r="F865">
        <v>7</v>
      </c>
      <c r="G865" t="s">
        <v>1035</v>
      </c>
      <c r="H865" t="s">
        <v>1035</v>
      </c>
      <c r="I865" t="s">
        <v>1028</v>
      </c>
      <c r="J865" t="s">
        <v>1035</v>
      </c>
      <c r="N865" s="43" t="e">
        <f t="shared" si="26"/>
        <v>#N/A</v>
      </c>
    </row>
    <row r="866" spans="1:14" ht="14.25" customHeight="1" x14ac:dyDescent="0.3">
      <c r="A866">
        <v>865</v>
      </c>
      <c r="B866">
        <v>15</v>
      </c>
      <c r="C866" t="s">
        <v>2091</v>
      </c>
      <c r="D866" t="s">
        <v>1124</v>
      </c>
      <c r="E866" t="s">
        <v>1920</v>
      </c>
      <c r="F866" t="s">
        <v>1035</v>
      </c>
      <c r="G866" t="s">
        <v>1035</v>
      </c>
      <c r="H866" t="s">
        <v>1035</v>
      </c>
      <c r="I866" t="s">
        <v>1035</v>
      </c>
      <c r="J866" t="s">
        <v>1035</v>
      </c>
      <c r="N866" s="43" t="e">
        <f t="shared" si="26"/>
        <v>#N/A</v>
      </c>
    </row>
    <row r="867" spans="1:14" ht="14.25" customHeight="1" x14ac:dyDescent="0.3">
      <c r="A867">
        <v>866</v>
      </c>
      <c r="B867">
        <v>15</v>
      </c>
      <c r="C867" t="s">
        <v>2059</v>
      </c>
      <c r="D867" t="s">
        <v>1124</v>
      </c>
      <c r="E867" t="s">
        <v>1854</v>
      </c>
      <c r="F867" t="s">
        <v>1035</v>
      </c>
      <c r="G867" t="s">
        <v>1035</v>
      </c>
      <c r="H867" t="s">
        <v>1035</v>
      </c>
      <c r="I867" t="s">
        <v>1035</v>
      </c>
      <c r="J867" t="s">
        <v>1035</v>
      </c>
      <c r="N867" s="43" t="e">
        <f t="shared" si="26"/>
        <v>#N/A</v>
      </c>
    </row>
    <row r="868" spans="1:14" ht="14.25" customHeight="1" x14ac:dyDescent="0.3">
      <c r="A868">
        <v>867</v>
      </c>
      <c r="B868">
        <v>15</v>
      </c>
      <c r="C868" t="s">
        <v>2031</v>
      </c>
      <c r="D868" t="s">
        <v>1124</v>
      </c>
      <c r="E868" t="s">
        <v>1921</v>
      </c>
      <c r="F868" t="s">
        <v>1035</v>
      </c>
      <c r="G868" t="s">
        <v>1035</v>
      </c>
      <c r="H868" t="s">
        <v>1035</v>
      </c>
      <c r="I868" t="s">
        <v>1035</v>
      </c>
      <c r="J868" t="s">
        <v>1035</v>
      </c>
      <c r="N868" s="43" t="e">
        <f t="shared" si="26"/>
        <v>#N/A</v>
      </c>
    </row>
    <row r="869" spans="1:14" ht="14.25" customHeight="1" x14ac:dyDescent="0.3">
      <c r="A869">
        <v>868</v>
      </c>
      <c r="B869">
        <v>15</v>
      </c>
      <c r="C869" t="s">
        <v>2032</v>
      </c>
      <c r="D869" t="s">
        <v>1124</v>
      </c>
      <c r="E869" t="s">
        <v>2033</v>
      </c>
      <c r="F869" t="s">
        <v>1035</v>
      </c>
      <c r="G869" t="s">
        <v>1035</v>
      </c>
      <c r="H869" t="s">
        <v>1035</v>
      </c>
      <c r="I869" t="s">
        <v>1035</v>
      </c>
      <c r="J869" t="s">
        <v>1035</v>
      </c>
      <c r="N869" s="43" t="e">
        <f t="shared" si="26"/>
        <v>#N/A</v>
      </c>
    </row>
    <row r="870" spans="1:14" ht="14.25" customHeight="1" x14ac:dyDescent="0.3">
      <c r="A870">
        <v>869</v>
      </c>
      <c r="B870">
        <v>15</v>
      </c>
      <c r="C870" t="s">
        <v>2060</v>
      </c>
      <c r="D870" t="s">
        <v>1124</v>
      </c>
      <c r="E870" t="s">
        <v>1856</v>
      </c>
      <c r="F870" t="s">
        <v>1035</v>
      </c>
      <c r="G870" t="s">
        <v>1035</v>
      </c>
      <c r="H870" t="s">
        <v>1035</v>
      </c>
      <c r="I870" t="s">
        <v>1035</v>
      </c>
      <c r="J870" t="s">
        <v>1035</v>
      </c>
      <c r="N870" s="43" t="e">
        <f t="shared" si="26"/>
        <v>#N/A</v>
      </c>
    </row>
    <row r="871" spans="1:14" ht="14.25" customHeight="1" x14ac:dyDescent="0.3">
      <c r="A871">
        <v>870</v>
      </c>
      <c r="B871">
        <v>15</v>
      </c>
      <c r="C871" t="s">
        <v>2035</v>
      </c>
      <c r="D871" t="s">
        <v>1124</v>
      </c>
      <c r="E871" t="s">
        <v>1922</v>
      </c>
      <c r="F871" t="s">
        <v>1035</v>
      </c>
      <c r="G871" t="s">
        <v>1035</v>
      </c>
      <c r="H871" t="s">
        <v>1035</v>
      </c>
      <c r="I871" t="s">
        <v>1035</v>
      </c>
      <c r="J871" t="s">
        <v>1035</v>
      </c>
      <c r="N871" s="43" t="e">
        <f t="shared" si="26"/>
        <v>#N/A</v>
      </c>
    </row>
    <row r="872" spans="1:14" ht="14.25" customHeight="1" x14ac:dyDescent="0.3">
      <c r="A872">
        <v>871</v>
      </c>
      <c r="B872">
        <v>15</v>
      </c>
      <c r="C872" t="s">
        <v>1962</v>
      </c>
      <c r="D872" t="s">
        <v>1124</v>
      </c>
      <c r="E872" t="s">
        <v>1923</v>
      </c>
      <c r="F872" t="s">
        <v>1035</v>
      </c>
      <c r="G872" t="s">
        <v>1035</v>
      </c>
      <c r="H872" t="s">
        <v>1035</v>
      </c>
      <c r="I872" t="s">
        <v>1035</v>
      </c>
      <c r="J872" t="s">
        <v>1035</v>
      </c>
      <c r="N872" s="43" t="e">
        <f t="shared" si="26"/>
        <v>#N/A</v>
      </c>
    </row>
    <row r="873" spans="1:14" ht="14.25" customHeight="1" x14ac:dyDescent="0.3">
      <c r="A873">
        <v>872</v>
      </c>
      <c r="B873">
        <v>15</v>
      </c>
      <c r="C873" t="s">
        <v>2087</v>
      </c>
      <c r="D873" t="s">
        <v>1124</v>
      </c>
      <c r="E873" t="s">
        <v>1907</v>
      </c>
      <c r="F873" t="s">
        <v>1035</v>
      </c>
      <c r="G873" t="s">
        <v>1035</v>
      </c>
      <c r="H873" t="s">
        <v>1035</v>
      </c>
      <c r="I873" t="s">
        <v>1035</v>
      </c>
      <c r="J873">
        <v>-579</v>
      </c>
      <c r="N873" s="43" t="e">
        <f t="shared" si="26"/>
        <v>#N/A</v>
      </c>
    </row>
    <row r="874" spans="1:14" ht="14.25" customHeight="1" x14ac:dyDescent="0.3">
      <c r="A874">
        <v>873</v>
      </c>
      <c r="B874">
        <v>15</v>
      </c>
      <c r="C874" t="s">
        <v>1965</v>
      </c>
      <c r="D874" t="s">
        <v>509</v>
      </c>
      <c r="E874" t="s">
        <v>1924</v>
      </c>
      <c r="F874">
        <v>6</v>
      </c>
      <c r="G874" t="s">
        <v>1035</v>
      </c>
      <c r="H874" t="s">
        <v>1035</v>
      </c>
      <c r="I874" t="s">
        <v>1027</v>
      </c>
      <c r="J874" t="s">
        <v>1035</v>
      </c>
      <c r="N874" s="43" t=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>
        <v>2061</v>
      </c>
      <c r="D875" t="s">
        <v>1124</v>
      </c>
      <c r="E875" t="s">
        <v>1862</v>
      </c>
      <c r="F875" t="s">
        <v>1035</v>
      </c>
      <c r="G875" t="s">
        <v>1035</v>
      </c>
      <c r="H875" t="s">
        <v>1035</v>
      </c>
      <c r="I875" t="s">
        <v>1035</v>
      </c>
      <c r="J875" t="s">
        <v>1035</v>
      </c>
      <c r="N875" s="43" t="e">
        <f t="shared" si="26"/>
        <v>#N/A</v>
      </c>
    </row>
    <row r="876" spans="1:14" ht="14.25" customHeight="1" x14ac:dyDescent="0.3">
      <c r="A876">
        <v>875</v>
      </c>
      <c r="B876">
        <v>15</v>
      </c>
      <c r="C876" t="s">
        <v>1796</v>
      </c>
      <c r="D876" t="s">
        <v>1124</v>
      </c>
      <c r="E876" t="s">
        <v>1910</v>
      </c>
      <c r="F876" t="s">
        <v>1035</v>
      </c>
      <c r="G876" t="s">
        <v>1035</v>
      </c>
      <c r="H876" t="s">
        <v>1035</v>
      </c>
      <c r="I876" t="s">
        <v>1035</v>
      </c>
      <c r="J876" t="s">
        <v>1035</v>
      </c>
      <c r="N876" s="43" t="e">
        <f t="shared" si="26"/>
        <v>#N/A</v>
      </c>
    </row>
    <row r="877" spans="1:14" ht="14.25" customHeight="1" x14ac:dyDescent="0.3">
      <c r="A877">
        <v>876</v>
      </c>
      <c r="B877">
        <v>15</v>
      </c>
      <c r="C877" t="s">
        <v>1776</v>
      </c>
      <c r="D877" t="s">
        <v>511</v>
      </c>
      <c r="E877" t="s">
        <v>1913</v>
      </c>
      <c r="F877">
        <v>13</v>
      </c>
      <c r="G877" t="s">
        <v>1035</v>
      </c>
      <c r="H877" t="s">
        <v>1035</v>
      </c>
      <c r="I877" t="s">
        <v>1029</v>
      </c>
      <c r="J877" t="s">
        <v>1035</v>
      </c>
      <c r="N877" s="43" t="e">
        <f t="shared" si="26"/>
        <v>#N/A</v>
      </c>
    </row>
    <row r="878" spans="1:14" ht="14.25" customHeight="1" x14ac:dyDescent="0.3">
      <c r="A878">
        <v>877</v>
      </c>
      <c r="B878">
        <v>15</v>
      </c>
      <c r="C878" t="s">
        <v>2038</v>
      </c>
      <c r="D878" t="s">
        <v>1124</v>
      </c>
      <c r="E878" t="s">
        <v>1926</v>
      </c>
      <c r="F878" t="s">
        <v>1035</v>
      </c>
      <c r="G878" t="s">
        <v>1035</v>
      </c>
      <c r="H878" t="s">
        <v>1035</v>
      </c>
      <c r="I878" t="s">
        <v>1035</v>
      </c>
      <c r="J878" t="s">
        <v>1035</v>
      </c>
      <c r="N878" s="43" t="e">
        <f t="shared" si="26"/>
        <v>#N/A</v>
      </c>
    </row>
    <row r="879" spans="1:14" ht="14.25" customHeight="1" x14ac:dyDescent="0.3">
      <c r="A879">
        <v>878</v>
      </c>
      <c r="B879">
        <v>15</v>
      </c>
      <c r="C879" t="s">
        <v>2108</v>
      </c>
      <c r="D879" t="s">
        <v>1124</v>
      </c>
      <c r="E879" t="s">
        <v>1914</v>
      </c>
      <c r="F879" t="s">
        <v>1035</v>
      </c>
      <c r="G879" t="s">
        <v>1035</v>
      </c>
      <c r="H879" t="s">
        <v>1035</v>
      </c>
      <c r="I879" t="s">
        <v>1035</v>
      </c>
      <c r="J879" t="s">
        <v>1035</v>
      </c>
      <c r="N879" s="43" t="e">
        <f t="shared" si="26"/>
        <v>#N/A</v>
      </c>
    </row>
    <row r="880" spans="1:14" ht="14.25" customHeight="1" x14ac:dyDescent="0.3">
      <c r="A880">
        <v>879</v>
      </c>
      <c r="B880">
        <v>15</v>
      </c>
      <c r="C880" t="s">
        <v>2063</v>
      </c>
      <c r="D880" t="s">
        <v>1124</v>
      </c>
      <c r="E880" t="s">
        <v>1864</v>
      </c>
      <c r="F880" t="s">
        <v>1035</v>
      </c>
      <c r="G880" t="s">
        <v>1035</v>
      </c>
      <c r="H880" t="s">
        <v>1035</v>
      </c>
      <c r="I880" t="s">
        <v>1035</v>
      </c>
      <c r="J880" t="s">
        <v>1035</v>
      </c>
      <c r="N880" s="43" t="e">
        <f t="shared" si="26"/>
        <v>#N/A</v>
      </c>
    </row>
    <row r="881" spans="1:14" ht="14.25" customHeight="1" x14ac:dyDescent="0.3">
      <c r="A881">
        <v>880</v>
      </c>
      <c r="B881">
        <v>15</v>
      </c>
      <c r="C881" t="s">
        <v>1925</v>
      </c>
      <c r="D881" t="s">
        <v>1124</v>
      </c>
      <c r="E881" t="s">
        <v>1927</v>
      </c>
      <c r="F881" t="s">
        <v>1035</v>
      </c>
      <c r="G881" t="s">
        <v>1035</v>
      </c>
      <c r="H881" t="s">
        <v>1035</v>
      </c>
      <c r="I881" t="s">
        <v>1035</v>
      </c>
      <c r="J881" t="s">
        <v>1035</v>
      </c>
      <c r="N881" s="43" t="e">
        <f t="shared" si="26"/>
        <v>#N/A</v>
      </c>
    </row>
    <row r="882" spans="1:14" ht="14.25" customHeight="1" x14ac:dyDescent="0.3">
      <c r="A882">
        <v>881</v>
      </c>
      <c r="B882">
        <v>15</v>
      </c>
      <c r="C882" t="s">
        <v>1928</v>
      </c>
      <c r="D882" t="s">
        <v>1124</v>
      </c>
      <c r="E882" t="s">
        <v>1929</v>
      </c>
      <c r="F882" t="s">
        <v>1035</v>
      </c>
      <c r="G882" t="s">
        <v>1035</v>
      </c>
      <c r="H882" t="s">
        <v>1035</v>
      </c>
      <c r="I882" t="s">
        <v>1035</v>
      </c>
      <c r="J882" t="s">
        <v>1035</v>
      </c>
      <c r="N882" s="43" t="e">
        <f t="shared" si="26"/>
        <v>#N/A</v>
      </c>
    </row>
    <row r="883" spans="1:14" ht="14.25" customHeight="1" x14ac:dyDescent="0.3">
      <c r="A883">
        <v>882</v>
      </c>
      <c r="B883">
        <v>15</v>
      </c>
      <c r="C883" t="s">
        <v>1821</v>
      </c>
      <c r="D883" t="s">
        <v>493</v>
      </c>
      <c r="E883" t="s">
        <v>1985</v>
      </c>
      <c r="F883">
        <v>5</v>
      </c>
      <c r="G883" t="s">
        <v>1035</v>
      </c>
      <c r="H883" t="s">
        <v>1035</v>
      </c>
      <c r="I883" t="s">
        <v>1032</v>
      </c>
      <c r="J883" t="s">
        <v>1035</v>
      </c>
      <c r="N883" s="43" t="e">
        <f t="shared" si="26"/>
        <v>#N/A</v>
      </c>
    </row>
    <row r="884" spans="1:14" ht="14.25" customHeight="1" x14ac:dyDescent="0.3">
      <c r="A884">
        <v>883</v>
      </c>
      <c r="B884">
        <v>15</v>
      </c>
      <c r="C884" t="s">
        <v>2062</v>
      </c>
      <c r="D884" t="s">
        <v>1124</v>
      </c>
      <c r="E884" t="s">
        <v>1866</v>
      </c>
      <c r="F884" t="s">
        <v>1035</v>
      </c>
      <c r="G884" t="s">
        <v>1035</v>
      </c>
      <c r="H884" t="s">
        <v>1035</v>
      </c>
      <c r="I884" t="s">
        <v>1035</v>
      </c>
      <c r="J884" t="s">
        <v>1035</v>
      </c>
      <c r="N884" s="43" t="e">
        <f t="shared" si="26"/>
        <v>#N/A</v>
      </c>
    </row>
    <row r="885" spans="1:14" ht="14.25" customHeight="1" x14ac:dyDescent="0.3">
      <c r="A885">
        <v>884</v>
      </c>
      <c r="B885">
        <v>15</v>
      </c>
      <c r="C885" t="s">
        <v>711</v>
      </c>
      <c r="D885" t="s">
        <v>531</v>
      </c>
      <c r="E885" t="s">
        <v>2048</v>
      </c>
      <c r="F885">
        <v>13</v>
      </c>
      <c r="G885" t="s">
        <v>1035</v>
      </c>
      <c r="H885" t="s">
        <v>1035</v>
      </c>
      <c r="I885" t="s">
        <v>1028</v>
      </c>
      <c r="J885" t="s">
        <v>1035</v>
      </c>
      <c r="N885" s="43" t="e">
        <f t="shared" si="26"/>
        <v>#N/A</v>
      </c>
    </row>
    <row r="886" spans="1:14" ht="14.25" customHeight="1" x14ac:dyDescent="0.3">
      <c r="A886">
        <v>885</v>
      </c>
      <c r="B886">
        <v>15</v>
      </c>
      <c r="C886" t="s">
        <v>1958</v>
      </c>
      <c r="D886" t="s">
        <v>513</v>
      </c>
      <c r="E886" t="s">
        <v>1930</v>
      </c>
      <c r="F886">
        <v>6</v>
      </c>
      <c r="G886" t="s">
        <v>1035</v>
      </c>
      <c r="H886" t="s">
        <v>1035</v>
      </c>
      <c r="I886" t="s">
        <v>1032</v>
      </c>
      <c r="J886" t="s">
        <v>1035</v>
      </c>
      <c r="N886" s="43" t="e">
        <f t="shared" si="26"/>
        <v>#N/A</v>
      </c>
    </row>
    <row r="887" spans="1:14" ht="14.25" customHeight="1" x14ac:dyDescent="0.3">
      <c r="A887">
        <v>886</v>
      </c>
      <c r="B887">
        <v>15</v>
      </c>
      <c r="C887" t="s">
        <v>2089</v>
      </c>
      <c r="D887" t="s">
        <v>1124</v>
      </c>
      <c r="E887" t="s">
        <v>2049</v>
      </c>
      <c r="F887" t="s">
        <v>1035</v>
      </c>
      <c r="G887" t="s">
        <v>1035</v>
      </c>
      <c r="H887" t="s">
        <v>1035</v>
      </c>
      <c r="I887" t="s">
        <v>1035</v>
      </c>
      <c r="J887" t="s">
        <v>1035</v>
      </c>
    </row>
    <row r="888" spans="1:14" ht="14.25" customHeight="1" x14ac:dyDescent="0.3">
      <c r="A888">
        <v>887</v>
      </c>
      <c r="B888">
        <v>15</v>
      </c>
      <c r="C888" t="s">
        <v>1941</v>
      </c>
      <c r="D888" t="s">
        <v>1124</v>
      </c>
      <c r="E888" t="s">
        <v>1932</v>
      </c>
      <c r="F888" t="s">
        <v>1035</v>
      </c>
      <c r="G888" t="s">
        <v>1035</v>
      </c>
      <c r="H888" t="s">
        <v>1035</v>
      </c>
      <c r="I888" t="s">
        <v>1035</v>
      </c>
      <c r="J888" t="s">
        <v>1035</v>
      </c>
    </row>
    <row r="889" spans="1:14" x14ac:dyDescent="0.3">
      <c r="A889">
        <v>888</v>
      </c>
      <c r="B889">
        <v>15</v>
      </c>
      <c r="C889" t="s">
        <v>1425</v>
      </c>
      <c r="D889" t="s">
        <v>1124</v>
      </c>
      <c r="E889" t="s">
        <v>2053</v>
      </c>
      <c r="F889" t="s">
        <v>1035</v>
      </c>
      <c r="G889" t="s">
        <v>1035</v>
      </c>
      <c r="H889" t="s">
        <v>1035</v>
      </c>
      <c r="I889" t="s">
        <v>1035</v>
      </c>
      <c r="J889" t="s">
        <v>1035</v>
      </c>
    </row>
    <row r="890" spans="1:14" x14ac:dyDescent="0.3">
      <c r="A890">
        <v>889</v>
      </c>
      <c r="B890">
        <v>15</v>
      </c>
      <c r="C890" t="s">
        <v>1625</v>
      </c>
      <c r="D890" t="s">
        <v>1124</v>
      </c>
      <c r="E890" t="s">
        <v>1934</v>
      </c>
      <c r="F890" t="s">
        <v>1035</v>
      </c>
      <c r="G890" t="s">
        <v>1035</v>
      </c>
      <c r="H890" t="s">
        <v>1035</v>
      </c>
      <c r="I890" t="s">
        <v>1035</v>
      </c>
      <c r="J890" t="s">
        <v>1035</v>
      </c>
    </row>
    <row r="891" spans="1:14" x14ac:dyDescent="0.3">
      <c r="A891">
        <v>890</v>
      </c>
      <c r="B891">
        <v>15</v>
      </c>
      <c r="C891" t="s">
        <v>2041</v>
      </c>
      <c r="D891" t="s">
        <v>1124</v>
      </c>
      <c r="E891" t="s">
        <v>1936</v>
      </c>
      <c r="F891" t="s">
        <v>1035</v>
      </c>
      <c r="G891" t="s">
        <v>1035</v>
      </c>
      <c r="H891" t="s">
        <v>1035</v>
      </c>
      <c r="I891" t="s">
        <v>1035</v>
      </c>
      <c r="J891" t="s">
        <v>1035</v>
      </c>
    </row>
    <row r="892" spans="1:14" x14ac:dyDescent="0.3">
      <c r="A892">
        <v>891</v>
      </c>
      <c r="B892">
        <v>15</v>
      </c>
      <c r="C892" t="s">
        <v>2067</v>
      </c>
      <c r="D892" t="s">
        <v>1124</v>
      </c>
      <c r="E892" t="s">
        <v>1867</v>
      </c>
      <c r="F892" t="s">
        <v>1035</v>
      </c>
      <c r="G892" t="s">
        <v>1035</v>
      </c>
      <c r="H892" t="s">
        <v>1035</v>
      </c>
      <c r="I892" t="s">
        <v>1035</v>
      </c>
      <c r="J892" t="s">
        <v>1035</v>
      </c>
    </row>
    <row r="893" spans="1:14" x14ac:dyDescent="0.3">
      <c r="A893">
        <v>892</v>
      </c>
      <c r="B893">
        <v>15</v>
      </c>
      <c r="C893" t="s">
        <v>2065</v>
      </c>
      <c r="D893" t="s">
        <v>1124</v>
      </c>
      <c r="E893" t="s">
        <v>1874</v>
      </c>
      <c r="F893" t="s">
        <v>1035</v>
      </c>
      <c r="G893" t="s">
        <v>1035</v>
      </c>
      <c r="H893" t="s">
        <v>1035</v>
      </c>
      <c r="I893" t="s">
        <v>1035</v>
      </c>
      <c r="J893" t="s">
        <v>1035</v>
      </c>
    </row>
    <row r="894" spans="1:14" x14ac:dyDescent="0.3">
      <c r="A894">
        <v>893</v>
      </c>
      <c r="B894">
        <v>15</v>
      </c>
      <c r="C894" t="s">
        <v>2069</v>
      </c>
      <c r="D894" t="s">
        <v>1124</v>
      </c>
      <c r="E894" t="s">
        <v>1879</v>
      </c>
      <c r="F894" t="s">
        <v>1035</v>
      </c>
      <c r="G894" t="s">
        <v>1035</v>
      </c>
      <c r="H894" t="s">
        <v>1035</v>
      </c>
      <c r="I894" t="s">
        <v>1035</v>
      </c>
      <c r="J894" t="s">
        <v>1035</v>
      </c>
    </row>
    <row r="895" spans="1:14" x14ac:dyDescent="0.3">
      <c r="A895">
        <v>894</v>
      </c>
      <c r="B895">
        <v>15</v>
      </c>
      <c r="C895" t="s">
        <v>2039</v>
      </c>
      <c r="D895" t="s">
        <v>1124</v>
      </c>
      <c r="E895" t="s">
        <v>1937</v>
      </c>
      <c r="F895" t="s">
        <v>1035</v>
      </c>
      <c r="G895" t="s">
        <v>1035</v>
      </c>
      <c r="H895" t="s">
        <v>1035</v>
      </c>
      <c r="I895" t="s">
        <v>1035</v>
      </c>
      <c r="J895" t="s">
        <v>1035</v>
      </c>
    </row>
    <row r="896" spans="1:14" x14ac:dyDescent="0.3">
      <c r="A896">
        <v>895</v>
      </c>
      <c r="B896">
        <v>15</v>
      </c>
      <c r="C896" t="s">
        <v>2109</v>
      </c>
      <c r="D896" t="s">
        <v>1124</v>
      </c>
      <c r="E896" t="s">
        <v>2055</v>
      </c>
      <c r="F896" t="s">
        <v>1035</v>
      </c>
      <c r="G896" t="s">
        <v>1035</v>
      </c>
      <c r="H896" t="s">
        <v>1035</v>
      </c>
      <c r="I896" t="s">
        <v>1035</v>
      </c>
      <c r="J896" t="s">
        <v>1035</v>
      </c>
    </row>
    <row r="897" spans="1:10" x14ac:dyDescent="0.3">
      <c r="A897">
        <v>896</v>
      </c>
      <c r="B897">
        <v>15</v>
      </c>
      <c r="C897" t="s">
        <v>2073</v>
      </c>
      <c r="D897" t="s">
        <v>1124</v>
      </c>
      <c r="E897" t="s">
        <v>1984</v>
      </c>
      <c r="F897" t="s">
        <v>1035</v>
      </c>
      <c r="G897" t="s">
        <v>1035</v>
      </c>
      <c r="H897" t="s">
        <v>1035</v>
      </c>
      <c r="I897" t="s">
        <v>1035</v>
      </c>
      <c r="J897" t="s">
        <v>1035</v>
      </c>
    </row>
    <row r="898" spans="1:10" x14ac:dyDescent="0.3">
      <c r="A898">
        <v>897</v>
      </c>
      <c r="B898">
        <v>15</v>
      </c>
      <c r="C898" t="s">
        <v>1895</v>
      </c>
      <c r="D898" t="s">
        <v>497</v>
      </c>
      <c r="E898" t="s">
        <v>2057</v>
      </c>
      <c r="F898">
        <v>7</v>
      </c>
      <c r="G898" t="s">
        <v>1035</v>
      </c>
      <c r="H898" t="s">
        <v>1035</v>
      </c>
      <c r="I898" t="s">
        <v>1032</v>
      </c>
      <c r="J898" t="s">
        <v>1035</v>
      </c>
    </row>
    <row r="899" spans="1:10" x14ac:dyDescent="0.3">
      <c r="A899">
        <v>898</v>
      </c>
      <c r="B899">
        <v>15</v>
      </c>
      <c r="C899" t="s">
        <v>2071</v>
      </c>
      <c r="D899" t="s">
        <v>1124</v>
      </c>
      <c r="E899" t="s">
        <v>2066</v>
      </c>
      <c r="F899" t="s">
        <v>1035</v>
      </c>
      <c r="G899" t="s">
        <v>1035</v>
      </c>
      <c r="H899" t="s">
        <v>1035</v>
      </c>
      <c r="I899" t="s">
        <v>1035</v>
      </c>
      <c r="J899" t="s">
        <v>1035</v>
      </c>
    </row>
    <row r="900" spans="1:10" x14ac:dyDescent="0.3">
      <c r="A900">
        <v>899</v>
      </c>
      <c r="B900">
        <v>15</v>
      </c>
      <c r="C900" t="s">
        <v>1609</v>
      </c>
      <c r="D900" t="s">
        <v>497</v>
      </c>
      <c r="E900" t="s">
        <v>1938</v>
      </c>
      <c r="F900">
        <v>7</v>
      </c>
      <c r="G900" t="s">
        <v>1035</v>
      </c>
      <c r="H900" t="s">
        <v>1035</v>
      </c>
      <c r="I900" t="s">
        <v>1028</v>
      </c>
      <c r="J900" t="s">
        <v>1035</v>
      </c>
    </row>
    <row r="901" spans="1:10" x14ac:dyDescent="0.3">
      <c r="A901">
        <v>900</v>
      </c>
      <c r="B901">
        <v>15</v>
      </c>
      <c r="C901" t="s">
        <v>2043</v>
      </c>
      <c r="D901" t="s">
        <v>1124</v>
      </c>
      <c r="E901" t="s">
        <v>1939</v>
      </c>
      <c r="F901" t="s">
        <v>1035</v>
      </c>
      <c r="G901" t="s">
        <v>1035</v>
      </c>
      <c r="H901" t="s">
        <v>1035</v>
      </c>
      <c r="I901" t="s">
        <v>1035</v>
      </c>
      <c r="J901" t="s">
        <v>1035</v>
      </c>
    </row>
    <row r="902" spans="1:10" x14ac:dyDescent="0.3">
      <c r="A902">
        <v>901</v>
      </c>
      <c r="B902">
        <v>15</v>
      </c>
      <c r="C902" t="s">
        <v>2046</v>
      </c>
      <c r="D902" t="s">
        <v>1124</v>
      </c>
      <c r="E902" t="s">
        <v>1940</v>
      </c>
      <c r="F902" t="s">
        <v>1035</v>
      </c>
      <c r="G902" t="s">
        <v>1035</v>
      </c>
      <c r="H902" t="s">
        <v>1035</v>
      </c>
      <c r="I902" t="s">
        <v>1035</v>
      </c>
      <c r="J902" t="s">
        <v>1035</v>
      </c>
    </row>
    <row r="903" spans="1:10" x14ac:dyDescent="0.3">
      <c r="A903">
        <v>902</v>
      </c>
      <c r="B903">
        <v>15</v>
      </c>
      <c r="C903" t="s">
        <v>2044</v>
      </c>
      <c r="D903" t="s">
        <v>1124</v>
      </c>
      <c r="E903" t="s">
        <v>1942</v>
      </c>
      <c r="F903" t="s">
        <v>1035</v>
      </c>
      <c r="G903" t="s">
        <v>1035</v>
      </c>
      <c r="H903" t="s">
        <v>1035</v>
      </c>
      <c r="I903" t="s">
        <v>1035</v>
      </c>
      <c r="J903" t="s">
        <v>1035</v>
      </c>
    </row>
    <row r="904" spans="1:10" x14ac:dyDescent="0.3">
      <c r="A904">
        <v>903</v>
      </c>
      <c r="B904">
        <v>15</v>
      </c>
      <c r="C904" t="s">
        <v>2008</v>
      </c>
      <c r="D904" t="s">
        <v>1124</v>
      </c>
      <c r="E904" t="s">
        <v>2068</v>
      </c>
      <c r="F904" t="s">
        <v>1035</v>
      </c>
      <c r="G904" t="s">
        <v>1035</v>
      </c>
      <c r="H904" t="s">
        <v>1035</v>
      </c>
      <c r="I904" t="s">
        <v>1035</v>
      </c>
      <c r="J904" t="s">
        <v>1035</v>
      </c>
    </row>
    <row r="905" spans="1:10" x14ac:dyDescent="0.3">
      <c r="A905">
        <v>904</v>
      </c>
      <c r="B905">
        <v>15</v>
      </c>
      <c r="C905" t="s">
        <v>2042</v>
      </c>
      <c r="D905" t="s">
        <v>1124</v>
      </c>
      <c r="E905" t="s">
        <v>1943</v>
      </c>
      <c r="F905" t="s">
        <v>1035</v>
      </c>
      <c r="G905" t="s">
        <v>1035</v>
      </c>
      <c r="H905" t="s">
        <v>1035</v>
      </c>
      <c r="I905" t="s">
        <v>1035</v>
      </c>
      <c r="J905" t="s">
        <v>1035</v>
      </c>
    </row>
    <row r="906" spans="1:10" x14ac:dyDescent="0.3">
      <c r="A906">
        <v>905</v>
      </c>
      <c r="B906">
        <v>15</v>
      </c>
      <c r="C906" t="s">
        <v>1708</v>
      </c>
      <c r="D906" t="s">
        <v>1124</v>
      </c>
      <c r="E906" t="s">
        <v>1944</v>
      </c>
      <c r="F906" t="s">
        <v>1035</v>
      </c>
      <c r="G906" t="s">
        <v>1035</v>
      </c>
      <c r="H906" t="s">
        <v>1035</v>
      </c>
      <c r="I906" t="s">
        <v>1035</v>
      </c>
      <c r="J906" t="s">
        <v>1035</v>
      </c>
    </row>
    <row r="907" spans="1:10" x14ac:dyDescent="0.3">
      <c r="A907">
        <v>906</v>
      </c>
      <c r="B907">
        <v>15</v>
      </c>
      <c r="C907" t="s">
        <v>2075</v>
      </c>
      <c r="D907" t="s">
        <v>1124</v>
      </c>
      <c r="E907" t="s">
        <v>2070</v>
      </c>
      <c r="F907" t="s">
        <v>1035</v>
      </c>
      <c r="G907" t="s">
        <v>1035</v>
      </c>
      <c r="H907" t="s">
        <v>1035</v>
      </c>
      <c r="I907" t="s">
        <v>1035</v>
      </c>
      <c r="J907" t="s">
        <v>1035</v>
      </c>
    </row>
    <row r="908" spans="1:10" x14ac:dyDescent="0.3">
      <c r="A908">
        <v>907</v>
      </c>
      <c r="B908">
        <v>15</v>
      </c>
      <c r="C908" t="s">
        <v>2045</v>
      </c>
      <c r="D908" t="s">
        <v>1124</v>
      </c>
      <c r="E908" t="s">
        <v>1945</v>
      </c>
      <c r="F908" t="s">
        <v>1035</v>
      </c>
      <c r="G908" t="s">
        <v>1035</v>
      </c>
      <c r="H908" t="s">
        <v>1035</v>
      </c>
      <c r="I908" t="s">
        <v>1035</v>
      </c>
      <c r="J908" t="s">
        <v>1035</v>
      </c>
    </row>
    <row r="909" spans="1:10" x14ac:dyDescent="0.3">
      <c r="A909">
        <v>908</v>
      </c>
      <c r="B909">
        <v>15</v>
      </c>
      <c r="C909" t="s">
        <v>1427</v>
      </c>
      <c r="D909" t="s">
        <v>525</v>
      </c>
      <c r="E909" t="s">
        <v>1946</v>
      </c>
      <c r="F909">
        <v>9</v>
      </c>
      <c r="G909" t="s">
        <v>1035</v>
      </c>
      <c r="H909" t="s">
        <v>1035</v>
      </c>
      <c r="I909" t="s">
        <v>1032</v>
      </c>
      <c r="J909" t="s">
        <v>1035</v>
      </c>
    </row>
    <row r="910" spans="1:10" x14ac:dyDescent="0.3">
      <c r="A910">
        <v>909</v>
      </c>
      <c r="B910">
        <v>15</v>
      </c>
      <c r="C910" t="s">
        <v>1998</v>
      </c>
      <c r="D910" t="s">
        <v>1124</v>
      </c>
      <c r="E910" t="s">
        <v>1947</v>
      </c>
      <c r="F910" t="s">
        <v>1035</v>
      </c>
      <c r="G910" t="s">
        <v>1035</v>
      </c>
      <c r="H910" t="s">
        <v>1035</v>
      </c>
      <c r="I910" t="s">
        <v>1035</v>
      </c>
      <c r="J910" t="s">
        <v>1035</v>
      </c>
    </row>
    <row r="911" spans="1:10" x14ac:dyDescent="0.3">
      <c r="A911">
        <v>910</v>
      </c>
      <c r="B911">
        <v>15</v>
      </c>
      <c r="C911" t="s">
        <v>1424</v>
      </c>
      <c r="D911" t="s">
        <v>1124</v>
      </c>
      <c r="E911" t="s">
        <v>2064</v>
      </c>
      <c r="F911" t="s">
        <v>1035</v>
      </c>
      <c r="G911" t="s">
        <v>1035</v>
      </c>
      <c r="H911" t="s">
        <v>1035</v>
      </c>
      <c r="I911" t="s">
        <v>1035</v>
      </c>
      <c r="J911" t="s">
        <v>1035</v>
      </c>
    </row>
    <row r="912" spans="1:10" x14ac:dyDescent="0.3">
      <c r="A912">
        <v>911</v>
      </c>
      <c r="B912">
        <v>15</v>
      </c>
      <c r="C912" t="s">
        <v>2110</v>
      </c>
      <c r="D912" t="s">
        <v>1124</v>
      </c>
      <c r="E912" t="s">
        <v>1948</v>
      </c>
      <c r="F912" t="s">
        <v>1035</v>
      </c>
      <c r="G912" t="s">
        <v>1035</v>
      </c>
      <c r="H912" t="s">
        <v>1035</v>
      </c>
      <c r="I912" t="s">
        <v>1035</v>
      </c>
      <c r="J912" t="s">
        <v>1035</v>
      </c>
    </row>
    <row r="913" spans="1:10" x14ac:dyDescent="0.3">
      <c r="A913">
        <v>912</v>
      </c>
      <c r="B913">
        <v>15</v>
      </c>
      <c r="C913" t="s">
        <v>2007</v>
      </c>
      <c r="D913" t="s">
        <v>517</v>
      </c>
      <c r="E913" t="s">
        <v>1949</v>
      </c>
      <c r="F913">
        <v>11</v>
      </c>
      <c r="G913" t="s">
        <v>1035</v>
      </c>
      <c r="H913" t="s">
        <v>1035</v>
      </c>
      <c r="I913" t="s">
        <v>1032</v>
      </c>
      <c r="J913" t="s">
        <v>1035</v>
      </c>
    </row>
    <row r="914" spans="1:10" x14ac:dyDescent="0.3">
      <c r="A914">
        <v>913</v>
      </c>
      <c r="B914">
        <v>15</v>
      </c>
      <c r="C914" t="s">
        <v>2092</v>
      </c>
      <c r="D914" t="s">
        <v>1124</v>
      </c>
      <c r="E914" t="s">
        <v>1950</v>
      </c>
      <c r="F914" t="s">
        <v>1035</v>
      </c>
      <c r="G914" t="s">
        <v>1035</v>
      </c>
      <c r="H914" t="s">
        <v>1035</v>
      </c>
      <c r="I914" t="s">
        <v>1035</v>
      </c>
      <c r="J914" t="s">
        <v>1035</v>
      </c>
    </row>
    <row r="915" spans="1:10" x14ac:dyDescent="0.3">
      <c r="A915">
        <v>914</v>
      </c>
      <c r="B915">
        <v>15</v>
      </c>
      <c r="C915" t="s">
        <v>2016</v>
      </c>
      <c r="D915" t="s">
        <v>1124</v>
      </c>
      <c r="E915" t="s">
        <v>2078</v>
      </c>
      <c r="F915" t="s">
        <v>1035</v>
      </c>
      <c r="G915" t="s">
        <v>1035</v>
      </c>
      <c r="H915" t="s">
        <v>1035</v>
      </c>
      <c r="I915" t="s">
        <v>1035</v>
      </c>
      <c r="J915" t="s">
        <v>1035</v>
      </c>
    </row>
    <row r="916" spans="1:10" x14ac:dyDescent="0.3">
      <c r="A916">
        <v>915</v>
      </c>
      <c r="B916">
        <v>15</v>
      </c>
      <c r="C916" t="s">
        <v>1416</v>
      </c>
      <c r="D916" t="s">
        <v>1124</v>
      </c>
      <c r="E916" t="s">
        <v>2082</v>
      </c>
      <c r="F916" t="s">
        <v>1035</v>
      </c>
      <c r="G916" t="s">
        <v>1035</v>
      </c>
      <c r="H916" t="s">
        <v>1035</v>
      </c>
      <c r="I916" t="s">
        <v>1035</v>
      </c>
      <c r="J916" t="s">
        <v>1035</v>
      </c>
    </row>
    <row r="917" spans="1:10" x14ac:dyDescent="0.3">
      <c r="A917">
        <v>916</v>
      </c>
      <c r="B917">
        <v>15</v>
      </c>
      <c r="C917" t="s">
        <v>1719</v>
      </c>
      <c r="D917" t="s">
        <v>1124</v>
      </c>
      <c r="E917" t="s">
        <v>2084</v>
      </c>
      <c r="F917" t="s">
        <v>1035</v>
      </c>
      <c r="G917" t="s">
        <v>1035</v>
      </c>
      <c r="H917" t="s">
        <v>1035</v>
      </c>
      <c r="I917" t="s">
        <v>1035</v>
      </c>
      <c r="J917">
        <v>-631</v>
      </c>
    </row>
    <row r="918" spans="1:10" x14ac:dyDescent="0.3">
      <c r="A918">
        <v>917</v>
      </c>
      <c r="B918">
        <v>15</v>
      </c>
      <c r="C918" t="s">
        <v>1967</v>
      </c>
      <c r="D918" t="s">
        <v>481</v>
      </c>
      <c r="E918" t="s">
        <v>1951</v>
      </c>
      <c r="F918">
        <v>10</v>
      </c>
      <c r="G918" t="s">
        <v>1035</v>
      </c>
      <c r="H918" t="s">
        <v>1035</v>
      </c>
      <c r="I918" t="s">
        <v>1029</v>
      </c>
      <c r="J918" t="s">
        <v>1035</v>
      </c>
    </row>
    <row r="919" spans="1:10" x14ac:dyDescent="0.3">
      <c r="A919">
        <v>918</v>
      </c>
      <c r="B919">
        <v>16</v>
      </c>
      <c r="C919" t="s">
        <v>2111</v>
      </c>
      <c r="D919" t="s">
        <v>1124</v>
      </c>
      <c r="E919" t="s">
        <v>2072</v>
      </c>
      <c r="F919" t="s">
        <v>1035</v>
      </c>
      <c r="G919" t="s">
        <v>1035</v>
      </c>
      <c r="H919" t="s">
        <v>1035</v>
      </c>
      <c r="I919" t="s">
        <v>1035</v>
      </c>
      <c r="J919" t="s">
        <v>1035</v>
      </c>
    </row>
    <row r="920" spans="1:10" x14ac:dyDescent="0.3">
      <c r="A920">
        <v>919</v>
      </c>
      <c r="B920">
        <v>16</v>
      </c>
      <c r="C920" t="s">
        <v>1884</v>
      </c>
      <c r="D920" t="s">
        <v>1124</v>
      </c>
      <c r="E920" t="s">
        <v>2086</v>
      </c>
      <c r="F920" t="s">
        <v>1035</v>
      </c>
      <c r="G920" t="s">
        <v>1035</v>
      </c>
      <c r="H920" t="s">
        <v>1035</v>
      </c>
      <c r="I920" t="s">
        <v>1035</v>
      </c>
      <c r="J920" t="s">
        <v>1035</v>
      </c>
    </row>
    <row r="921" spans="1:10" x14ac:dyDescent="0.3">
      <c r="A921">
        <v>920</v>
      </c>
      <c r="B921">
        <v>16</v>
      </c>
      <c r="C921" t="s">
        <v>2097</v>
      </c>
      <c r="D921" t="s">
        <v>1124</v>
      </c>
      <c r="E921" t="s">
        <v>1952</v>
      </c>
      <c r="F921" t="s">
        <v>1035</v>
      </c>
      <c r="G921" t="s">
        <v>1035</v>
      </c>
      <c r="H921" t="s">
        <v>1035</v>
      </c>
      <c r="I921" t="s">
        <v>1035</v>
      </c>
      <c r="J921" t="s">
        <v>1035</v>
      </c>
    </row>
    <row r="922" spans="1:10" x14ac:dyDescent="0.3">
      <c r="A922">
        <v>921</v>
      </c>
      <c r="B922">
        <v>16</v>
      </c>
      <c r="C922" t="s">
        <v>2099</v>
      </c>
      <c r="D922" t="s">
        <v>1124</v>
      </c>
      <c r="E922" t="s">
        <v>1953</v>
      </c>
      <c r="F922" t="s">
        <v>1035</v>
      </c>
      <c r="G922" t="s">
        <v>1035</v>
      </c>
      <c r="H922" t="s">
        <v>1035</v>
      </c>
      <c r="I922" t="s">
        <v>1035</v>
      </c>
      <c r="J922" t="s">
        <v>1035</v>
      </c>
    </row>
    <row r="923" spans="1:10" x14ac:dyDescent="0.3">
      <c r="A923">
        <v>922</v>
      </c>
      <c r="B923">
        <v>16</v>
      </c>
      <c r="C923" t="s">
        <v>2095</v>
      </c>
      <c r="D923" t="s">
        <v>1124</v>
      </c>
      <c r="E923" t="s">
        <v>1954</v>
      </c>
      <c r="F923" t="s">
        <v>1035</v>
      </c>
      <c r="G923" t="s">
        <v>1035</v>
      </c>
      <c r="H923" t="s">
        <v>1035</v>
      </c>
      <c r="I923" t="s">
        <v>1035</v>
      </c>
      <c r="J923" t="s">
        <v>1035</v>
      </c>
    </row>
    <row r="924" spans="1:10" x14ac:dyDescent="0.3">
      <c r="A924">
        <v>923</v>
      </c>
      <c r="B924">
        <v>16</v>
      </c>
      <c r="C924" t="s">
        <v>2098</v>
      </c>
      <c r="D924" t="s">
        <v>1124</v>
      </c>
      <c r="E924" t="s">
        <v>1955</v>
      </c>
      <c r="F924" t="s">
        <v>1035</v>
      </c>
      <c r="G924" t="s">
        <v>1035</v>
      </c>
      <c r="H924" t="s">
        <v>1035</v>
      </c>
      <c r="I924" t="s">
        <v>1035</v>
      </c>
      <c r="J924" t="s">
        <v>1035</v>
      </c>
    </row>
    <row r="925" spans="1:10" x14ac:dyDescent="0.3">
      <c r="A925">
        <v>924</v>
      </c>
      <c r="B925">
        <v>16</v>
      </c>
      <c r="C925" t="s">
        <v>2036</v>
      </c>
      <c r="D925" t="s">
        <v>1124</v>
      </c>
      <c r="E925" t="s">
        <v>2088</v>
      </c>
      <c r="F925" t="s">
        <v>1035</v>
      </c>
      <c r="G925" t="s">
        <v>1035</v>
      </c>
      <c r="H925" t="s">
        <v>1035</v>
      </c>
      <c r="I925" t="s">
        <v>1035</v>
      </c>
      <c r="J925" t="s">
        <v>1035</v>
      </c>
    </row>
    <row r="926" spans="1:10" x14ac:dyDescent="0.3">
      <c r="A926">
        <v>925</v>
      </c>
      <c r="B926">
        <v>16</v>
      </c>
      <c r="C926" t="s">
        <v>2100</v>
      </c>
      <c r="D926" t="s">
        <v>1124</v>
      </c>
      <c r="E926" t="s">
        <v>1957</v>
      </c>
      <c r="F926" t="s">
        <v>1035</v>
      </c>
      <c r="G926" t="s">
        <v>1035</v>
      </c>
      <c r="H926" t="s">
        <v>1035</v>
      </c>
      <c r="I926" t="s">
        <v>1035</v>
      </c>
      <c r="J926" t="s">
        <v>1035</v>
      </c>
    </row>
    <row r="927" spans="1:10" x14ac:dyDescent="0.3">
      <c r="A927">
        <v>926</v>
      </c>
      <c r="B927">
        <v>16</v>
      </c>
      <c r="C927" t="s">
        <v>1419</v>
      </c>
      <c r="D927" t="s">
        <v>519</v>
      </c>
      <c r="E927" t="s">
        <v>2074</v>
      </c>
      <c r="F927">
        <v>8</v>
      </c>
      <c r="G927" t="s">
        <v>1035</v>
      </c>
      <c r="H927" t="s">
        <v>1035</v>
      </c>
      <c r="I927" t="s">
        <v>1029</v>
      </c>
      <c r="J927" t="s">
        <v>1035</v>
      </c>
    </row>
    <row r="928" spans="1:10" x14ac:dyDescent="0.3">
      <c r="A928">
        <v>927</v>
      </c>
      <c r="B928">
        <v>16</v>
      </c>
      <c r="C928" t="s">
        <v>2101</v>
      </c>
      <c r="D928" t="s">
        <v>1124</v>
      </c>
      <c r="E928" t="s">
        <v>1959</v>
      </c>
      <c r="F928" t="s">
        <v>1035</v>
      </c>
      <c r="G928" t="s">
        <v>1035</v>
      </c>
      <c r="H928" t="s">
        <v>1035</v>
      </c>
      <c r="I928" t="s">
        <v>1035</v>
      </c>
      <c r="J928" t="s">
        <v>1035</v>
      </c>
    </row>
    <row r="929" spans="1:10" x14ac:dyDescent="0.3">
      <c r="A929">
        <v>928</v>
      </c>
      <c r="B929">
        <v>16</v>
      </c>
      <c r="C929" t="s">
        <v>2102</v>
      </c>
      <c r="D929" t="s">
        <v>1124</v>
      </c>
      <c r="E929" t="s">
        <v>1960</v>
      </c>
      <c r="F929" t="s">
        <v>1035</v>
      </c>
      <c r="G929" t="s">
        <v>1035</v>
      </c>
      <c r="H929" t="s">
        <v>1035</v>
      </c>
      <c r="I929" t="s">
        <v>1035</v>
      </c>
      <c r="J929" t="s">
        <v>1035</v>
      </c>
    </row>
    <row r="930" spans="1:10" x14ac:dyDescent="0.3">
      <c r="A930">
        <v>929</v>
      </c>
      <c r="B930">
        <v>16</v>
      </c>
      <c r="C930" t="s">
        <v>2103</v>
      </c>
      <c r="D930" t="s">
        <v>1124</v>
      </c>
      <c r="E930" t="s">
        <v>1961</v>
      </c>
      <c r="F930" t="s">
        <v>1035</v>
      </c>
      <c r="G930" t="s">
        <v>1035</v>
      </c>
      <c r="H930" t="s">
        <v>1035</v>
      </c>
      <c r="I930" t="s">
        <v>1035</v>
      </c>
      <c r="J930" t="s">
        <v>1035</v>
      </c>
    </row>
    <row r="931" spans="1:10" x14ac:dyDescent="0.3">
      <c r="A931">
        <v>930</v>
      </c>
      <c r="B931">
        <v>16</v>
      </c>
      <c r="C931" t="s">
        <v>1933</v>
      </c>
      <c r="D931" t="s">
        <v>1124</v>
      </c>
      <c r="E931" t="s">
        <v>1963</v>
      </c>
      <c r="F931" t="s">
        <v>1035</v>
      </c>
      <c r="G931" t="s">
        <v>1035</v>
      </c>
      <c r="H931" t="s">
        <v>1035</v>
      </c>
      <c r="I931" t="s">
        <v>1035</v>
      </c>
      <c r="J931" t="s">
        <v>1035</v>
      </c>
    </row>
    <row r="932" spans="1:10" x14ac:dyDescent="0.3">
      <c r="A932">
        <v>931</v>
      </c>
      <c r="B932">
        <v>16</v>
      </c>
      <c r="C932" t="s">
        <v>2104</v>
      </c>
      <c r="D932" t="s">
        <v>1124</v>
      </c>
      <c r="E932" t="s">
        <v>1964</v>
      </c>
      <c r="F932" t="s">
        <v>1035</v>
      </c>
      <c r="G932" t="s">
        <v>1035</v>
      </c>
      <c r="H932" t="s">
        <v>1035</v>
      </c>
      <c r="I932" t="s">
        <v>1035</v>
      </c>
      <c r="J932" t="s">
        <v>1035</v>
      </c>
    </row>
    <row r="933" spans="1:10" x14ac:dyDescent="0.3">
      <c r="A933">
        <v>932</v>
      </c>
      <c r="B933">
        <v>16</v>
      </c>
      <c r="C933" t="s">
        <v>1880</v>
      </c>
      <c r="D933" t="s">
        <v>533</v>
      </c>
      <c r="E933" t="s">
        <v>1966</v>
      </c>
      <c r="F933">
        <v>11</v>
      </c>
      <c r="G933" t="s">
        <v>1035</v>
      </c>
      <c r="H933" t="s">
        <v>1035</v>
      </c>
      <c r="I933" t="s">
        <v>1032</v>
      </c>
      <c r="J933" t="s">
        <v>1035</v>
      </c>
    </row>
    <row r="934" spans="1:10" x14ac:dyDescent="0.3">
      <c r="A934">
        <v>933</v>
      </c>
      <c r="B934">
        <v>16</v>
      </c>
      <c r="C934" t="s">
        <v>1586</v>
      </c>
      <c r="D934" t="s">
        <v>1124</v>
      </c>
      <c r="E934" t="s">
        <v>1968</v>
      </c>
      <c r="F934" t="s">
        <v>1035</v>
      </c>
      <c r="G934" t="s">
        <v>1035</v>
      </c>
      <c r="H934" t="s">
        <v>1035</v>
      </c>
      <c r="I934" t="s">
        <v>1035</v>
      </c>
      <c r="J934" t="s">
        <v>1035</v>
      </c>
    </row>
    <row r="935" spans="1:10" x14ac:dyDescent="0.3">
      <c r="A935">
        <v>934</v>
      </c>
      <c r="B935">
        <v>16</v>
      </c>
      <c r="C935" t="s">
        <v>1853</v>
      </c>
      <c r="D935" t="s">
        <v>495</v>
      </c>
      <c r="E935" t="s">
        <v>2076</v>
      </c>
      <c r="F935">
        <v>10</v>
      </c>
      <c r="G935" t="s">
        <v>1035</v>
      </c>
      <c r="H935" t="s">
        <v>1035</v>
      </c>
      <c r="I935" t="s">
        <v>1028</v>
      </c>
      <c r="J935" t="s">
        <v>1035</v>
      </c>
    </row>
    <row r="936" spans="1:10" x14ac:dyDescent="0.3">
      <c r="A936">
        <v>935</v>
      </c>
      <c r="B936">
        <v>16</v>
      </c>
      <c r="C936" t="s">
        <v>2105</v>
      </c>
      <c r="D936" t="s">
        <v>531</v>
      </c>
      <c r="E936" t="s">
        <v>1969</v>
      </c>
      <c r="F936">
        <v>13</v>
      </c>
      <c r="G936" t="s">
        <v>1035</v>
      </c>
      <c r="H936" t="s">
        <v>1035</v>
      </c>
      <c r="I936" t="s">
        <v>1028</v>
      </c>
      <c r="J936" t="s">
        <v>1035</v>
      </c>
    </row>
    <row r="937" spans="1:10" x14ac:dyDescent="0.3">
      <c r="A937">
        <v>936</v>
      </c>
      <c r="B937">
        <v>16</v>
      </c>
      <c r="C937" t="s">
        <v>1863</v>
      </c>
      <c r="D937" t="s">
        <v>501</v>
      </c>
      <c r="E937" t="s">
        <v>2080</v>
      </c>
      <c r="F937">
        <v>11</v>
      </c>
      <c r="G937" t="s">
        <v>1035</v>
      </c>
      <c r="H937" t="s">
        <v>1035</v>
      </c>
      <c r="I937" t="s">
        <v>1029</v>
      </c>
      <c r="J937" t="s">
        <v>1035</v>
      </c>
    </row>
    <row r="938" spans="1:10" x14ac:dyDescent="0.3">
      <c r="A938">
        <v>937</v>
      </c>
      <c r="B938">
        <v>16</v>
      </c>
      <c r="C938" t="s">
        <v>2040</v>
      </c>
      <c r="D938" t="s">
        <v>1124</v>
      </c>
      <c r="E938" t="s">
        <v>1970</v>
      </c>
      <c r="F938" t="s">
        <v>1035</v>
      </c>
      <c r="G938" t="s">
        <v>1035</v>
      </c>
      <c r="H938" t="s">
        <v>1035</v>
      </c>
      <c r="I938" t="s">
        <v>1035</v>
      </c>
      <c r="J938" t="s">
        <v>1035</v>
      </c>
    </row>
    <row r="939" spans="1:10" x14ac:dyDescent="0.3">
      <c r="A939">
        <v>938</v>
      </c>
      <c r="B939">
        <v>16</v>
      </c>
      <c r="C939" t="s">
        <v>2106</v>
      </c>
      <c r="D939" t="s">
        <v>1124</v>
      </c>
      <c r="E939" t="s">
        <v>1971</v>
      </c>
      <c r="F939" t="s">
        <v>1035</v>
      </c>
      <c r="G939" t="s">
        <v>1035</v>
      </c>
      <c r="H939" t="s">
        <v>1035</v>
      </c>
      <c r="I939" t="s">
        <v>1035</v>
      </c>
      <c r="J939" t="s">
        <v>1035</v>
      </c>
    </row>
    <row r="940" spans="1:10" x14ac:dyDescent="0.3">
      <c r="A940">
        <v>939</v>
      </c>
      <c r="B940">
        <v>16</v>
      </c>
      <c r="C940" t="s">
        <v>1827</v>
      </c>
      <c r="D940" t="s">
        <v>527</v>
      </c>
      <c r="E940" t="s">
        <v>2090</v>
      </c>
      <c r="F940">
        <v>14</v>
      </c>
      <c r="G940" t="s">
        <v>1035</v>
      </c>
      <c r="H940" t="s">
        <v>1035</v>
      </c>
      <c r="I940" t="s">
        <v>1028</v>
      </c>
      <c r="J940" t="s">
        <v>1035</v>
      </c>
    </row>
    <row r="941" spans="1:10" x14ac:dyDescent="0.3">
      <c r="A941">
        <v>940</v>
      </c>
      <c r="B941">
        <v>16</v>
      </c>
      <c r="C941" t="s">
        <v>1868</v>
      </c>
      <c r="D941" t="s">
        <v>497</v>
      </c>
      <c r="E941" t="s">
        <v>2112</v>
      </c>
      <c r="F941">
        <v>7</v>
      </c>
      <c r="G941" t="s">
        <v>1035</v>
      </c>
      <c r="H941" t="s">
        <v>1035</v>
      </c>
      <c r="I941" t="s">
        <v>1032</v>
      </c>
      <c r="J941" t="s">
        <v>1035</v>
      </c>
    </row>
    <row r="942" spans="1:10" x14ac:dyDescent="0.3">
      <c r="A942">
        <v>941</v>
      </c>
      <c r="B942">
        <v>16</v>
      </c>
      <c r="C942" t="s">
        <v>2058</v>
      </c>
      <c r="D942" t="s">
        <v>1124</v>
      </c>
      <c r="E942" t="s">
        <v>2113</v>
      </c>
      <c r="F942" t="s">
        <v>1035</v>
      </c>
      <c r="G942" t="s">
        <v>1035</v>
      </c>
      <c r="H942" t="s">
        <v>1035</v>
      </c>
      <c r="I942" t="s">
        <v>1035</v>
      </c>
      <c r="J942" t="s">
        <v>1035</v>
      </c>
    </row>
    <row r="943" spans="1:10" x14ac:dyDescent="0.3">
      <c r="A943">
        <v>942</v>
      </c>
      <c r="B943">
        <v>16</v>
      </c>
      <c r="C943" t="s">
        <v>1597</v>
      </c>
      <c r="D943" t="s">
        <v>1124</v>
      </c>
      <c r="E943" t="s">
        <v>1972</v>
      </c>
      <c r="F943" t="s">
        <v>1035</v>
      </c>
      <c r="G943" t="s">
        <v>1035</v>
      </c>
      <c r="H943" t="s">
        <v>1035</v>
      </c>
      <c r="I943" t="s">
        <v>1035</v>
      </c>
      <c r="J943" t="s">
        <v>1035</v>
      </c>
    </row>
    <row r="944" spans="1:10" x14ac:dyDescent="0.3">
      <c r="A944">
        <v>943</v>
      </c>
      <c r="B944">
        <v>16</v>
      </c>
      <c r="C944" t="s">
        <v>1757</v>
      </c>
      <c r="D944" t="s">
        <v>485</v>
      </c>
      <c r="E944" t="s">
        <v>1973</v>
      </c>
      <c r="F944">
        <v>8</v>
      </c>
      <c r="G944" t="s">
        <v>1035</v>
      </c>
      <c r="H944" t="s">
        <v>1035</v>
      </c>
      <c r="I944" t="s">
        <v>1029</v>
      </c>
      <c r="J944" t="s">
        <v>1035</v>
      </c>
    </row>
    <row r="945" spans="1:10" x14ac:dyDescent="0.3">
      <c r="A945">
        <v>944</v>
      </c>
      <c r="B945">
        <v>16</v>
      </c>
      <c r="C945" t="s">
        <v>2079</v>
      </c>
      <c r="D945" t="s">
        <v>1124</v>
      </c>
      <c r="E945" t="s">
        <v>2114</v>
      </c>
      <c r="F945" t="s">
        <v>1035</v>
      </c>
      <c r="G945" t="s">
        <v>1035</v>
      </c>
      <c r="H945" t="s">
        <v>1035</v>
      </c>
      <c r="I945" t="s">
        <v>1035</v>
      </c>
      <c r="J945" t="s">
        <v>1035</v>
      </c>
    </row>
    <row r="946" spans="1:10" x14ac:dyDescent="0.3">
      <c r="A946">
        <v>945</v>
      </c>
      <c r="B946">
        <v>16</v>
      </c>
      <c r="C946" t="s">
        <v>2085</v>
      </c>
      <c r="D946" t="s">
        <v>1124</v>
      </c>
      <c r="E946" t="s">
        <v>2115</v>
      </c>
      <c r="F946" t="s">
        <v>1035</v>
      </c>
      <c r="G946" t="s">
        <v>1035</v>
      </c>
      <c r="H946" t="s">
        <v>1035</v>
      </c>
      <c r="I946" t="s">
        <v>1035</v>
      </c>
      <c r="J946" t="s">
        <v>1035</v>
      </c>
    </row>
    <row r="947" spans="1:10" x14ac:dyDescent="0.3">
      <c r="A947">
        <v>946</v>
      </c>
      <c r="B947">
        <v>16</v>
      </c>
      <c r="C947" t="s">
        <v>2093</v>
      </c>
      <c r="D947" t="s">
        <v>1124</v>
      </c>
      <c r="E947" t="s">
        <v>1975</v>
      </c>
      <c r="F947" t="s">
        <v>1035</v>
      </c>
      <c r="G947" t="s">
        <v>1035</v>
      </c>
      <c r="H947" t="s">
        <v>1035</v>
      </c>
      <c r="I947" t="s">
        <v>1035</v>
      </c>
      <c r="J947" t="s">
        <v>1035</v>
      </c>
    </row>
    <row r="948" spans="1:10" x14ac:dyDescent="0.3">
      <c r="A948">
        <v>947</v>
      </c>
      <c r="B948">
        <v>16</v>
      </c>
      <c r="C948" t="s">
        <v>2094</v>
      </c>
      <c r="D948" t="s">
        <v>1124</v>
      </c>
      <c r="E948" t="s">
        <v>1976</v>
      </c>
      <c r="F948" t="s">
        <v>1035</v>
      </c>
      <c r="G948" t="s">
        <v>1035</v>
      </c>
      <c r="H948" t="s">
        <v>1035</v>
      </c>
      <c r="I948" t="s">
        <v>1035</v>
      </c>
      <c r="J948" t="s">
        <v>1035</v>
      </c>
    </row>
    <row r="949" spans="1:10" x14ac:dyDescent="0.3">
      <c r="A949">
        <v>948</v>
      </c>
      <c r="B949">
        <v>16</v>
      </c>
      <c r="C949" t="s">
        <v>2096</v>
      </c>
      <c r="D949" t="s">
        <v>1124</v>
      </c>
      <c r="E949" t="s">
        <v>2116</v>
      </c>
      <c r="F949" t="s">
        <v>1035</v>
      </c>
      <c r="G949" t="s">
        <v>1035</v>
      </c>
      <c r="H949" t="s">
        <v>1035</v>
      </c>
      <c r="I949" t="s">
        <v>1035</v>
      </c>
      <c r="J949" t="s">
        <v>1035</v>
      </c>
    </row>
  </sheetData>
  <phoneticPr fontId="25" type="noConversion"/>
  <conditionalFormatting sqref="M2:M8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1"/>
  <sheetViews>
    <sheetView zoomScale="70" zoomScaleNormal="70" workbookViewId="0">
      <selection activeCell="I16" sqref="I16"/>
    </sheetView>
  </sheetViews>
  <sheetFormatPr defaultColWidth="8.5546875" defaultRowHeight="14.4" x14ac:dyDescent="0.3"/>
  <cols>
    <col min="1" max="8" width="8.5546875" style="20"/>
  </cols>
  <sheetData>
    <row r="1" spans="1:9" ht="14.25" customHeight="1" x14ac:dyDescent="0.3">
      <c r="A1" s="20" t="str">
        <f>"RB"&amp;Scoring!$C$41+1</f>
        <v>RB31</v>
      </c>
      <c r="B1" s="43">
        <f>VLOOKUP(A1,ECR!Q:R,2,FALSE)</f>
        <v>128.81946988235293</v>
      </c>
      <c r="C1" s="20" t="str">
        <f>LEFT(INDEX($A$1:$A$52,MATCH(LARGE($B$1:$B$52,1),$B$1:$B$52,0)),2)</f>
        <v>RB</v>
      </c>
      <c r="D1" s="44" t="s">
        <v>8</v>
      </c>
      <c r="E1" s="44">
        <f>COUNTIF(INDEX($C$1:$C$50,1):INDEX($C$1:$C$50,Scoring!F41),"RB")</f>
        <v>8</v>
      </c>
      <c r="F1" s="44" t="s">
        <v>9</v>
      </c>
      <c r="G1" s="44">
        <f>COUNTIF(INDEX($C$1:$C$50,1):INDEX($C$1:$C$50,Scoring!F41),"WR")</f>
        <v>9</v>
      </c>
      <c r="H1" s="44" t="s">
        <v>10</v>
      </c>
      <c r="I1" s="44">
        <f>COUNTIF(INDEX($C$1:$C$50,1):INDEX($C$1:$C$50,Scoring!F41),"TE")</f>
        <v>0</v>
      </c>
    </row>
    <row r="2" spans="1:9" ht="14.25" customHeight="1" x14ac:dyDescent="0.3">
      <c r="A2" s="20" t="str">
        <f>"RB"&amp;Scoring!$C$41+2</f>
        <v>RB32</v>
      </c>
      <c r="B2" s="43">
        <f>VLOOKUP(A2,ECR!Q:R,2,FALSE)</f>
        <v>123.70215541176469</v>
      </c>
      <c r="C2" s="20" t="str">
        <f>LEFT(INDEX($A$1:$A$52,MATCH(LARGE($B$1:$B$52,2),$B$1:$B$52,0)),2)</f>
        <v>WR</v>
      </c>
    </row>
    <row r="3" spans="1:9" ht="14.25" customHeight="1" x14ac:dyDescent="0.3">
      <c r="A3" s="20" t="str">
        <f>"RB"&amp;Scoring!$C$41+3</f>
        <v>RB33</v>
      </c>
      <c r="B3" s="43">
        <f>VLOOKUP(A3,ECR!Q:R,2,FALSE)</f>
        <v>123.14347176470588</v>
      </c>
      <c r="C3" s="20" t="str">
        <f>LEFT(INDEX($A$1:$A$52,MATCH(LARGE($B$1:$B$52,3),$B$1:$B$52,0)),2)</f>
        <v>WR</v>
      </c>
    </row>
    <row r="4" spans="1:9" ht="14.25" customHeight="1" x14ac:dyDescent="0.3">
      <c r="A4" s="20" t="str">
        <f>"RB"&amp;Scoring!C41+4</f>
        <v>RB34</v>
      </c>
      <c r="B4" s="43">
        <f>VLOOKUP(A4,ECR!Q:R,2,FALSE)</f>
        <v>118.16882023529409</v>
      </c>
      <c r="C4" s="20" t="str">
        <f>LEFT(INDEX($A$1:$A$52,MATCH(LARGE($B$1:$B$52,4),$B$1:$B$52,0)),2)</f>
        <v>WR</v>
      </c>
    </row>
    <row r="5" spans="1:9" ht="14.25" customHeight="1" x14ac:dyDescent="0.3">
      <c r="A5" s="20" t="str">
        <f>"RB"&amp;Scoring!C41+5</f>
        <v>RB35</v>
      </c>
      <c r="B5" s="43">
        <f>VLOOKUP(A5,ECR!Q:R,2,FALSE)</f>
        <v>115.74119364705882</v>
      </c>
      <c r="C5" s="20" t="str">
        <f>LEFT(INDEX($A$1:$A$52,MATCH(LARGE($B$1:$B$52,5),$B$1:$B$52,0)),2)</f>
        <v>WR</v>
      </c>
    </row>
    <row r="6" spans="1:9" ht="14.25" customHeight="1" x14ac:dyDescent="0.3">
      <c r="A6" s="20" t="str">
        <f>"RB"&amp;Scoring!C41+6</f>
        <v>RB36</v>
      </c>
      <c r="B6" s="43">
        <f>VLOOKUP(A6,ECR!Q:R,2,FALSE)</f>
        <v>114.95020941176472</v>
      </c>
      <c r="C6" s="20" t="str">
        <f>LEFT(INDEX($A$1:$A$52,MATCH(LARGE($B$1:$B$52,6),$B$1:$B$52,0)),2)</f>
        <v>RB</v>
      </c>
    </row>
    <row r="7" spans="1:9" ht="14.25" customHeight="1" x14ac:dyDescent="0.3">
      <c r="A7" s="20" t="str">
        <f>"RB"&amp;Scoring!$C$41+7</f>
        <v>RB37</v>
      </c>
      <c r="B7" s="43">
        <f>VLOOKUP(A7,ECR!Q:R,2,FALSE)</f>
        <v>113.96180647058824</v>
      </c>
      <c r="C7" s="20" t="str">
        <f>LEFT(INDEX($A$1:$A$52,MATCH(LARGE($B$1:$B$52,7),$B$1:$B$52,0)),2)</f>
        <v>RB</v>
      </c>
    </row>
    <row r="8" spans="1:9" ht="14.25" customHeight="1" x14ac:dyDescent="0.3">
      <c r="A8" s="20" t="str">
        <f>"RB"&amp;Scoring!$C$41+8</f>
        <v>RB38</v>
      </c>
      <c r="B8" s="43">
        <f>VLOOKUP(A8,ECR!Q:R,2,FALSE)</f>
        <v>113.44617411764706</v>
      </c>
      <c r="C8" s="20" t="str">
        <f>LEFT(INDEX($A$1:$A$52,MATCH(LARGE($B$1:$B$52,8),$B$1:$B$52,0)),2)</f>
        <v>WR</v>
      </c>
    </row>
    <row r="9" spans="1:9" ht="14.25" customHeight="1" x14ac:dyDescent="0.3">
      <c r="A9" s="20" t="str">
        <f>"RB"&amp;Scoring!$C$41+9</f>
        <v>RB39</v>
      </c>
      <c r="B9" s="43">
        <f>VLOOKUP(A9,ECR!Q:R,2,FALSE)</f>
        <v>112.89075200000001</v>
      </c>
      <c r="C9" s="20" t="str">
        <f>LEFT(INDEX($A$1:$A$52,MATCH(LARGE($B$1:$B$52,9),$B$1:$B$52,0)),2)</f>
        <v>WR</v>
      </c>
    </row>
    <row r="10" spans="1:9" ht="14.25" customHeight="1" x14ac:dyDescent="0.3">
      <c r="A10" s="20" t="str">
        <f>"RB"&amp;Scoring!$C$41+10</f>
        <v>RB40</v>
      </c>
      <c r="B10" s="43">
        <f>VLOOKUP(A10,ECR!Q:R,2,FALSE)</f>
        <v>112.344448</v>
      </c>
      <c r="C10" s="20" t="str">
        <f>LEFT(INDEX($A$1:$A$52,MATCH(LARGE($B$1:$B$52,10),$B$1:$B$52,0)),2)</f>
        <v>WR</v>
      </c>
    </row>
    <row r="11" spans="1:9" ht="14.25" customHeight="1" x14ac:dyDescent="0.3">
      <c r="A11" s="20" t="str">
        <f>"RB"&amp;Scoring!$C$41+11</f>
        <v>RB41</v>
      </c>
      <c r="B11" s="43">
        <f>VLOOKUP(A11,ECR!Q:R,2,FALSE)</f>
        <v>110.24252941176468</v>
      </c>
      <c r="C11" s="20" t="str">
        <f>LEFT(INDEX($A$1:$A$52,MATCH(LARGE($B$1:$B$52,11),$B$1:$B$52,0)),2)</f>
        <v>WR</v>
      </c>
    </row>
    <row r="12" spans="1:9" ht="14.25" customHeight="1" x14ac:dyDescent="0.3">
      <c r="A12" s="20" t="str">
        <f>"RB"&amp;Scoring!$C$41+12</f>
        <v>RB42</v>
      </c>
      <c r="B12" s="43">
        <f>VLOOKUP(A12,ECR!Q:R,2,FALSE)</f>
        <v>104.46286385529412</v>
      </c>
      <c r="C12" s="20" t="str">
        <f>LEFT(INDEX($A$1:$A$52,MATCH(LARGE($B$1:$B$52,12),$B$1:$B$52,0)),2)</f>
        <v>RB</v>
      </c>
    </row>
    <row r="13" spans="1:9" ht="14.25" customHeight="1" x14ac:dyDescent="0.3">
      <c r="A13" s="20" t="str">
        <f>"RB"&amp;Scoring!$C$41+13</f>
        <v>RB43</v>
      </c>
      <c r="B13" s="43">
        <f>VLOOKUP(A13,ECR!Q:R,2,FALSE)</f>
        <v>97.313763529411744</v>
      </c>
      <c r="C13" s="20" t="str">
        <f>LEFT(INDEX($A$1:$A$52,MATCH(LARGE($B$1:$B$52,13),$B$1:$B$52,0)),2)</f>
        <v>WR</v>
      </c>
    </row>
    <row r="14" spans="1:9" ht="14.25" customHeight="1" x14ac:dyDescent="0.3">
      <c r="A14" s="20" t="str">
        <f>"RB"&amp;Scoring!$C$41+14</f>
        <v>RB44</v>
      </c>
      <c r="B14" s="43">
        <f>VLOOKUP(A14,ECR!Q:R,2,FALSE)</f>
        <v>96.918823529411767</v>
      </c>
      <c r="C14" s="20" t="str">
        <f>LEFT(INDEX($A$1:$A$52,MATCH(LARGE($B$1:$B$52,14),$B$1:$B$52,0)),2)</f>
        <v>RB</v>
      </c>
    </row>
    <row r="15" spans="1:9" ht="14.25" customHeight="1" x14ac:dyDescent="0.3">
      <c r="A15" s="20" t="str">
        <f>"RB"&amp;Scoring!$C$41+15</f>
        <v>RB45</v>
      </c>
      <c r="B15" s="43">
        <f>VLOOKUP(A15,ECR!Q:R,2,FALSE)</f>
        <v>90.294820941176454</v>
      </c>
      <c r="C15" s="20" t="str">
        <f>LEFT(INDEX($A$1:$A$52,MATCH(LARGE($B$1:$B$52,15),$B$1:$B$52,0)),2)</f>
        <v>RB</v>
      </c>
    </row>
    <row r="16" spans="1:9" ht="14.25" customHeight="1" x14ac:dyDescent="0.3">
      <c r="A16" s="20" t="str">
        <f>"RB"&amp;Scoring!$C$41+16</f>
        <v>RB46</v>
      </c>
      <c r="B16" s="43">
        <f>VLOOKUP(A16,ECR!Q:R,2,FALSE)</f>
        <v>89.948840000000004</v>
      </c>
      <c r="C16" s="20" t="str">
        <f>LEFT(INDEX($A$1:$A$52,MATCH(LARGE($B$1:$B$52,16),$B$1:$B$52,0)),2)</f>
        <v>RB</v>
      </c>
    </row>
    <row r="17" spans="1:3" ht="14.25" customHeight="1" x14ac:dyDescent="0.3">
      <c r="A17" s="20" t="str">
        <f>"RB"&amp;Scoring!$C$41+17</f>
        <v>RB47</v>
      </c>
      <c r="B17" s="43">
        <f>VLOOKUP(A17,ECR!Q:R,2,FALSE)</f>
        <v>83.316725999999989</v>
      </c>
      <c r="C17" s="20" t="str">
        <f>LEFT(INDEX($A$1:$A$52,MATCH(LARGE($B$1:$B$52,17),$B$1:$B$52,0)),2)</f>
        <v>RB</v>
      </c>
    </row>
    <row r="18" spans="1:3" ht="14.25" customHeight="1" x14ac:dyDescent="0.3">
      <c r="A18" s="20" t="str">
        <f>"RB"&amp;Scoring!$C$41+18</f>
        <v>RB48</v>
      </c>
      <c r="B18" s="43">
        <f>VLOOKUP(A18,ECR!Q:R,2,FALSE)</f>
        <v>77.388521029411763</v>
      </c>
      <c r="C18" s="20" t="str">
        <f>LEFT(INDEX($A$1:$A$52,MATCH(LARGE($B$1:$B$52,18),$B$1:$B$52,0)),2)</f>
        <v>WR</v>
      </c>
    </row>
    <row r="19" spans="1:3" ht="14.25" customHeight="1" x14ac:dyDescent="0.3">
      <c r="A19" s="20" t="str">
        <f>"RB"&amp;Scoring!$C$41+19</f>
        <v>RB49</v>
      </c>
      <c r="B19" s="43">
        <f>VLOOKUP(A19,ECR!Q:R,2,FALSE)</f>
        <v>75.323529411764696</v>
      </c>
      <c r="C19" s="20" t="str">
        <f>LEFT(INDEX($A$1:$A$52,MATCH(LARGE($B$1:$B$52,19),$B$1:$B$52,0)),2)</f>
        <v>RB</v>
      </c>
    </row>
    <row r="20" spans="1:3" ht="14.25" customHeight="1" x14ac:dyDescent="0.3">
      <c r="A20" s="20" t="str">
        <f>"RB"&amp;Scoring!$C$41+20</f>
        <v>RB50</v>
      </c>
      <c r="B20" s="43">
        <f>VLOOKUP(A20,ECR!Q:R,2,FALSE)</f>
        <v>74.140330588235287</v>
      </c>
      <c r="C20" s="20" t="str">
        <f>LEFT(INDEX($A$1:$A$52,MATCH(LARGE($B$1:$B$52,20),$B$1:$B$52,0)),2)</f>
        <v>WR</v>
      </c>
    </row>
    <row r="21" spans="1:3" ht="14.25" customHeight="1" x14ac:dyDescent="0.3">
      <c r="A21" s="20" t="str">
        <f>"WR"&amp;Scoring!$D$41+1</f>
        <v>WR31</v>
      </c>
      <c r="B21" s="43">
        <f>VLOOKUP(A21,ECR!Q:R,2,FALSE)</f>
        <v>128.04583270588233</v>
      </c>
      <c r="C21" s="20" t="str">
        <f>LEFT(INDEX($A$1:$A$52,MATCH(LARGE($B$1:$B$52,21),$B$1:$B$52,0)),2)</f>
        <v>RB</v>
      </c>
    </row>
    <row r="22" spans="1:3" ht="14.25" customHeight="1" x14ac:dyDescent="0.3">
      <c r="A22" s="20" t="str">
        <f>"WR"&amp;Scoring!$D$41+2</f>
        <v>WR32</v>
      </c>
      <c r="B22" s="43">
        <f>VLOOKUP(A22,ECR!Q:R,2,FALSE)</f>
        <v>127.94585294117647</v>
      </c>
      <c r="C22" s="20" t="str">
        <f>LEFT(INDEX($A$1:$A$52,MATCH(LARGE($B$1:$B$52,22),$B$1:$B$52,0)),2)</f>
        <v>WR</v>
      </c>
    </row>
    <row r="23" spans="1:3" ht="14.25" customHeight="1" x14ac:dyDescent="0.3">
      <c r="A23" s="20" t="str">
        <f>"WR"&amp;Scoring!$D$41+3</f>
        <v>WR33</v>
      </c>
      <c r="B23" s="43">
        <f>VLOOKUP(A23,ECR!Q:R,2,FALSE)</f>
        <v>127.61356904470587</v>
      </c>
      <c r="C23" s="20" t="str">
        <f>LEFT(INDEX($A$1:$A$52,MATCH(LARGE($B$1:$B$52,23),$B$1:$B$52,0)),2)</f>
        <v>WR</v>
      </c>
    </row>
    <row r="24" spans="1:3" ht="14.25" customHeight="1" x14ac:dyDescent="0.3">
      <c r="A24" s="20" t="str">
        <f>"WR"&amp;Scoring!$D$41+4</f>
        <v>WR34</v>
      </c>
      <c r="B24" s="43">
        <f>VLOOKUP(A24,ECR!Q:R,2,FALSE)</f>
        <v>126.59862993298584</v>
      </c>
      <c r="C24" s="20" t="str">
        <f>LEFT(INDEX($A$1:$A$52,MATCH(LARGE($B$1:$B$52,24),$B$1:$B$52,0)),2)</f>
        <v>WR</v>
      </c>
    </row>
    <row r="25" spans="1:3" ht="14.25" customHeight="1" x14ac:dyDescent="0.3">
      <c r="A25" s="20" t="str">
        <f>"WR"&amp;Scoring!$D$41+5</f>
        <v>WR35</v>
      </c>
      <c r="B25" s="43">
        <f>VLOOKUP(A25,ECR!Q:R,2,FALSE)</f>
        <v>121.29330871183919</v>
      </c>
      <c r="C25" s="20" t="str">
        <f>LEFT(INDEX($A$1:$A$52,MATCH(LARGE($B$1:$B$52,25),$B$1:$B$52,0)),2)</f>
        <v>WR</v>
      </c>
    </row>
    <row r="26" spans="1:3" ht="14.25" customHeight="1" x14ac:dyDescent="0.3">
      <c r="A26" s="20" t="str">
        <f>"WR"&amp;Scoring!$D$41+6</f>
        <v>WR36</v>
      </c>
      <c r="B26" s="43">
        <f>VLOOKUP(A26,ECR!Q:R,2,FALSE)</f>
        <v>121.28355058823527</v>
      </c>
      <c r="C26" s="20" t="str">
        <f>LEFT(INDEX($A$1:$A$52,MATCH(LARGE($B$1:$B$52,26),$B$1:$B$52,0)),2)</f>
        <v>RB</v>
      </c>
    </row>
    <row r="27" spans="1:3" ht="14.25" customHeight="1" x14ac:dyDescent="0.3">
      <c r="A27" s="20" t="str">
        <f>"WR"&amp;Scoring!$D$41+7</f>
        <v>WR37</v>
      </c>
      <c r="B27" s="43">
        <f>VLOOKUP(A27,ECR!Q:R,2,FALSE)</f>
        <v>119.05673870588235</v>
      </c>
      <c r="C27" s="20" t="str">
        <f>LEFT(INDEX($A$1:$A$52,MATCH(LARGE($B$1:$B$52,27),$B$1:$B$52,0)),2)</f>
        <v>WR</v>
      </c>
    </row>
    <row r="28" spans="1:3" ht="14.25" customHeight="1" x14ac:dyDescent="0.3">
      <c r="A28" s="20" t="str">
        <f>"WR"&amp;Scoring!$D$41+8</f>
        <v>WR38</v>
      </c>
      <c r="B28" s="43">
        <f>VLOOKUP(A28,ECR!Q:R,2,FALSE)</f>
        <v>118.27425167535368</v>
      </c>
      <c r="C28" s="20" t="str">
        <f>LEFT(INDEX($A$1:$A$52,MATCH(LARGE($B$1:$B$52,28),$B$1:$B$52,0)),2)</f>
        <v>WR</v>
      </c>
    </row>
    <row r="29" spans="1:3" ht="14.25" customHeight="1" x14ac:dyDescent="0.3">
      <c r="A29" s="20" t="str">
        <f>"WR"&amp;Scoring!$D$41+9</f>
        <v>WR39</v>
      </c>
      <c r="B29" s="43">
        <f>VLOOKUP(A29,ECR!Q:R,2,FALSE)</f>
        <v>116.20862993298586</v>
      </c>
      <c r="C29" s="20" t="str">
        <f>LEFT(INDEX($A$1:$A$52,MATCH(LARGE($B$1:$B$52,29),$B$1:$B$52,0)),2)</f>
        <v>WR</v>
      </c>
    </row>
    <row r="30" spans="1:3" ht="14.25" customHeight="1" x14ac:dyDescent="0.3">
      <c r="A30" s="20" t="str">
        <f>"WR"&amp;Scoring!$D$41+10</f>
        <v>WR40</v>
      </c>
      <c r="B30" s="43">
        <f>VLOOKUP(A30,ECR!Q:R,2,FALSE)</f>
        <v>113.16636366344007</v>
      </c>
      <c r="C30" s="20" t="str">
        <f>LEFT(INDEX($A$1:$A$52,MATCH(LARGE($B$1:$B$52,30),$B$1:$B$52,0)),2)</f>
        <v>WR</v>
      </c>
    </row>
    <row r="31" spans="1:3" ht="14.25" customHeight="1" x14ac:dyDescent="0.3">
      <c r="A31" s="20" t="str">
        <f>"WR"&amp;Scoring!$D$41+11</f>
        <v>WR41</v>
      </c>
      <c r="B31" s="43">
        <f>VLOOKUP(A31,ECR!Q:R,2,FALSE)</f>
        <v>112.53383469843629</v>
      </c>
      <c r="C31" s="20" t="str">
        <f>LEFT(INDEX($A$1:$A$52,MATCH(LARGE($B$1:$B$52,31),$B$1:$B$52,0)),2)</f>
        <v>TE</v>
      </c>
    </row>
    <row r="32" spans="1:3" ht="14.25" customHeight="1" x14ac:dyDescent="0.3">
      <c r="A32" s="20" t="str">
        <f>"WR"&amp;Scoring!$D$41+12</f>
        <v>WR42</v>
      </c>
      <c r="B32" s="43">
        <f>VLOOKUP(A32,ECR!Q:R,2,FALSE)</f>
        <v>112.29183976172749</v>
      </c>
      <c r="C32" s="20" t="str">
        <f>LEFT(INDEX($A$1:$A$52,MATCH(LARGE($B$1:$B$52,32),$B$1:$B$52,0)),2)</f>
        <v>WR</v>
      </c>
    </row>
    <row r="33" spans="1:3" ht="14.25" customHeight="1" x14ac:dyDescent="0.3">
      <c r="A33" s="20" t="str">
        <f>"WR"&amp;Scoring!$D$41+13</f>
        <v>WR43</v>
      </c>
      <c r="B33" s="43">
        <f>VLOOKUP(A33,ECR!Q:R,2,FALSE)</f>
        <v>111.70603871928517</v>
      </c>
      <c r="C33" s="20" t="str">
        <f>LEFT(INDEX($A$1:$A$52,MATCH(LARGE($B$1:$B$52,33),$B$1:$B$52,0)),2)</f>
        <v>RB</v>
      </c>
    </row>
    <row r="34" spans="1:3" ht="14.25" customHeight="1" x14ac:dyDescent="0.3">
      <c r="A34" s="20" t="str">
        <f>"WR"&amp;Scoring!$D$41+14</f>
        <v>WR44</v>
      </c>
      <c r="B34" s="43">
        <f>VLOOKUP(A34,ECR!Q:R,2,FALSE)</f>
        <v>111.27281041176468</v>
      </c>
      <c r="C34" s="20" t="str">
        <f>LEFT(INDEX($A$1:$A$52,MATCH(LARGE($B$1:$B$52,34),$B$1:$B$52,0)),2)</f>
        <v>TE</v>
      </c>
    </row>
    <row r="35" spans="1:3" ht="14.25" customHeight="1" x14ac:dyDescent="0.3">
      <c r="A35" s="20" t="str">
        <f>"WR"&amp;Scoring!$D$41+15</f>
        <v>WR45</v>
      </c>
      <c r="B35" s="43">
        <f>VLOOKUP(A35,ECR!Q:R,2,FALSE)</f>
        <v>110.52090264705882</v>
      </c>
      <c r="C35" s="20" t="str">
        <f>LEFT(INDEX($A$1:$A$52,MATCH(LARGE($B$1:$B$52,35),$B$1:$B$52,0)),2)</f>
        <v>TE</v>
      </c>
    </row>
    <row r="36" spans="1:3" ht="14.25" customHeight="1" x14ac:dyDescent="0.3">
      <c r="A36" s="20" t="str">
        <f>"WR"&amp;Scoring!$D$41+16</f>
        <v>WR46</v>
      </c>
      <c r="B36" s="43">
        <f>VLOOKUP(A36,ECR!Q:R,2,FALSE)</f>
        <v>110.15102010424425</v>
      </c>
      <c r="C36" s="20" t="str">
        <f>LEFT(INDEX($A$1:$A$52,MATCH(LARGE($B$1:$B$52,36),$B$1:$B$52,0)),2)</f>
        <v>RB</v>
      </c>
    </row>
    <row r="37" spans="1:3" ht="14.25" customHeight="1" x14ac:dyDescent="0.3">
      <c r="A37" s="20" t="str">
        <f>"WR"&amp;Scoring!$D$41+17</f>
        <v>WR47</v>
      </c>
      <c r="B37" s="43">
        <f>VLOOKUP(A37,ECR!Q:R,2,FALSE)</f>
        <v>109.57852568875653</v>
      </c>
      <c r="C37" s="20" t="str">
        <f>LEFT(INDEX($A$1:$A$52,MATCH(LARGE($B$1:$B$52,37),$B$1:$B$52,0)),2)</f>
        <v>RB</v>
      </c>
    </row>
    <row r="38" spans="1:3" ht="14.25" customHeight="1" x14ac:dyDescent="0.3">
      <c r="A38" s="20" t="str">
        <f>"WR"&amp;Scoring!$D$41+18</f>
        <v>WR48</v>
      </c>
      <c r="B38" s="43">
        <f>VLOOKUP(A38,ECR!Q:R,2,FALSE)</f>
        <v>107.85330603127328</v>
      </c>
      <c r="C38" s="20" t="str">
        <f>LEFT(INDEX($A$1:$A$52,MATCH(LARGE($B$1:$B$52,38),$B$1:$B$52,0)),2)</f>
        <v>TE</v>
      </c>
    </row>
    <row r="39" spans="1:3" ht="14.25" customHeight="1" x14ac:dyDescent="0.3">
      <c r="A39" s="20" t="str">
        <f>"WR"&amp;Scoring!$D$41+19</f>
        <v>WR49</v>
      </c>
      <c r="B39" s="43">
        <f>VLOOKUP(A39,ECR!Q:R,2,FALSE)</f>
        <v>107.76820551005214</v>
      </c>
      <c r="C39" s="20" t="str">
        <f>LEFT(INDEX($A$1:$A$52,MATCH(LARGE($B$1:$B$52,39),$B$1:$B$52,0)),2)</f>
        <v>RB</v>
      </c>
    </row>
    <row r="40" spans="1:3" ht="14.25" customHeight="1" x14ac:dyDescent="0.3">
      <c r="A40" s="20" t="str">
        <f>"WR"&amp;Scoring!$D$41+20</f>
        <v>WR50</v>
      </c>
      <c r="B40" s="43">
        <f>VLOOKUP(A40,ECR!Q:R,2,FALSE)</f>
        <v>106.31376023827249</v>
      </c>
      <c r="C40" s="20" t="str">
        <f>LEFT(INDEX($A$1:$A$52,MATCH(LARGE($B$1:$B$52,40),$B$1:$B$52,0)),2)</f>
        <v>TE</v>
      </c>
    </row>
    <row r="41" spans="1:3" ht="14.25" customHeight="1" x14ac:dyDescent="0.3">
      <c r="A41" s="20" t="str">
        <f>"TE"&amp;Scoring!$E$41+1</f>
        <v>TE15</v>
      </c>
      <c r="B41" s="43">
        <f>VLOOKUP(A41,ECR!Q:R,2,FALSE)</f>
        <v>106.45709835294119</v>
      </c>
      <c r="C41" s="20" t="str">
        <f>LEFT(INDEX($A$1:$A$52,MATCH(LARGE($B$1:$B$52,41),$B$1:$B$52,0)),2)</f>
        <v>RB</v>
      </c>
    </row>
    <row r="42" spans="1:3" ht="14.25" customHeight="1" x14ac:dyDescent="0.3">
      <c r="A42" s="20" t="str">
        <f>"TE"&amp;Scoring!$E$41+2</f>
        <v>TE16</v>
      </c>
      <c r="B42" s="43">
        <f>VLOOKUP(A42,ECR!Q:R,2,FALSE)</f>
        <v>100.48378752941177</v>
      </c>
      <c r="C42" s="20" t="str">
        <f>LEFT(INDEX($A$1:$A$52,MATCH(LARGE($B$1:$B$52,42),$B$1:$B$52,0)),2)</f>
        <v>TE</v>
      </c>
    </row>
    <row r="43" spans="1:3" ht="14.25" customHeight="1" x14ac:dyDescent="0.3">
      <c r="A43" s="20" t="str">
        <f>"TE"&amp;Scoring!$E$41+3</f>
        <v>TE17</v>
      </c>
      <c r="B43" s="43">
        <f>VLOOKUP(A43,ECR!Q:R,2,FALSE)</f>
        <v>100.38126264705882</v>
      </c>
      <c r="C43" s="20" t="str">
        <f>LEFT(INDEX($A$1:$A$52,MATCH(LARGE($B$1:$B$52,43),$B$1:$B$52,0)),2)</f>
        <v>RB</v>
      </c>
    </row>
    <row r="44" spans="1:3" ht="14.25" customHeight="1" x14ac:dyDescent="0.3">
      <c r="A44" s="20" t="str">
        <f>"TE"&amp;Scoring!$E$41+4</f>
        <v>TE18</v>
      </c>
      <c r="B44" s="43">
        <f>VLOOKUP(A44,ECR!Q:R,2,FALSE)</f>
        <v>96.616349999999997</v>
      </c>
      <c r="C44" s="20" t="str">
        <f>LEFT(INDEX($A$1:$A$52,MATCH(LARGE($B$1:$B$52,44),$B$1:$B$52,0)),2)</f>
        <v>TE</v>
      </c>
    </row>
    <row r="45" spans="1:3" ht="14.25" customHeight="1" x14ac:dyDescent="0.3">
      <c r="A45" s="20" t="str">
        <f>"TE"&amp;Scoring!$E$41+5</f>
        <v>TE19</v>
      </c>
      <c r="B45" s="43">
        <f>VLOOKUP(A45,ECR!Q:R,2,FALSE)</f>
        <v>90.244218823529408</v>
      </c>
      <c r="C45" s="20" t="str">
        <f>LEFT(INDEX($A$1:$A$52,MATCH(LARGE($B$1:$B$52,45),$B$1:$B$52,0)),2)</f>
        <v>TE</v>
      </c>
    </row>
    <row r="46" spans="1:3" ht="14.25" customHeight="1" x14ac:dyDescent="0.3">
      <c r="A46" s="20" t="str">
        <f>"TE"&amp;Scoring!$E$41+6</f>
        <v>TE20</v>
      </c>
      <c r="B46" s="43">
        <f>VLOOKUP(A46,ECR!Q:R,2,FALSE)</f>
        <v>83.329999999999984</v>
      </c>
      <c r="C46" s="20" t="str">
        <f>LEFT(INDEX($A$1:$A$52,MATCH(LARGE($B$1:$B$52,46),$B$1:$B$52,0)),2)</f>
        <v>TE</v>
      </c>
    </row>
    <row r="47" spans="1:3" ht="14.25" customHeight="1" x14ac:dyDescent="0.3">
      <c r="A47" s="20" t="str">
        <f>"TE"&amp;Scoring!$E$41+7</f>
        <v>TE21</v>
      </c>
      <c r="B47" s="43">
        <f>VLOOKUP(A47,ECR!Q:R,2,FALSE)</f>
        <v>82.481176470588238</v>
      </c>
      <c r="C47" s="20" t="str">
        <f>LEFT(INDEX($A$1:$A$52,MATCH(LARGE($B$1:$B$52,47),$B$1:$B$52,0)),2)</f>
        <v>TE</v>
      </c>
    </row>
    <row r="48" spans="1:3" ht="14.25" customHeight="1" x14ac:dyDescent="0.3">
      <c r="A48" s="20" t="str">
        <f>"TE"&amp;Scoring!$E$41+8</f>
        <v>TE22</v>
      </c>
      <c r="B48" s="43">
        <f>VLOOKUP(A48,ECR!Q:R,2,FALSE)</f>
        <v>81.311176470588236</v>
      </c>
      <c r="C48" s="20" t="str">
        <f>LEFT(INDEX($A$1:$A$52,MATCH(LARGE($B$1:$B$52,48),$B$1:$B$52,0)),2)</f>
        <v>TE</v>
      </c>
    </row>
    <row r="49" spans="1:3" ht="14.25" customHeight="1" x14ac:dyDescent="0.3">
      <c r="A49" s="20" t="str">
        <f>"TE"&amp;Scoring!$E$41+9</f>
        <v>TE23</v>
      </c>
      <c r="B49" s="43">
        <f>VLOOKUP(A49,ECR!Q:R,2,FALSE)</f>
        <v>80.783529411764704</v>
      </c>
      <c r="C49" s="20" t="str">
        <f>LEFT(INDEX($A$1:$A$52,MATCH(LARGE($B$1:$B$52,49),$B$1:$B$52,0)),2)</f>
        <v>TE</v>
      </c>
    </row>
    <row r="50" spans="1:3" ht="14.25" customHeight="1" x14ac:dyDescent="0.3">
      <c r="A50" s="20" t="str">
        <f>"TE"&amp;Scoring!$E$41+10</f>
        <v>TE24</v>
      </c>
      <c r="B50" s="43">
        <f>VLOOKUP(A50,ECR!Q:R,2,FALSE)</f>
        <v>79.312167176470581</v>
      </c>
      <c r="C50" s="20" t="str">
        <f>LEFT(INDEX($A$1:$A$52,MATCH(LARGE($B$1:$B$52,50),$B$1:$B$52,0)),2)</f>
        <v>RB</v>
      </c>
    </row>
    <row r="51" spans="1:3" ht="14.25" customHeight="1" x14ac:dyDescent="0.3">
      <c r="A51" s="20" t="str">
        <f>"TE"&amp;Scoring!$E$41+11</f>
        <v>TE25</v>
      </c>
      <c r="B51" s="43">
        <f>VLOOKUP(A51,ECR!Q:R,2,FALSE)</f>
        <v>78.603552588235289</v>
      </c>
      <c r="C51" s="20" t="str">
        <f>LEFT(INDEX($A$1:$A$52,MATCH(LARGE($B$1:$B$52,51),$B$1:$B$52,0)),2)</f>
        <v>RB</v>
      </c>
    </row>
    <row r="52" spans="1:3" ht="14.25" customHeight="1" x14ac:dyDescent="0.3">
      <c r="A52" s="20" t="str">
        <f>"TE"&amp;Scoring!$E$41+12</f>
        <v>TE26</v>
      </c>
      <c r="B52" s="43">
        <f>VLOOKUP(A52,ECR!Q:R,2,FALSE)</f>
        <v>77.625294117647059</v>
      </c>
      <c r="C52" s="20" t="str">
        <f>LEFT(INDEX($A$1:$A$52,MATCH(LARGE($B$1:$B$52,52),$B$1:$B$52,0)),2)</f>
        <v>RB</v>
      </c>
    </row>
    <row r="53" spans="1:3" ht="14.25" customHeight="1" x14ac:dyDescent="0.3"/>
    <row r="54" spans="1:3" ht="14.25" customHeight="1" x14ac:dyDescent="0.3"/>
    <row r="55" spans="1:3" ht="14.25" customHeight="1" x14ac:dyDescent="0.3"/>
    <row r="56" spans="1:3" ht="14.25" customHeight="1" x14ac:dyDescent="0.3"/>
    <row r="57" spans="1:3" ht="14.25" customHeight="1" x14ac:dyDescent="0.3"/>
    <row r="58" spans="1:3" ht="14.25" customHeight="1" x14ac:dyDescent="0.3"/>
    <row r="59" spans="1:3" ht="14.25" customHeight="1" x14ac:dyDescent="0.3"/>
    <row r="60" spans="1:3" ht="14.25" customHeight="1" x14ac:dyDescent="0.3"/>
    <row r="61" spans="1:3" ht="14.25" customHeight="1" x14ac:dyDescent="0.3"/>
    <row r="62" spans="1:3" ht="14.25" customHeight="1" x14ac:dyDescent="0.3"/>
    <row r="63" spans="1:3" ht="14.25" customHeight="1" x14ac:dyDescent="0.3"/>
    <row r="64" spans="1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63"/>
  <sheetViews>
    <sheetView zoomScale="70" zoomScaleNormal="70" workbookViewId="0">
      <selection activeCell="A51" sqref="A51:R51"/>
    </sheetView>
  </sheetViews>
  <sheetFormatPr defaultColWidth="8.5546875" defaultRowHeight="14.4" x14ac:dyDescent="0.3"/>
  <cols>
    <col min="2" max="2" width="21.21875" style="20" customWidth="1"/>
    <col min="3" max="3" width="8.88671875" customWidth="1"/>
    <col min="4" max="4" width="15.5546875" customWidth="1"/>
    <col min="5" max="10" width="8.88671875" customWidth="1"/>
    <col min="11" max="11" width="20.33203125" customWidth="1"/>
    <col min="12" max="12" width="19.88671875" customWidth="1"/>
    <col min="13" max="13" width="19" customWidth="1"/>
    <col min="14" max="14" width="17" customWidth="1"/>
    <col min="15" max="15" width="19.6640625" customWidth="1"/>
    <col min="16" max="16" width="14.109375" customWidth="1"/>
  </cols>
  <sheetData>
    <row r="1" spans="1:15" ht="14.25" customHeight="1" x14ac:dyDescent="0.3">
      <c r="A1" t="s">
        <v>1432</v>
      </c>
      <c r="B1" s="20" t="s">
        <v>1433</v>
      </c>
    </row>
    <row r="2" spans="1:15" ht="14.25" customHeight="1" x14ac:dyDescent="0.3">
      <c r="A2" s="20" t="s">
        <v>363</v>
      </c>
      <c r="B2" s="69">
        <v>2.1180000000000003</v>
      </c>
      <c r="D2" s="71"/>
      <c r="N2" s="20"/>
      <c r="O2" s="70"/>
    </row>
    <row r="3" spans="1:15" ht="14.25" customHeight="1" x14ac:dyDescent="0.3">
      <c r="A3" s="20" t="s">
        <v>364</v>
      </c>
      <c r="B3" s="69">
        <v>2.0584000000000007</v>
      </c>
      <c r="D3" s="71"/>
      <c r="G3" s="72"/>
      <c r="H3" s="73"/>
      <c r="N3" s="20"/>
      <c r="O3" s="70"/>
    </row>
    <row r="4" spans="1:15" ht="14.25" customHeight="1" x14ac:dyDescent="0.3">
      <c r="A4" s="20" t="s">
        <v>365</v>
      </c>
      <c r="B4" s="69">
        <v>2.0091999999999999</v>
      </c>
      <c r="D4" s="71"/>
      <c r="G4" s="72"/>
      <c r="H4" s="73"/>
      <c r="N4" s="20"/>
      <c r="O4" s="70"/>
    </row>
    <row r="5" spans="1:15" ht="14.25" customHeight="1" x14ac:dyDescent="0.3">
      <c r="A5" s="20" t="s">
        <v>366</v>
      </c>
      <c r="B5" s="69">
        <v>1.9704000000000015</v>
      </c>
      <c r="D5" s="71"/>
      <c r="G5" s="72"/>
      <c r="H5" s="73"/>
      <c r="N5" s="20"/>
      <c r="O5" s="70"/>
    </row>
    <row r="6" spans="1:15" ht="14.25" customHeight="1" x14ac:dyDescent="0.3">
      <c r="A6" s="20" t="s">
        <v>367</v>
      </c>
      <c r="B6" s="69">
        <v>1.9420000000000002</v>
      </c>
      <c r="D6" s="71"/>
      <c r="G6" s="72"/>
      <c r="H6" s="73"/>
    </row>
    <row r="7" spans="1:15" ht="14.25" customHeight="1" x14ac:dyDescent="0.3">
      <c r="A7" s="20" t="s">
        <v>368</v>
      </c>
      <c r="B7" s="69">
        <v>1.9240000000000013</v>
      </c>
      <c r="D7" s="71"/>
      <c r="G7" s="72"/>
      <c r="H7" s="73"/>
    </row>
    <row r="8" spans="1:15" ht="14.25" customHeight="1" x14ac:dyDescent="0.3">
      <c r="A8" s="20" t="s">
        <v>369</v>
      </c>
      <c r="B8" s="69">
        <v>1.9164000000000012</v>
      </c>
      <c r="D8" s="71"/>
      <c r="G8" s="72"/>
      <c r="H8" s="73"/>
    </row>
    <row r="9" spans="1:15" ht="14.25" customHeight="1" x14ac:dyDescent="0.3">
      <c r="A9" s="20" t="s">
        <v>370</v>
      </c>
      <c r="B9" s="69">
        <v>1.9192</v>
      </c>
      <c r="D9" s="71"/>
      <c r="G9" s="72"/>
      <c r="H9" s="73"/>
    </row>
    <row r="10" spans="1:15" ht="14.25" customHeight="1" x14ac:dyDescent="0.3">
      <c r="A10" s="20" t="s">
        <v>371</v>
      </c>
      <c r="B10" s="69">
        <v>1.9324000000000012</v>
      </c>
      <c r="D10" s="71"/>
      <c r="G10" s="72"/>
      <c r="H10" s="73"/>
    </row>
    <row r="11" spans="1:15" ht="14.25" customHeight="1" x14ac:dyDescent="0.3">
      <c r="A11" s="20" t="s">
        <v>372</v>
      </c>
      <c r="B11" s="69">
        <v>1.9560000000000013</v>
      </c>
      <c r="D11" s="71"/>
      <c r="G11" s="72"/>
      <c r="H11" s="73"/>
    </row>
    <row r="12" spans="1:15" ht="14.25" customHeight="1" x14ac:dyDescent="0.3">
      <c r="A12" s="20" t="s">
        <v>373</v>
      </c>
      <c r="B12" s="69">
        <v>1.9900000000000002</v>
      </c>
      <c r="D12" s="71"/>
      <c r="G12" s="72"/>
      <c r="H12" s="73"/>
    </row>
    <row r="13" spans="1:15" ht="14.25" customHeight="1" x14ac:dyDescent="0.3">
      <c r="A13" s="20" t="s">
        <v>374</v>
      </c>
      <c r="B13" s="69">
        <v>2.0343999999999998</v>
      </c>
      <c r="D13" s="71"/>
      <c r="G13" s="72"/>
      <c r="H13" s="73"/>
    </row>
    <row r="14" spans="1:15" ht="14.25" customHeight="1" x14ac:dyDescent="0.3">
      <c r="A14" s="20" t="s">
        <v>375</v>
      </c>
      <c r="B14" s="69">
        <v>2.0891999999999999</v>
      </c>
      <c r="D14" s="71"/>
      <c r="G14" s="72"/>
      <c r="H14" s="73"/>
    </row>
    <row r="15" spans="1:15" ht="14.25" customHeight="1" x14ac:dyDescent="0.3">
      <c r="A15" s="20" t="s">
        <v>376</v>
      </c>
      <c r="B15" s="69">
        <v>2.1544000000000008</v>
      </c>
      <c r="D15" s="71"/>
      <c r="G15" s="72"/>
      <c r="H15" s="73"/>
    </row>
    <row r="16" spans="1:15" ht="14.25" customHeight="1" x14ac:dyDescent="0.3">
      <c r="A16" s="20" t="s">
        <v>377</v>
      </c>
      <c r="B16" s="69">
        <v>2.2300000000000004</v>
      </c>
      <c r="D16" s="71"/>
      <c r="G16" s="72"/>
      <c r="H16" s="73"/>
    </row>
    <row r="17" spans="1:8" ht="14.25" customHeight="1" x14ac:dyDescent="0.3">
      <c r="A17" s="20" t="s">
        <v>378</v>
      </c>
      <c r="B17" s="69">
        <v>2.3160000000000007</v>
      </c>
      <c r="D17" s="71"/>
      <c r="G17" s="72"/>
      <c r="H17" s="73"/>
    </row>
    <row r="18" spans="1:8" ht="14.25" customHeight="1" x14ac:dyDescent="0.3">
      <c r="A18" s="20" t="s">
        <v>379</v>
      </c>
      <c r="B18" s="69">
        <v>2.4123999999999999</v>
      </c>
      <c r="D18" s="71"/>
      <c r="G18" s="72"/>
      <c r="H18" s="73"/>
    </row>
    <row r="19" spans="1:8" ht="14.25" customHeight="1" x14ac:dyDescent="0.3">
      <c r="A19" s="20" t="s">
        <v>380</v>
      </c>
      <c r="B19" s="69">
        <v>2.5191999999999997</v>
      </c>
      <c r="D19" s="71"/>
      <c r="G19" s="72"/>
      <c r="H19" s="73"/>
    </row>
    <row r="20" spans="1:8" ht="14.25" customHeight="1" x14ac:dyDescent="0.3">
      <c r="A20" s="20" t="s">
        <v>381</v>
      </c>
      <c r="B20" s="69">
        <v>2.6364000000000001</v>
      </c>
      <c r="D20" s="71"/>
      <c r="G20" s="72"/>
      <c r="H20" s="73"/>
    </row>
    <row r="21" spans="1:8" ht="14.25" customHeight="1" x14ac:dyDescent="0.3">
      <c r="A21" s="20" t="s">
        <v>382</v>
      </c>
      <c r="B21" s="69">
        <v>2.7640000000000011</v>
      </c>
      <c r="D21" s="71"/>
      <c r="G21" s="72"/>
      <c r="H21" s="73"/>
    </row>
    <row r="22" spans="1:8" ht="14.25" customHeight="1" x14ac:dyDescent="0.3">
      <c r="A22" s="20" t="s">
        <v>383</v>
      </c>
      <c r="B22" s="69">
        <v>2.902000000000001</v>
      </c>
      <c r="D22" s="71"/>
      <c r="G22" s="72"/>
      <c r="H22" s="73"/>
    </row>
    <row r="23" spans="1:8" ht="14.25" customHeight="1" x14ac:dyDescent="0.3">
      <c r="A23" s="20" t="s">
        <v>384</v>
      </c>
      <c r="B23" s="69">
        <v>3.0503999999999998</v>
      </c>
      <c r="D23" s="71"/>
      <c r="G23" s="72"/>
      <c r="H23" s="73"/>
    </row>
    <row r="24" spans="1:8" ht="14.25" customHeight="1" x14ac:dyDescent="0.3">
      <c r="A24" s="20" t="s">
        <v>385</v>
      </c>
      <c r="B24" s="69">
        <v>3.2</v>
      </c>
      <c r="D24" s="71"/>
      <c r="G24" s="72"/>
      <c r="H24" s="73"/>
    </row>
    <row r="25" spans="1:8" ht="14.25" customHeight="1" x14ac:dyDescent="0.3">
      <c r="A25" s="20" t="s">
        <v>386</v>
      </c>
      <c r="B25" s="69">
        <v>3.2</v>
      </c>
      <c r="D25" s="71"/>
      <c r="G25" s="72"/>
      <c r="H25" s="73"/>
    </row>
    <row r="26" spans="1:8" ht="14.25" customHeight="1" x14ac:dyDescent="0.3">
      <c r="A26" s="20" t="s">
        <v>387</v>
      </c>
      <c r="B26" s="69">
        <v>3.2</v>
      </c>
      <c r="D26" s="71"/>
      <c r="G26" s="72"/>
      <c r="H26" s="73"/>
    </row>
    <row r="27" spans="1:8" ht="14.25" customHeight="1" x14ac:dyDescent="0.3">
      <c r="A27" s="20" t="s">
        <v>388</v>
      </c>
      <c r="B27" s="69">
        <v>3.2</v>
      </c>
      <c r="D27" s="71"/>
      <c r="G27" s="72"/>
      <c r="H27" s="73"/>
    </row>
    <row r="28" spans="1:8" ht="14.25" customHeight="1" x14ac:dyDescent="0.3">
      <c r="A28" s="20" t="s">
        <v>389</v>
      </c>
      <c r="B28" s="69">
        <v>3.2</v>
      </c>
      <c r="D28" s="71"/>
      <c r="G28" s="72"/>
      <c r="H28" s="73"/>
    </row>
    <row r="29" spans="1:8" ht="14.25" customHeight="1" x14ac:dyDescent="0.3">
      <c r="A29" s="20" t="s">
        <v>390</v>
      </c>
      <c r="B29" s="69">
        <v>3.2</v>
      </c>
      <c r="D29" s="71"/>
      <c r="G29" s="72"/>
      <c r="H29" s="73"/>
    </row>
    <row r="30" spans="1:8" ht="14.25" customHeight="1" x14ac:dyDescent="0.3">
      <c r="A30" s="20" t="s">
        <v>391</v>
      </c>
      <c r="B30" s="69">
        <v>3.2</v>
      </c>
      <c r="D30" s="71"/>
      <c r="G30" s="72"/>
      <c r="H30" s="73"/>
    </row>
    <row r="31" spans="1:8" ht="14.25" customHeight="1" x14ac:dyDescent="0.3">
      <c r="A31" s="20" t="s">
        <v>392</v>
      </c>
      <c r="B31" s="69">
        <v>3.2</v>
      </c>
      <c r="D31" s="71"/>
      <c r="G31" s="72"/>
      <c r="H31" s="73"/>
    </row>
    <row r="32" spans="1:8" ht="14.25" customHeight="1" x14ac:dyDescent="0.3">
      <c r="A32" s="20" t="s">
        <v>393</v>
      </c>
      <c r="B32" s="69">
        <v>3.2</v>
      </c>
      <c r="D32" s="71"/>
      <c r="G32" s="72"/>
      <c r="H32" s="73"/>
    </row>
    <row r="33" spans="1:8" ht="14.25" customHeight="1" x14ac:dyDescent="0.3">
      <c r="A33" s="20" t="s">
        <v>394</v>
      </c>
      <c r="B33" s="69">
        <v>3.2</v>
      </c>
      <c r="D33" s="71"/>
      <c r="G33" s="72"/>
      <c r="H33" s="73"/>
    </row>
    <row r="34" spans="1:8" ht="14.25" customHeight="1" x14ac:dyDescent="0.3">
      <c r="A34" s="20" t="s">
        <v>395</v>
      </c>
      <c r="B34" s="69">
        <f>B33</f>
        <v>3.2</v>
      </c>
      <c r="D34" s="71"/>
      <c r="G34" s="72"/>
      <c r="H34" s="73"/>
    </row>
    <row r="35" spans="1:8" ht="14.25" customHeight="1" x14ac:dyDescent="0.3">
      <c r="A35" s="20" t="s">
        <v>396</v>
      </c>
      <c r="B35" s="69">
        <f t="shared" ref="B35:B51" si="0">B34</f>
        <v>3.2</v>
      </c>
      <c r="D35" s="71"/>
      <c r="G35" s="72"/>
      <c r="H35" s="72"/>
    </row>
    <row r="36" spans="1:8" ht="14.25" customHeight="1" x14ac:dyDescent="0.3">
      <c r="A36" s="20" t="s">
        <v>397</v>
      </c>
      <c r="B36" s="69">
        <f t="shared" si="0"/>
        <v>3.2</v>
      </c>
      <c r="D36" s="71"/>
      <c r="G36" s="72"/>
      <c r="H36" s="72"/>
    </row>
    <row r="37" spans="1:8" ht="14.25" customHeight="1" x14ac:dyDescent="0.3">
      <c r="A37" s="20" t="s">
        <v>398</v>
      </c>
      <c r="B37" s="69">
        <f t="shared" si="0"/>
        <v>3.2</v>
      </c>
      <c r="D37" s="71"/>
      <c r="G37" s="72"/>
      <c r="H37" s="72"/>
    </row>
    <row r="38" spans="1:8" ht="14.25" customHeight="1" x14ac:dyDescent="0.3">
      <c r="A38" s="20" t="s">
        <v>399</v>
      </c>
      <c r="B38" s="69">
        <f t="shared" si="0"/>
        <v>3.2</v>
      </c>
      <c r="D38" s="71"/>
      <c r="G38" s="72"/>
      <c r="H38" s="72"/>
    </row>
    <row r="39" spans="1:8" ht="14.25" customHeight="1" x14ac:dyDescent="0.3">
      <c r="A39" s="20" t="s">
        <v>400</v>
      </c>
      <c r="B39" s="69">
        <f t="shared" si="0"/>
        <v>3.2</v>
      </c>
      <c r="D39" s="71"/>
      <c r="G39" s="72"/>
      <c r="H39" s="72"/>
    </row>
    <row r="40" spans="1:8" ht="14.25" customHeight="1" x14ac:dyDescent="0.3">
      <c r="A40" s="20" t="s">
        <v>401</v>
      </c>
      <c r="B40" s="69">
        <f t="shared" si="0"/>
        <v>3.2</v>
      </c>
      <c r="D40" s="71"/>
      <c r="G40" s="72"/>
      <c r="H40" s="72"/>
    </row>
    <row r="41" spans="1:8" ht="14.25" customHeight="1" x14ac:dyDescent="0.3">
      <c r="A41" s="20" t="s">
        <v>402</v>
      </c>
      <c r="B41" s="69">
        <f t="shared" si="0"/>
        <v>3.2</v>
      </c>
      <c r="D41" s="71"/>
      <c r="G41" s="72"/>
      <c r="H41" s="72"/>
    </row>
    <row r="42" spans="1:8" ht="14.25" customHeight="1" x14ac:dyDescent="0.3">
      <c r="A42" s="20" t="s">
        <v>403</v>
      </c>
      <c r="B42" s="69">
        <f t="shared" si="0"/>
        <v>3.2</v>
      </c>
      <c r="D42" s="71"/>
      <c r="G42" s="72"/>
      <c r="H42" s="72"/>
    </row>
    <row r="43" spans="1:8" ht="14.25" customHeight="1" x14ac:dyDescent="0.3">
      <c r="A43" s="20" t="s">
        <v>404</v>
      </c>
      <c r="B43" s="69">
        <f t="shared" si="0"/>
        <v>3.2</v>
      </c>
      <c r="D43" s="71"/>
      <c r="G43" s="72"/>
      <c r="H43" s="72"/>
    </row>
    <row r="44" spans="1:8" ht="14.25" customHeight="1" x14ac:dyDescent="0.3">
      <c r="A44" s="20" t="s">
        <v>405</v>
      </c>
      <c r="B44" s="69">
        <f t="shared" si="0"/>
        <v>3.2</v>
      </c>
      <c r="D44" s="71"/>
      <c r="G44" s="72"/>
      <c r="H44" s="72"/>
    </row>
    <row r="45" spans="1:8" ht="14.25" customHeight="1" x14ac:dyDescent="0.3">
      <c r="A45" s="20" t="s">
        <v>406</v>
      </c>
      <c r="B45" s="69">
        <f t="shared" si="0"/>
        <v>3.2</v>
      </c>
      <c r="D45" s="71"/>
      <c r="G45" s="72"/>
      <c r="H45" s="72"/>
    </row>
    <row r="46" spans="1:8" ht="14.25" customHeight="1" x14ac:dyDescent="0.3">
      <c r="A46" s="20" t="s">
        <v>407</v>
      </c>
      <c r="B46" s="69">
        <f t="shared" si="0"/>
        <v>3.2</v>
      </c>
      <c r="D46" s="71"/>
      <c r="G46" s="72"/>
      <c r="H46" s="72"/>
    </row>
    <row r="47" spans="1:8" ht="14.25" customHeight="1" x14ac:dyDescent="0.3">
      <c r="A47" s="20" t="s">
        <v>408</v>
      </c>
      <c r="B47" s="69">
        <f t="shared" si="0"/>
        <v>3.2</v>
      </c>
      <c r="D47" s="71"/>
      <c r="G47" s="72"/>
      <c r="H47" s="72"/>
    </row>
    <row r="48" spans="1:8" ht="14.25" customHeight="1" x14ac:dyDescent="0.3">
      <c r="A48" s="20" t="s">
        <v>409</v>
      </c>
      <c r="B48" s="69">
        <f t="shared" si="0"/>
        <v>3.2</v>
      </c>
      <c r="D48" s="71"/>
      <c r="G48" s="72"/>
      <c r="H48" s="72"/>
    </row>
    <row r="49" spans="1:8" ht="14.25" customHeight="1" x14ac:dyDescent="0.3">
      <c r="A49" s="20" t="s">
        <v>410</v>
      </c>
      <c r="B49" s="69">
        <f t="shared" si="0"/>
        <v>3.2</v>
      </c>
      <c r="D49" s="71"/>
      <c r="G49" s="72"/>
      <c r="H49" s="72"/>
    </row>
    <row r="50" spans="1:8" ht="14.25" customHeight="1" x14ac:dyDescent="0.3">
      <c r="A50" s="20" t="s">
        <v>1240</v>
      </c>
      <c r="B50" s="69">
        <f t="shared" si="0"/>
        <v>3.2</v>
      </c>
      <c r="D50" s="71"/>
      <c r="G50" s="72"/>
      <c r="H50" s="72"/>
    </row>
    <row r="51" spans="1:8" ht="14.25" customHeight="1" x14ac:dyDescent="0.3">
      <c r="A51" s="20" t="s">
        <v>1262</v>
      </c>
      <c r="B51" s="69">
        <f t="shared" si="0"/>
        <v>3.2</v>
      </c>
      <c r="D51" s="71"/>
      <c r="G51" s="72"/>
      <c r="H51" s="72"/>
    </row>
    <row r="52" spans="1:8" ht="14.25" customHeight="1" x14ac:dyDescent="0.3">
      <c r="A52" s="20" t="s">
        <v>96</v>
      </c>
      <c r="B52" s="69">
        <v>2.551400000000001</v>
      </c>
      <c r="D52" s="71"/>
      <c r="G52" s="72"/>
      <c r="H52" s="72"/>
    </row>
    <row r="53" spans="1:8" ht="14.25" customHeight="1" x14ac:dyDescent="0.3">
      <c r="A53" s="20" t="s">
        <v>97</v>
      </c>
      <c r="B53" s="69">
        <v>2.5500000000000007</v>
      </c>
      <c r="D53" s="71"/>
      <c r="G53" s="72"/>
      <c r="H53" s="72"/>
    </row>
    <row r="54" spans="1:8" ht="14.25" customHeight="1" x14ac:dyDescent="0.3">
      <c r="A54" s="20" t="s">
        <v>103</v>
      </c>
      <c r="B54" s="69">
        <v>2.5497999999999994</v>
      </c>
      <c r="D54" s="71"/>
      <c r="G54" s="72"/>
      <c r="H54" s="72"/>
    </row>
    <row r="55" spans="1:8" ht="14.25" customHeight="1" x14ac:dyDescent="0.3">
      <c r="A55" s="20" t="s">
        <v>102</v>
      </c>
      <c r="B55" s="69">
        <v>2.5508000000000006</v>
      </c>
      <c r="D55" s="71"/>
      <c r="G55" s="72"/>
      <c r="H55" s="72"/>
    </row>
    <row r="56" spans="1:8" ht="14.25" customHeight="1" x14ac:dyDescent="0.3">
      <c r="A56" s="20" t="s">
        <v>107</v>
      </c>
      <c r="B56" s="69">
        <v>2.5530000000000008</v>
      </c>
      <c r="D56" s="71"/>
      <c r="G56" s="72"/>
      <c r="H56" s="72"/>
    </row>
    <row r="57" spans="1:8" ht="14.25" customHeight="1" x14ac:dyDescent="0.3">
      <c r="A57" s="20" t="s">
        <v>108</v>
      </c>
      <c r="B57" s="69">
        <v>2.5564</v>
      </c>
      <c r="D57" s="71"/>
      <c r="G57" s="72"/>
      <c r="H57" s="72"/>
    </row>
    <row r="58" spans="1:8" ht="14.25" customHeight="1" x14ac:dyDescent="0.3">
      <c r="A58" s="20" t="s">
        <v>109</v>
      </c>
      <c r="B58" s="69">
        <v>2.5609999999999999</v>
      </c>
      <c r="D58" s="71"/>
      <c r="G58" s="72"/>
      <c r="H58" s="72"/>
    </row>
    <row r="59" spans="1:8" ht="14.25" customHeight="1" x14ac:dyDescent="0.3">
      <c r="A59" s="20" t="s">
        <v>106</v>
      </c>
      <c r="B59" s="69">
        <v>2.5668000000000006</v>
      </c>
      <c r="D59" s="71"/>
      <c r="G59" s="72"/>
      <c r="H59" s="72"/>
    </row>
    <row r="60" spans="1:8" ht="14.25" customHeight="1" x14ac:dyDescent="0.3">
      <c r="A60" s="20" t="s">
        <v>116</v>
      </c>
      <c r="B60" s="69">
        <v>2.5738000000000003</v>
      </c>
      <c r="D60" s="71"/>
      <c r="G60" s="72"/>
      <c r="H60" s="72"/>
    </row>
    <row r="61" spans="1:8" ht="14.25" customHeight="1" x14ac:dyDescent="0.3">
      <c r="A61" s="20" t="s">
        <v>105</v>
      </c>
      <c r="B61" s="69">
        <v>2.5820000000000007</v>
      </c>
      <c r="D61" s="71"/>
      <c r="G61" s="72"/>
      <c r="H61" s="72"/>
    </row>
    <row r="62" spans="1:8" ht="14.25" customHeight="1" x14ac:dyDescent="0.3">
      <c r="A62" s="20" t="s">
        <v>111</v>
      </c>
      <c r="B62" s="69">
        <v>2.5914000000000001</v>
      </c>
      <c r="D62" s="71"/>
      <c r="G62" s="72"/>
      <c r="H62" s="72"/>
    </row>
    <row r="63" spans="1:8" ht="14.25" customHeight="1" x14ac:dyDescent="0.3">
      <c r="A63" s="20" t="s">
        <v>127</v>
      </c>
      <c r="B63" s="69">
        <v>2.6020000000000003</v>
      </c>
      <c r="D63" s="71"/>
      <c r="G63" s="72"/>
      <c r="H63" s="72"/>
    </row>
    <row r="64" spans="1:8" ht="14.25" customHeight="1" x14ac:dyDescent="0.3">
      <c r="A64" s="20" t="s">
        <v>117</v>
      </c>
      <c r="B64" s="69">
        <v>2.6137999999999995</v>
      </c>
      <c r="D64" s="71"/>
      <c r="G64" s="72"/>
      <c r="H64" s="72"/>
    </row>
    <row r="65" spans="1:8" ht="14.25" customHeight="1" x14ac:dyDescent="0.3">
      <c r="A65" s="20" t="s">
        <v>121</v>
      </c>
      <c r="B65" s="69">
        <v>2.6268000000000011</v>
      </c>
      <c r="D65" s="71"/>
      <c r="G65" s="72"/>
      <c r="H65" s="72"/>
    </row>
    <row r="66" spans="1:8" ht="14.25" customHeight="1" x14ac:dyDescent="0.3">
      <c r="A66" s="20" t="s">
        <v>118</v>
      </c>
      <c r="B66" s="69">
        <v>2.641</v>
      </c>
      <c r="D66" s="71"/>
      <c r="G66" s="72"/>
      <c r="H66" s="72"/>
    </row>
    <row r="67" spans="1:8" ht="14.25" customHeight="1" x14ac:dyDescent="0.3">
      <c r="A67" s="20" t="s">
        <v>115</v>
      </c>
      <c r="B67" s="69">
        <v>2.6563999999999997</v>
      </c>
      <c r="D67" s="71"/>
      <c r="G67" s="72"/>
      <c r="H67" s="72"/>
    </row>
    <row r="68" spans="1:8" ht="14.25" customHeight="1" x14ac:dyDescent="0.3">
      <c r="A68" s="20" t="s">
        <v>112</v>
      </c>
      <c r="B68" s="69">
        <v>2.673</v>
      </c>
      <c r="D68" s="71"/>
      <c r="G68" s="72"/>
      <c r="H68" s="72"/>
    </row>
    <row r="69" spans="1:8" ht="14.25" customHeight="1" x14ac:dyDescent="0.3">
      <c r="A69" s="20" t="s">
        <v>125</v>
      </c>
      <c r="B69" s="69">
        <v>2.6907999999999994</v>
      </c>
      <c r="D69" s="71"/>
      <c r="G69" s="72"/>
      <c r="H69" s="72"/>
    </row>
    <row r="70" spans="1:8" ht="14.25" customHeight="1" x14ac:dyDescent="0.3">
      <c r="A70" s="20" t="s">
        <v>132</v>
      </c>
      <c r="B70" s="69">
        <v>2.7097999999999995</v>
      </c>
      <c r="D70" s="71"/>
      <c r="G70" s="72"/>
      <c r="H70" s="72"/>
    </row>
    <row r="71" spans="1:8" ht="14.25" customHeight="1" x14ac:dyDescent="0.3">
      <c r="A71" s="20" t="s">
        <v>130</v>
      </c>
      <c r="B71" s="69">
        <v>2.7300000000000004</v>
      </c>
      <c r="D71" s="71"/>
      <c r="G71" s="72"/>
      <c r="H71" s="72"/>
    </row>
    <row r="72" spans="1:8" ht="14.25" customHeight="1" x14ac:dyDescent="0.3">
      <c r="A72" s="20" t="s">
        <v>131</v>
      </c>
      <c r="B72" s="69">
        <v>2.7514000000000003</v>
      </c>
      <c r="D72" s="71"/>
      <c r="G72" s="72"/>
      <c r="H72" s="72"/>
    </row>
    <row r="73" spans="1:8" ht="14.25" customHeight="1" x14ac:dyDescent="0.3">
      <c r="A73" s="20" t="s">
        <v>134</v>
      </c>
      <c r="B73" s="69">
        <v>2.7740000000000009</v>
      </c>
      <c r="D73" s="71"/>
      <c r="G73" s="72"/>
      <c r="H73" s="72"/>
    </row>
    <row r="74" spans="1:8" ht="14.25" customHeight="1" x14ac:dyDescent="0.3">
      <c r="A74" s="20" t="s">
        <v>140</v>
      </c>
      <c r="B74" s="69">
        <v>2.7978000000000005</v>
      </c>
      <c r="D74" s="71"/>
      <c r="G74" s="72"/>
      <c r="H74" s="72"/>
    </row>
    <row r="75" spans="1:8" ht="14.25" customHeight="1" x14ac:dyDescent="0.3">
      <c r="A75" s="20" t="s">
        <v>136</v>
      </c>
      <c r="B75" s="69">
        <v>2.8228000000000009</v>
      </c>
      <c r="D75" s="71"/>
      <c r="G75" s="72"/>
      <c r="H75" s="72"/>
    </row>
    <row r="76" spans="1:8" ht="14.25" customHeight="1" x14ac:dyDescent="0.3">
      <c r="A76" s="20" t="s">
        <v>144</v>
      </c>
      <c r="B76" s="69">
        <v>2.8490000000000002</v>
      </c>
      <c r="D76" s="71"/>
      <c r="G76" s="72"/>
      <c r="H76" s="72"/>
    </row>
    <row r="77" spans="1:8" ht="14.25" customHeight="1" x14ac:dyDescent="0.3">
      <c r="A77" s="20" t="s">
        <v>135</v>
      </c>
      <c r="B77" s="69">
        <v>2.8764000000000003</v>
      </c>
      <c r="D77" s="71"/>
      <c r="G77" s="72"/>
      <c r="H77" s="72"/>
    </row>
    <row r="78" spans="1:8" ht="14.25" customHeight="1" x14ac:dyDescent="0.3">
      <c r="A78" s="20" t="s">
        <v>141</v>
      </c>
      <c r="B78" s="69">
        <v>2.9050000000000011</v>
      </c>
      <c r="D78" s="71"/>
      <c r="G78" s="72"/>
      <c r="H78" s="72"/>
    </row>
    <row r="79" spans="1:8" ht="14.25" customHeight="1" x14ac:dyDescent="0.3">
      <c r="A79" s="20" t="s">
        <v>147</v>
      </c>
      <c r="B79" s="69">
        <v>2.934800000000001</v>
      </c>
      <c r="D79" s="71"/>
      <c r="G79" s="72"/>
      <c r="H79" s="72"/>
    </row>
    <row r="80" spans="1:8" ht="14.25" customHeight="1" x14ac:dyDescent="0.3">
      <c r="A80" s="20" t="s">
        <v>145</v>
      </c>
      <c r="B80" s="69">
        <v>2.9657999999999998</v>
      </c>
      <c r="D80" s="71"/>
      <c r="G80" s="72"/>
      <c r="H80" s="72"/>
    </row>
    <row r="81" spans="1:8" ht="14.25" customHeight="1" x14ac:dyDescent="0.3">
      <c r="A81" s="20" t="s">
        <v>149</v>
      </c>
      <c r="B81" s="69">
        <v>2.9980000000000011</v>
      </c>
      <c r="D81" s="71"/>
      <c r="G81" s="72"/>
      <c r="H81" s="72"/>
    </row>
    <row r="82" spans="1:8" ht="14.25" customHeight="1" x14ac:dyDescent="0.3">
      <c r="A82" s="20" t="s">
        <v>160</v>
      </c>
      <c r="B82" s="69">
        <v>3.0313999999999997</v>
      </c>
      <c r="D82" s="71"/>
      <c r="G82" s="72"/>
      <c r="H82" s="72"/>
    </row>
    <row r="83" spans="1:8" ht="14.25" customHeight="1" x14ac:dyDescent="0.3">
      <c r="A83" s="20" t="s">
        <v>148</v>
      </c>
      <c r="B83" s="69">
        <v>3.0660000000000007</v>
      </c>
      <c r="D83" s="71"/>
      <c r="G83" s="72"/>
      <c r="H83" s="72"/>
    </row>
    <row r="84" spans="1:8" ht="14.25" customHeight="1" x14ac:dyDescent="0.3">
      <c r="A84" s="20" t="s">
        <v>178</v>
      </c>
      <c r="B84" s="69">
        <v>3.1018000000000008</v>
      </c>
      <c r="D84" s="71"/>
      <c r="G84" s="72"/>
      <c r="H84" s="72"/>
    </row>
    <row r="85" spans="1:8" ht="14.25" customHeight="1" x14ac:dyDescent="0.3">
      <c r="A85" s="20" t="s">
        <v>152</v>
      </c>
      <c r="B85" s="69">
        <v>3.1387999999999998</v>
      </c>
      <c r="D85" s="71"/>
      <c r="G85" s="72"/>
      <c r="H85" s="72"/>
    </row>
    <row r="86" spans="1:8" ht="14.25" customHeight="1" x14ac:dyDescent="0.3">
      <c r="A86" s="20" t="s">
        <v>165</v>
      </c>
      <c r="B86" s="69">
        <v>3.1769999999999996</v>
      </c>
      <c r="D86" s="71"/>
      <c r="G86" s="72"/>
      <c r="H86" s="72"/>
    </row>
    <row r="87" spans="1:8" ht="14.25" customHeight="1" x14ac:dyDescent="0.3">
      <c r="A87" s="20" t="s">
        <v>169</v>
      </c>
      <c r="B87" s="69">
        <v>3.2164000000000001</v>
      </c>
      <c r="D87" s="71"/>
      <c r="G87" s="72"/>
      <c r="H87" s="72"/>
    </row>
    <row r="88" spans="1:8" ht="14.25" customHeight="1" x14ac:dyDescent="0.3">
      <c r="A88" s="20" t="s">
        <v>175</v>
      </c>
      <c r="B88" s="69">
        <v>3.2569999999999997</v>
      </c>
      <c r="D88" s="71"/>
      <c r="G88" s="72"/>
      <c r="H88" s="72"/>
    </row>
    <row r="89" spans="1:8" ht="14.25" customHeight="1" x14ac:dyDescent="0.3">
      <c r="A89" s="20" t="s">
        <v>166</v>
      </c>
      <c r="B89" s="69">
        <v>3.2988</v>
      </c>
      <c r="D89" s="71"/>
      <c r="G89" s="72"/>
      <c r="H89" s="72"/>
    </row>
    <row r="90" spans="1:8" ht="14.25" customHeight="1" x14ac:dyDescent="0.3">
      <c r="A90" s="20" t="s">
        <v>162</v>
      </c>
      <c r="B90" s="69">
        <v>3.341800000000001</v>
      </c>
      <c r="D90" s="71"/>
      <c r="G90" s="72"/>
      <c r="H90" s="72"/>
    </row>
    <row r="91" spans="1:8" ht="14.25" customHeight="1" x14ac:dyDescent="0.3">
      <c r="A91" s="20" t="s">
        <v>163</v>
      </c>
      <c r="B91" s="69">
        <v>3.386000000000001</v>
      </c>
      <c r="D91" s="71"/>
      <c r="G91" s="72"/>
      <c r="H91" s="72"/>
    </row>
    <row r="92" spans="1:8" ht="14.25" customHeight="1" x14ac:dyDescent="0.3">
      <c r="A92" s="20" t="s">
        <v>173</v>
      </c>
      <c r="B92" s="69">
        <v>3.4314</v>
      </c>
      <c r="D92" s="71"/>
      <c r="G92" s="72"/>
      <c r="H92" s="72"/>
    </row>
    <row r="93" spans="1:8" ht="14.25" customHeight="1" x14ac:dyDescent="0.3">
      <c r="A93" s="20" t="s">
        <v>167</v>
      </c>
      <c r="B93" s="69">
        <v>3.4779999999999998</v>
      </c>
      <c r="D93" s="71"/>
      <c r="G93" s="72"/>
      <c r="H93" s="72"/>
    </row>
    <row r="94" spans="1:8" ht="14.25" customHeight="1" x14ac:dyDescent="0.3">
      <c r="A94" s="20" t="s">
        <v>199</v>
      </c>
      <c r="B94" s="69">
        <v>3.5258000000000003</v>
      </c>
      <c r="D94" s="71"/>
      <c r="G94" s="72"/>
      <c r="H94" s="72"/>
    </row>
    <row r="95" spans="1:8" ht="14.25" customHeight="1" x14ac:dyDescent="0.3">
      <c r="A95" s="20" t="s">
        <v>211</v>
      </c>
      <c r="B95" s="69">
        <v>3.5747999999999998</v>
      </c>
      <c r="D95" s="71"/>
      <c r="G95" s="72"/>
      <c r="H95" s="72"/>
    </row>
    <row r="96" spans="1:8" ht="14.25" customHeight="1" x14ac:dyDescent="0.3">
      <c r="A96" s="20" t="s">
        <v>190</v>
      </c>
      <c r="B96" s="69">
        <v>3.625</v>
      </c>
      <c r="D96" s="71"/>
      <c r="G96" s="72"/>
      <c r="H96" s="72"/>
    </row>
    <row r="97" spans="1:8" ht="14.25" customHeight="1" x14ac:dyDescent="0.3">
      <c r="A97" s="20" t="s">
        <v>187</v>
      </c>
      <c r="B97" s="69">
        <v>3.676400000000001</v>
      </c>
      <c r="D97" s="71"/>
      <c r="G97" s="72"/>
      <c r="H97" s="72"/>
    </row>
    <row r="98" spans="1:8" ht="14.25" customHeight="1" x14ac:dyDescent="0.3">
      <c r="A98" s="20" t="s">
        <v>224</v>
      </c>
      <c r="B98" s="69">
        <v>3.7289999999999992</v>
      </c>
      <c r="D98" s="71"/>
      <c r="G98" s="72"/>
      <c r="H98" s="72"/>
    </row>
    <row r="99" spans="1:8" ht="14.25" customHeight="1" x14ac:dyDescent="0.3">
      <c r="A99" s="20" t="s">
        <v>204</v>
      </c>
      <c r="B99" s="69">
        <v>3.7827999999999999</v>
      </c>
      <c r="D99" s="71"/>
      <c r="G99" s="72"/>
      <c r="H99" s="72"/>
    </row>
    <row r="100" spans="1:8" ht="14.25" customHeight="1" x14ac:dyDescent="0.3">
      <c r="A100" s="20" t="s">
        <v>215</v>
      </c>
      <c r="B100" s="69">
        <v>3.8377999999999997</v>
      </c>
      <c r="D100" s="71"/>
      <c r="G100" s="72"/>
      <c r="H100" s="72"/>
    </row>
    <row r="101" spans="1:8" ht="14.25" customHeight="1" x14ac:dyDescent="0.3">
      <c r="A101" s="20" t="s">
        <v>191</v>
      </c>
      <c r="B101" s="69">
        <v>3.8940000000000001</v>
      </c>
      <c r="D101" s="71"/>
      <c r="G101" s="72"/>
      <c r="H101" s="72"/>
    </row>
    <row r="102" spans="1:8" ht="14.25" customHeight="1" x14ac:dyDescent="0.3">
      <c r="A102" s="20" t="s">
        <v>236</v>
      </c>
      <c r="B102" s="69">
        <v>3.9513999999999996</v>
      </c>
      <c r="D102" s="71"/>
      <c r="G102" s="72"/>
      <c r="H102" s="72"/>
    </row>
    <row r="103" spans="1:8" ht="14.25" customHeight="1" x14ac:dyDescent="0.3">
      <c r="A103" s="20" t="s">
        <v>247</v>
      </c>
      <c r="B103" s="69">
        <v>4</v>
      </c>
      <c r="D103" s="71"/>
      <c r="G103" s="72"/>
      <c r="H103" s="72"/>
    </row>
    <row r="104" spans="1:8" ht="14.25" customHeight="1" x14ac:dyDescent="0.3">
      <c r="A104" s="20" t="s">
        <v>233</v>
      </c>
      <c r="B104" s="69">
        <v>4</v>
      </c>
      <c r="D104" s="71"/>
      <c r="G104" s="72"/>
      <c r="H104" s="72"/>
    </row>
    <row r="105" spans="1:8" ht="14.25" customHeight="1" x14ac:dyDescent="0.3">
      <c r="A105" s="20" t="s">
        <v>250</v>
      </c>
      <c r="B105" s="69">
        <v>4</v>
      </c>
      <c r="D105" s="71"/>
      <c r="G105" s="72"/>
      <c r="H105" s="72"/>
    </row>
    <row r="106" spans="1:8" ht="14.25" customHeight="1" x14ac:dyDescent="0.3">
      <c r="A106" s="20" t="s">
        <v>234</v>
      </c>
      <c r="B106" s="69">
        <v>4</v>
      </c>
      <c r="D106" s="71"/>
      <c r="G106" s="72"/>
      <c r="H106" s="72"/>
    </row>
    <row r="107" spans="1:8" ht="14.25" customHeight="1" x14ac:dyDescent="0.3">
      <c r="A107" s="20" t="s">
        <v>249</v>
      </c>
      <c r="B107" s="69">
        <v>4</v>
      </c>
      <c r="D107" s="71"/>
      <c r="G107" s="72"/>
      <c r="H107" s="72"/>
    </row>
    <row r="108" spans="1:8" ht="14.25" customHeight="1" x14ac:dyDescent="0.3">
      <c r="A108" s="20" t="s">
        <v>296</v>
      </c>
      <c r="B108" s="69">
        <v>4</v>
      </c>
      <c r="D108" s="71"/>
      <c r="G108" s="72"/>
      <c r="H108" s="72"/>
    </row>
    <row r="109" spans="1:8" ht="14.25" customHeight="1" x14ac:dyDescent="0.3">
      <c r="A109" s="20" t="s">
        <v>318</v>
      </c>
      <c r="B109" s="69">
        <v>4</v>
      </c>
      <c r="D109" s="71"/>
      <c r="G109" s="72"/>
      <c r="H109" s="72"/>
    </row>
    <row r="110" spans="1:8" ht="14.25" customHeight="1" x14ac:dyDescent="0.3">
      <c r="A110" s="20" t="s">
        <v>238</v>
      </c>
      <c r="B110" s="69">
        <v>4</v>
      </c>
      <c r="D110" s="71"/>
      <c r="G110" s="72"/>
      <c r="H110" s="72"/>
    </row>
    <row r="111" spans="1:8" ht="14.25" customHeight="1" x14ac:dyDescent="0.3">
      <c r="A111" s="20" t="s">
        <v>321</v>
      </c>
      <c r="B111" s="69">
        <v>4</v>
      </c>
      <c r="D111" s="71"/>
      <c r="G111" s="72"/>
      <c r="H111" s="72"/>
    </row>
    <row r="112" spans="1:8" ht="14.25" customHeight="1" x14ac:dyDescent="0.3">
      <c r="A112" s="20" t="s">
        <v>292</v>
      </c>
      <c r="B112" s="69">
        <v>4</v>
      </c>
      <c r="D112" s="71"/>
      <c r="G112" s="72"/>
      <c r="H112" s="72"/>
    </row>
    <row r="113" spans="1:8" ht="14.25" customHeight="1" x14ac:dyDescent="0.3">
      <c r="A113" s="20" t="s">
        <v>266</v>
      </c>
      <c r="B113" s="69">
        <v>4</v>
      </c>
      <c r="D113" s="71"/>
      <c r="G113" s="72"/>
      <c r="H113" s="72"/>
    </row>
    <row r="114" spans="1:8" ht="14.25" customHeight="1" x14ac:dyDescent="0.3">
      <c r="A114" s="20" t="s">
        <v>265</v>
      </c>
      <c r="B114" s="69">
        <v>4</v>
      </c>
      <c r="D114" s="71"/>
      <c r="G114" s="72"/>
      <c r="H114" s="72"/>
    </row>
    <row r="115" spans="1:8" ht="14.25" customHeight="1" x14ac:dyDescent="0.3">
      <c r="A115" s="20" t="s">
        <v>295</v>
      </c>
      <c r="B115" s="69">
        <v>4</v>
      </c>
      <c r="D115" s="71"/>
      <c r="G115" s="72"/>
      <c r="H115" s="72"/>
    </row>
    <row r="116" spans="1:8" ht="14.25" customHeight="1" x14ac:dyDescent="0.3">
      <c r="A116" s="20" t="s">
        <v>300</v>
      </c>
      <c r="B116" s="69">
        <v>4</v>
      </c>
      <c r="D116" s="71"/>
      <c r="G116" s="72"/>
      <c r="H116" s="72"/>
    </row>
    <row r="117" spans="1:8" ht="14.25" customHeight="1" x14ac:dyDescent="0.3">
      <c r="A117" s="20" t="s">
        <v>304</v>
      </c>
      <c r="B117" s="69">
        <v>4</v>
      </c>
      <c r="D117" s="71"/>
      <c r="G117" s="72"/>
      <c r="H117" s="72"/>
    </row>
    <row r="118" spans="1:8" ht="14.25" customHeight="1" x14ac:dyDescent="0.3">
      <c r="A118" s="20" t="s">
        <v>307</v>
      </c>
      <c r="B118" s="69">
        <v>4</v>
      </c>
      <c r="D118" s="71"/>
      <c r="G118" s="72"/>
      <c r="H118" s="72"/>
    </row>
    <row r="119" spans="1:8" ht="14.25" customHeight="1" x14ac:dyDescent="0.3">
      <c r="A119" s="20" t="s">
        <v>320</v>
      </c>
      <c r="B119" s="69">
        <v>4</v>
      </c>
      <c r="D119" s="71"/>
      <c r="G119" s="72"/>
      <c r="H119" s="72"/>
    </row>
    <row r="120" spans="1:8" ht="14.25" customHeight="1" x14ac:dyDescent="0.3">
      <c r="A120" s="20" t="s">
        <v>327</v>
      </c>
      <c r="B120" s="69">
        <v>4</v>
      </c>
      <c r="D120" s="71"/>
      <c r="G120" s="72"/>
      <c r="H120" s="72"/>
    </row>
    <row r="121" spans="1:8" ht="14.25" customHeight="1" x14ac:dyDescent="0.3">
      <c r="A121" s="20" t="s">
        <v>252</v>
      </c>
      <c r="B121" s="69">
        <v>4</v>
      </c>
      <c r="D121" s="71"/>
      <c r="G121" s="72"/>
      <c r="H121" s="72"/>
    </row>
    <row r="122" spans="1:8" ht="14.25" customHeight="1" x14ac:dyDescent="0.3">
      <c r="A122" s="20" t="s">
        <v>279</v>
      </c>
      <c r="B122" s="69">
        <v>4</v>
      </c>
      <c r="D122" s="71"/>
      <c r="G122" s="72"/>
      <c r="H122" s="72"/>
    </row>
    <row r="123" spans="1:8" ht="14.25" customHeight="1" x14ac:dyDescent="0.3">
      <c r="A123" s="20" t="s">
        <v>324</v>
      </c>
      <c r="B123" s="69">
        <v>4</v>
      </c>
      <c r="D123" s="71"/>
      <c r="G123" s="72"/>
      <c r="H123" s="72"/>
    </row>
    <row r="124" spans="1:8" ht="14.25" customHeight="1" x14ac:dyDescent="0.3">
      <c r="A124" s="20" t="s">
        <v>267</v>
      </c>
      <c r="B124" s="69">
        <v>4</v>
      </c>
      <c r="D124" s="71"/>
      <c r="G124" s="72"/>
      <c r="H124" s="72"/>
    </row>
    <row r="125" spans="1:8" ht="14.25" customHeight="1" x14ac:dyDescent="0.3">
      <c r="A125" s="20" t="s">
        <v>219</v>
      </c>
      <c r="B125" s="69">
        <v>4</v>
      </c>
      <c r="D125" s="71"/>
      <c r="G125" s="72"/>
      <c r="H125" s="72"/>
    </row>
    <row r="126" spans="1:8" ht="14.25" customHeight="1" x14ac:dyDescent="0.3">
      <c r="A126" s="20" t="s">
        <v>303</v>
      </c>
      <c r="B126" s="69">
        <v>4</v>
      </c>
      <c r="D126" s="71"/>
      <c r="G126" s="72"/>
      <c r="H126" s="72"/>
    </row>
    <row r="127" spans="1:8" ht="14.25" customHeight="1" x14ac:dyDescent="0.3">
      <c r="A127" s="20" t="s">
        <v>306</v>
      </c>
      <c r="B127" s="69">
        <v>4</v>
      </c>
      <c r="D127" s="71"/>
      <c r="G127" s="72"/>
      <c r="H127" s="72"/>
    </row>
    <row r="128" spans="1:8" ht="14.25" customHeight="1" x14ac:dyDescent="0.3">
      <c r="A128" s="20" t="s">
        <v>286</v>
      </c>
      <c r="B128" s="69">
        <v>4</v>
      </c>
      <c r="D128" s="71"/>
      <c r="G128" s="72"/>
      <c r="H128" s="72"/>
    </row>
    <row r="129" spans="1:8" ht="14.25" customHeight="1" x14ac:dyDescent="0.3">
      <c r="A129" s="20" t="s">
        <v>328</v>
      </c>
      <c r="B129" s="69">
        <v>4</v>
      </c>
      <c r="D129" s="71"/>
      <c r="G129" s="72"/>
      <c r="H129" s="72"/>
    </row>
    <row r="130" spans="1:8" ht="14.25" customHeight="1" x14ac:dyDescent="0.3">
      <c r="A130" s="20" t="s">
        <v>277</v>
      </c>
      <c r="B130" s="69">
        <v>4</v>
      </c>
      <c r="D130" s="71"/>
      <c r="G130" s="72"/>
      <c r="H130" s="72"/>
    </row>
    <row r="131" spans="1:8" ht="14.25" customHeight="1" x14ac:dyDescent="0.3">
      <c r="A131" s="20" t="s">
        <v>323</v>
      </c>
      <c r="B131" s="69">
        <v>4</v>
      </c>
      <c r="D131" s="71"/>
      <c r="G131" s="72"/>
      <c r="H131" s="72"/>
    </row>
    <row r="132" spans="1:8" ht="14.25" customHeight="1" x14ac:dyDescent="0.3">
      <c r="A132" s="20" t="s">
        <v>329</v>
      </c>
      <c r="B132" s="69">
        <f t="shared" ref="B132:B171" si="1">B131</f>
        <v>4</v>
      </c>
      <c r="D132" s="71"/>
      <c r="G132" s="72"/>
      <c r="H132" s="72"/>
    </row>
    <row r="133" spans="1:8" ht="14.25" customHeight="1" x14ac:dyDescent="0.3">
      <c r="A133" s="20" t="s">
        <v>342</v>
      </c>
      <c r="B133" s="69">
        <f t="shared" si="1"/>
        <v>4</v>
      </c>
      <c r="D133" s="71"/>
      <c r="G133" s="72"/>
      <c r="H133" s="72"/>
    </row>
    <row r="134" spans="1:8" ht="14.25" customHeight="1" x14ac:dyDescent="0.3">
      <c r="A134" s="20" t="s">
        <v>241</v>
      </c>
      <c r="B134" s="69">
        <f t="shared" si="1"/>
        <v>4</v>
      </c>
      <c r="D134" s="71"/>
      <c r="G134" s="72"/>
      <c r="H134" s="72"/>
    </row>
    <row r="135" spans="1:8" ht="14.25" customHeight="1" x14ac:dyDescent="0.3">
      <c r="A135" s="20" t="s">
        <v>282</v>
      </c>
      <c r="B135" s="69">
        <f t="shared" si="1"/>
        <v>4</v>
      </c>
      <c r="D135" s="71"/>
      <c r="G135" s="72"/>
      <c r="H135" s="72"/>
    </row>
    <row r="136" spans="1:8" ht="14.25" customHeight="1" x14ac:dyDescent="0.3">
      <c r="A136" s="20" t="s">
        <v>333</v>
      </c>
      <c r="B136" s="69">
        <f t="shared" si="1"/>
        <v>4</v>
      </c>
      <c r="D136" s="71"/>
      <c r="G136" s="72"/>
      <c r="H136" s="72"/>
    </row>
    <row r="137" spans="1:8" ht="14.25" customHeight="1" x14ac:dyDescent="0.3">
      <c r="A137" s="20" t="s">
        <v>331</v>
      </c>
      <c r="B137" s="69">
        <f t="shared" si="1"/>
        <v>4</v>
      </c>
      <c r="D137" s="71"/>
      <c r="G137" s="72"/>
      <c r="H137" s="72"/>
    </row>
    <row r="138" spans="1:8" ht="14.25" customHeight="1" x14ac:dyDescent="0.3">
      <c r="A138" s="20" t="s">
        <v>332</v>
      </c>
      <c r="B138" s="69">
        <f t="shared" si="1"/>
        <v>4</v>
      </c>
      <c r="D138" s="71"/>
      <c r="G138" s="72"/>
      <c r="H138" s="72"/>
    </row>
    <row r="139" spans="1:8" ht="14.25" customHeight="1" x14ac:dyDescent="0.3">
      <c r="A139" s="20" t="s">
        <v>287</v>
      </c>
      <c r="B139" s="69">
        <f t="shared" si="1"/>
        <v>4</v>
      </c>
      <c r="D139" s="71"/>
      <c r="G139" s="72"/>
      <c r="H139" s="72"/>
    </row>
    <row r="140" spans="1:8" ht="14.25" customHeight="1" x14ac:dyDescent="0.3">
      <c r="A140" s="20" t="s">
        <v>343</v>
      </c>
      <c r="B140" s="69">
        <f t="shared" si="1"/>
        <v>4</v>
      </c>
      <c r="D140" s="71"/>
      <c r="G140" s="72"/>
      <c r="H140" s="72"/>
    </row>
    <row r="141" spans="1:8" ht="14.25" customHeight="1" x14ac:dyDescent="0.3">
      <c r="A141" s="20" t="s">
        <v>339</v>
      </c>
      <c r="B141" s="69">
        <f t="shared" si="1"/>
        <v>4</v>
      </c>
      <c r="D141" s="71"/>
      <c r="G141" s="72"/>
      <c r="H141" s="72"/>
    </row>
    <row r="142" spans="1:8" ht="14.25" customHeight="1" x14ac:dyDescent="0.3">
      <c r="A142" s="20" t="s">
        <v>341</v>
      </c>
      <c r="B142" s="69">
        <f t="shared" si="1"/>
        <v>4</v>
      </c>
      <c r="D142" s="71"/>
      <c r="G142" s="72"/>
      <c r="H142" s="72"/>
    </row>
    <row r="143" spans="1:8" ht="14.25" customHeight="1" x14ac:dyDescent="0.3">
      <c r="A143" s="20" t="s">
        <v>336</v>
      </c>
      <c r="B143" s="69">
        <f t="shared" si="1"/>
        <v>4</v>
      </c>
      <c r="D143" s="71"/>
      <c r="G143" s="72"/>
      <c r="H143" s="72"/>
    </row>
    <row r="144" spans="1:8" ht="14.25" customHeight="1" x14ac:dyDescent="0.3">
      <c r="A144" s="20" t="s">
        <v>340</v>
      </c>
      <c r="B144" s="69">
        <f t="shared" si="1"/>
        <v>4</v>
      </c>
      <c r="D144" s="71"/>
      <c r="G144" s="72"/>
      <c r="H144" s="72"/>
    </row>
    <row r="145" spans="1:8" ht="14.25" customHeight="1" x14ac:dyDescent="0.3">
      <c r="A145" s="20" t="s">
        <v>344</v>
      </c>
      <c r="B145" s="69">
        <f t="shared" si="1"/>
        <v>4</v>
      </c>
      <c r="D145" s="71"/>
      <c r="G145" s="72"/>
      <c r="H145" s="72"/>
    </row>
    <row r="146" spans="1:8" ht="14.25" customHeight="1" x14ac:dyDescent="0.3">
      <c r="A146" s="20" t="s">
        <v>334</v>
      </c>
      <c r="B146" s="69">
        <f t="shared" si="1"/>
        <v>4</v>
      </c>
      <c r="D146" s="71"/>
      <c r="G146" s="72"/>
      <c r="H146" s="72"/>
    </row>
    <row r="147" spans="1:8" ht="14.25" customHeight="1" x14ac:dyDescent="0.3">
      <c r="A147" s="20" t="s">
        <v>345</v>
      </c>
      <c r="B147" s="69">
        <f t="shared" si="1"/>
        <v>4</v>
      </c>
      <c r="D147" s="71"/>
      <c r="G147" s="72"/>
      <c r="H147" s="72"/>
    </row>
    <row r="148" spans="1:8" ht="14.25" customHeight="1" x14ac:dyDescent="0.3">
      <c r="A148" s="20" t="s">
        <v>337</v>
      </c>
      <c r="B148" s="69">
        <f t="shared" si="1"/>
        <v>4</v>
      </c>
      <c r="D148" s="71"/>
      <c r="G148" s="72"/>
      <c r="H148" s="72"/>
    </row>
    <row r="149" spans="1:8" ht="14.25" customHeight="1" x14ac:dyDescent="0.3">
      <c r="A149" s="20" t="s">
        <v>338</v>
      </c>
      <c r="B149" s="69">
        <f t="shared" si="1"/>
        <v>4</v>
      </c>
      <c r="D149" s="71"/>
      <c r="G149" s="72"/>
      <c r="H149" s="72"/>
    </row>
    <row r="150" spans="1:8" ht="14.25" customHeight="1" x14ac:dyDescent="0.3">
      <c r="A150" s="20" t="s">
        <v>346</v>
      </c>
      <c r="B150" s="69">
        <f t="shared" si="1"/>
        <v>4</v>
      </c>
      <c r="D150" s="71"/>
      <c r="G150" s="72"/>
      <c r="H150" s="72"/>
    </row>
    <row r="151" spans="1:8" ht="14.25" customHeight="1" x14ac:dyDescent="0.3">
      <c r="A151" s="20" t="s">
        <v>347</v>
      </c>
      <c r="B151" s="69">
        <f t="shared" si="1"/>
        <v>4</v>
      </c>
      <c r="D151" s="71"/>
      <c r="G151" s="72"/>
      <c r="H151" s="72"/>
    </row>
    <row r="152" spans="1:8" ht="14.25" customHeight="1" x14ac:dyDescent="0.3">
      <c r="A152" s="20" t="s">
        <v>1147</v>
      </c>
      <c r="B152" s="69">
        <f t="shared" si="1"/>
        <v>4</v>
      </c>
      <c r="D152" s="71"/>
      <c r="G152" s="72"/>
      <c r="H152" s="72"/>
    </row>
    <row r="153" spans="1:8" ht="14.25" customHeight="1" x14ac:dyDescent="0.3">
      <c r="A153" s="20" t="s">
        <v>1156</v>
      </c>
      <c r="B153" s="69">
        <f t="shared" si="1"/>
        <v>4</v>
      </c>
      <c r="D153" s="71"/>
      <c r="G153" s="72"/>
      <c r="H153" s="72"/>
    </row>
    <row r="154" spans="1:8" ht="14.25" customHeight="1" x14ac:dyDescent="0.3">
      <c r="A154" s="20" t="s">
        <v>1159</v>
      </c>
      <c r="B154" s="69">
        <f t="shared" si="1"/>
        <v>4</v>
      </c>
      <c r="D154" s="71"/>
      <c r="G154" s="72"/>
      <c r="H154" s="72"/>
    </row>
    <row r="155" spans="1:8" ht="14.25" customHeight="1" x14ac:dyDescent="0.3">
      <c r="A155" s="20" t="s">
        <v>1160</v>
      </c>
      <c r="B155" s="69">
        <f t="shared" si="1"/>
        <v>4</v>
      </c>
      <c r="D155" s="71"/>
      <c r="G155" s="72"/>
      <c r="H155" s="72"/>
    </row>
    <row r="156" spans="1:8" ht="14.25" customHeight="1" x14ac:dyDescent="0.3">
      <c r="A156" s="20" t="s">
        <v>1172</v>
      </c>
      <c r="B156" s="69">
        <f t="shared" si="1"/>
        <v>4</v>
      </c>
      <c r="D156" s="71"/>
      <c r="G156" s="72"/>
      <c r="H156" s="72"/>
    </row>
    <row r="157" spans="1:8" ht="14.25" customHeight="1" x14ac:dyDescent="0.3">
      <c r="A157" s="20" t="s">
        <v>1175</v>
      </c>
      <c r="B157" s="69">
        <f t="shared" si="1"/>
        <v>4</v>
      </c>
      <c r="D157" s="71"/>
      <c r="G157" s="72"/>
      <c r="H157" s="72"/>
    </row>
    <row r="158" spans="1:8" ht="14.25" customHeight="1" x14ac:dyDescent="0.3">
      <c r="A158" s="20" t="s">
        <v>1182</v>
      </c>
      <c r="B158" s="69">
        <f t="shared" si="1"/>
        <v>4</v>
      </c>
      <c r="D158" s="71"/>
      <c r="G158" s="72"/>
      <c r="H158" s="72"/>
    </row>
    <row r="159" spans="1:8" ht="14.25" customHeight="1" x14ac:dyDescent="0.3">
      <c r="A159" s="20" t="s">
        <v>1183</v>
      </c>
      <c r="B159" s="69">
        <f t="shared" si="1"/>
        <v>4</v>
      </c>
      <c r="D159" s="71"/>
      <c r="G159" s="72"/>
      <c r="H159" s="72"/>
    </row>
    <row r="160" spans="1:8" ht="14.25" customHeight="1" x14ac:dyDescent="0.3">
      <c r="A160" s="20" t="s">
        <v>1186</v>
      </c>
      <c r="B160" s="69">
        <f t="shared" si="1"/>
        <v>4</v>
      </c>
      <c r="D160" s="71"/>
      <c r="G160" s="72"/>
      <c r="H160" s="72"/>
    </row>
    <row r="161" spans="1:8" ht="14.25" customHeight="1" x14ac:dyDescent="0.3">
      <c r="A161" s="20" t="s">
        <v>1194</v>
      </c>
      <c r="B161" s="69">
        <f t="shared" si="1"/>
        <v>4</v>
      </c>
      <c r="D161" s="71"/>
      <c r="G161" s="72"/>
      <c r="H161" s="72"/>
    </row>
    <row r="162" spans="1:8" ht="14.25" customHeight="1" x14ac:dyDescent="0.3">
      <c r="A162" s="20" t="s">
        <v>1202</v>
      </c>
      <c r="B162" s="69">
        <f t="shared" si="1"/>
        <v>4</v>
      </c>
      <c r="D162" s="71"/>
      <c r="G162" s="72"/>
      <c r="H162" s="72"/>
    </row>
    <row r="163" spans="1:8" ht="14.25" customHeight="1" x14ac:dyDescent="0.3">
      <c r="A163" s="20" t="s">
        <v>1205</v>
      </c>
      <c r="B163" s="69">
        <f t="shared" si="1"/>
        <v>4</v>
      </c>
      <c r="D163" s="71"/>
      <c r="G163" s="72"/>
      <c r="H163" s="72"/>
    </row>
    <row r="164" spans="1:8" ht="14.25" customHeight="1" x14ac:dyDescent="0.3">
      <c r="A164" s="20" t="s">
        <v>1209</v>
      </c>
      <c r="B164" s="69">
        <f t="shared" si="1"/>
        <v>4</v>
      </c>
      <c r="D164" s="71"/>
      <c r="G164" s="72"/>
      <c r="H164" s="72"/>
    </row>
    <row r="165" spans="1:8" ht="14.25" customHeight="1" x14ac:dyDescent="0.3">
      <c r="A165" s="20" t="s">
        <v>1212</v>
      </c>
      <c r="B165" s="69">
        <f t="shared" si="1"/>
        <v>4</v>
      </c>
      <c r="D165" s="71"/>
      <c r="G165" s="72"/>
      <c r="H165" s="72"/>
    </row>
    <row r="166" spans="1:8" ht="14.25" customHeight="1" x14ac:dyDescent="0.3">
      <c r="A166" s="20" t="s">
        <v>1214</v>
      </c>
      <c r="B166" s="69">
        <f t="shared" si="1"/>
        <v>4</v>
      </c>
      <c r="D166" s="71"/>
      <c r="G166" s="72"/>
      <c r="H166" s="72"/>
    </row>
    <row r="167" spans="1:8" ht="14.25" customHeight="1" x14ac:dyDescent="0.3">
      <c r="A167" s="20" t="s">
        <v>1217</v>
      </c>
      <c r="B167" s="69">
        <f t="shared" si="1"/>
        <v>4</v>
      </c>
      <c r="D167" s="71"/>
      <c r="G167" s="72"/>
      <c r="H167" s="72"/>
    </row>
    <row r="168" spans="1:8" ht="14.25" customHeight="1" x14ac:dyDescent="0.3">
      <c r="A168" s="20" t="s">
        <v>1220</v>
      </c>
      <c r="B168" s="69">
        <f t="shared" si="1"/>
        <v>4</v>
      </c>
      <c r="D168" s="71"/>
      <c r="G168" s="72"/>
      <c r="H168" s="72"/>
    </row>
    <row r="169" spans="1:8" ht="14.25" customHeight="1" x14ac:dyDescent="0.3">
      <c r="A169" s="20" t="s">
        <v>1222</v>
      </c>
      <c r="B169" s="69">
        <f t="shared" si="1"/>
        <v>4</v>
      </c>
      <c r="D169" s="71"/>
      <c r="G169" s="72"/>
      <c r="H169" s="72"/>
    </row>
    <row r="170" spans="1:8" ht="14.25" customHeight="1" x14ac:dyDescent="0.3">
      <c r="A170" s="20" t="s">
        <v>1231</v>
      </c>
      <c r="B170" s="69">
        <f t="shared" si="1"/>
        <v>4</v>
      </c>
      <c r="D170" s="71"/>
      <c r="G170" s="72"/>
      <c r="H170" s="72"/>
    </row>
    <row r="171" spans="1:8" ht="14.25" customHeight="1" x14ac:dyDescent="0.3">
      <c r="A171" s="20" t="s">
        <v>1233</v>
      </c>
      <c r="B171" s="69">
        <f t="shared" si="1"/>
        <v>4</v>
      </c>
      <c r="D171" s="71"/>
      <c r="G171" s="72"/>
      <c r="H171" s="72"/>
    </row>
    <row r="172" spans="1:8" ht="14.25" customHeight="1" x14ac:dyDescent="0.3">
      <c r="A172" s="20" t="s">
        <v>100</v>
      </c>
      <c r="B172" s="69">
        <v>1.8321000000000005</v>
      </c>
      <c r="D172" s="71"/>
      <c r="G172" s="72"/>
      <c r="H172" s="72"/>
    </row>
    <row r="173" spans="1:8" ht="14.25" customHeight="1" x14ac:dyDescent="0.3">
      <c r="A173" s="20" t="s">
        <v>99</v>
      </c>
      <c r="B173" s="69">
        <v>1.8986000000000001</v>
      </c>
      <c r="D173" s="71"/>
      <c r="G173" s="72"/>
      <c r="H173" s="72"/>
    </row>
    <row r="174" spans="1:8" ht="14.25" customHeight="1" x14ac:dyDescent="0.3">
      <c r="A174" s="20" t="s">
        <v>101</v>
      </c>
      <c r="B174" s="69">
        <v>1.964500000000001</v>
      </c>
      <c r="D174" s="71"/>
      <c r="G174" s="72"/>
      <c r="H174" s="72"/>
    </row>
    <row r="175" spans="1:8" ht="14.25" customHeight="1" x14ac:dyDescent="0.3">
      <c r="A175" s="20" t="s">
        <v>104</v>
      </c>
      <c r="B175" s="69">
        <v>2.0297999999999998</v>
      </c>
      <c r="D175" s="71"/>
      <c r="G175" s="72"/>
      <c r="H175" s="72"/>
    </row>
    <row r="176" spans="1:8" ht="14.25" customHeight="1" x14ac:dyDescent="0.3">
      <c r="A176" s="20" t="s">
        <v>113</v>
      </c>
      <c r="B176" s="69">
        <v>2.0945</v>
      </c>
      <c r="D176" s="71"/>
      <c r="G176" s="72"/>
      <c r="H176" s="72"/>
    </row>
    <row r="177" spans="1:8" ht="14.25" customHeight="1" x14ac:dyDescent="0.3">
      <c r="A177" s="20" t="s">
        <v>114</v>
      </c>
      <c r="B177" s="69">
        <v>2.1585999999999999</v>
      </c>
      <c r="D177" s="71"/>
      <c r="G177" s="72"/>
      <c r="H177" s="72"/>
    </row>
    <row r="178" spans="1:8" ht="14.25" customHeight="1" x14ac:dyDescent="0.3">
      <c r="A178" s="20" t="s">
        <v>110</v>
      </c>
      <c r="B178" s="69">
        <v>2.2221000000000011</v>
      </c>
      <c r="D178" s="71"/>
      <c r="G178" s="72"/>
      <c r="H178" s="72"/>
    </row>
    <row r="179" spans="1:8" ht="14.25" customHeight="1" x14ac:dyDescent="0.3">
      <c r="A179" s="20" t="s">
        <v>123</v>
      </c>
      <c r="B179" s="69">
        <v>2.2850000000000001</v>
      </c>
      <c r="D179" s="71"/>
      <c r="G179" s="72"/>
      <c r="H179" s="72"/>
    </row>
    <row r="180" spans="1:8" ht="14.25" customHeight="1" x14ac:dyDescent="0.3">
      <c r="A180" s="20" t="s">
        <v>126</v>
      </c>
      <c r="B180" s="69">
        <v>2.3473000000000006</v>
      </c>
      <c r="D180" s="71"/>
      <c r="G180" s="72"/>
      <c r="H180" s="72"/>
    </row>
    <row r="181" spans="1:8" ht="14.25" customHeight="1" x14ac:dyDescent="0.3">
      <c r="A181" s="20" t="s">
        <v>128</v>
      </c>
      <c r="B181" s="69">
        <v>2.4090000000000007</v>
      </c>
      <c r="D181" s="71"/>
      <c r="G181" s="72"/>
      <c r="H181" s="72"/>
    </row>
    <row r="182" spans="1:8" ht="14.25" customHeight="1" x14ac:dyDescent="0.3">
      <c r="A182" s="20" t="s">
        <v>129</v>
      </c>
      <c r="B182" s="69">
        <v>2.4701000000000004</v>
      </c>
      <c r="D182" s="71"/>
      <c r="G182" s="72"/>
      <c r="H182" s="72"/>
    </row>
    <row r="183" spans="1:8" ht="14.25" customHeight="1" x14ac:dyDescent="0.3">
      <c r="A183" s="20" t="s">
        <v>133</v>
      </c>
      <c r="B183" s="69">
        <v>2.5305999999999997</v>
      </c>
      <c r="D183" s="71"/>
      <c r="G183" s="72"/>
      <c r="H183" s="72"/>
    </row>
    <row r="184" spans="1:8" ht="14.25" customHeight="1" x14ac:dyDescent="0.3">
      <c r="A184" s="20" t="s">
        <v>124</v>
      </c>
      <c r="B184" s="69">
        <v>2.5905000000000005</v>
      </c>
      <c r="D184" s="71"/>
      <c r="G184" s="72"/>
      <c r="H184" s="72"/>
    </row>
    <row r="185" spans="1:8" ht="14.25" customHeight="1" x14ac:dyDescent="0.3">
      <c r="A185" s="20" t="s">
        <v>139</v>
      </c>
      <c r="B185" s="69">
        <v>2.6498000000000008</v>
      </c>
      <c r="D185" s="71"/>
      <c r="G185" s="72"/>
      <c r="H185" s="72"/>
    </row>
    <row r="186" spans="1:8" ht="14.25" customHeight="1" x14ac:dyDescent="0.3">
      <c r="A186" s="20" t="s">
        <v>137</v>
      </c>
      <c r="B186" s="69">
        <v>2.7085000000000008</v>
      </c>
      <c r="D186" s="71"/>
      <c r="G186" s="72"/>
      <c r="H186" s="72"/>
    </row>
    <row r="187" spans="1:8" ht="14.25" customHeight="1" x14ac:dyDescent="0.3">
      <c r="A187" s="20" t="s">
        <v>146</v>
      </c>
      <c r="B187" s="69">
        <v>2.7666000000000004</v>
      </c>
      <c r="D187" s="71"/>
      <c r="G187" s="72"/>
      <c r="H187" s="72"/>
    </row>
    <row r="188" spans="1:8" ht="14.25" customHeight="1" x14ac:dyDescent="0.3">
      <c r="A188" s="20" t="s">
        <v>142</v>
      </c>
      <c r="B188" s="69">
        <v>2.8241000000000014</v>
      </c>
      <c r="D188" s="71"/>
      <c r="G188" s="72"/>
      <c r="H188" s="72"/>
    </row>
    <row r="189" spans="1:8" ht="14.25" customHeight="1" x14ac:dyDescent="0.3">
      <c r="A189" s="20" t="s">
        <v>143</v>
      </c>
      <c r="B189" s="69">
        <v>2.8810000000000002</v>
      </c>
      <c r="D189" s="71"/>
      <c r="G189" s="72"/>
      <c r="H189" s="72"/>
    </row>
    <row r="190" spans="1:8" ht="14.25" customHeight="1" x14ac:dyDescent="0.3">
      <c r="A190" s="20" t="s">
        <v>153</v>
      </c>
      <c r="B190" s="69">
        <v>2.9373000000000005</v>
      </c>
      <c r="D190" s="71"/>
      <c r="G190" s="72"/>
      <c r="H190" s="72"/>
    </row>
    <row r="191" spans="1:8" ht="14.25" customHeight="1" x14ac:dyDescent="0.3">
      <c r="A191" s="20" t="s">
        <v>161</v>
      </c>
      <c r="B191" s="69">
        <v>2.9930000000000003</v>
      </c>
      <c r="D191" s="71"/>
      <c r="G191" s="72"/>
      <c r="H191" s="72"/>
    </row>
    <row r="192" spans="1:8" ht="14.25" customHeight="1" x14ac:dyDescent="0.3">
      <c r="A192" s="20" t="s">
        <v>150</v>
      </c>
      <c r="B192" s="69">
        <v>3.0480999999999998</v>
      </c>
      <c r="D192" s="71"/>
      <c r="G192" s="72"/>
      <c r="H192" s="72"/>
    </row>
    <row r="193" spans="1:8" ht="14.25" customHeight="1" x14ac:dyDescent="0.3">
      <c r="A193" s="20" t="s">
        <v>156</v>
      </c>
      <c r="B193" s="69">
        <v>3.1026000000000007</v>
      </c>
      <c r="D193" s="71"/>
      <c r="G193" s="72"/>
      <c r="H193" s="72"/>
    </row>
    <row r="194" spans="1:8" ht="14.25" customHeight="1" x14ac:dyDescent="0.3">
      <c r="A194" s="20" t="s">
        <v>154</v>
      </c>
      <c r="B194" s="69">
        <v>3.1565000000000012</v>
      </c>
      <c r="D194" s="71"/>
      <c r="G194" s="72"/>
      <c r="H194" s="72"/>
    </row>
    <row r="195" spans="1:8" ht="14.25" customHeight="1" x14ac:dyDescent="0.3">
      <c r="A195" s="20" t="s">
        <v>172</v>
      </c>
      <c r="B195" s="69">
        <v>3.2098000000000013</v>
      </c>
      <c r="D195" s="71"/>
      <c r="G195" s="72"/>
      <c r="H195" s="72"/>
    </row>
    <row r="196" spans="1:8" ht="14.25" customHeight="1" x14ac:dyDescent="0.3">
      <c r="A196" s="20" t="s">
        <v>159</v>
      </c>
      <c r="B196" s="69">
        <v>3.2625000000000011</v>
      </c>
      <c r="D196" s="71"/>
      <c r="G196" s="72"/>
      <c r="H196" s="72"/>
    </row>
    <row r="197" spans="1:8" ht="14.25" customHeight="1" x14ac:dyDescent="0.3">
      <c r="A197" s="20" t="s">
        <v>174</v>
      </c>
      <c r="B197" s="69">
        <v>3.3146000000000004</v>
      </c>
      <c r="D197" s="71"/>
      <c r="G197" s="72"/>
      <c r="H197" s="72"/>
    </row>
    <row r="198" spans="1:8" ht="14.25" customHeight="1" x14ac:dyDescent="0.3">
      <c r="A198" s="20" t="s">
        <v>177</v>
      </c>
      <c r="B198" s="69">
        <v>3.3661000000000012</v>
      </c>
      <c r="D198" s="71"/>
      <c r="G198" s="72"/>
      <c r="H198" s="72"/>
    </row>
    <row r="199" spans="1:8" ht="14.25" customHeight="1" x14ac:dyDescent="0.3">
      <c r="A199" s="20" t="s">
        <v>179</v>
      </c>
      <c r="B199" s="69">
        <v>3.4169999999999998</v>
      </c>
      <c r="D199" s="71"/>
      <c r="G199" s="72"/>
      <c r="H199" s="72"/>
    </row>
    <row r="200" spans="1:8" ht="14.25" customHeight="1" x14ac:dyDescent="0.3">
      <c r="A200" s="20" t="s">
        <v>176</v>
      </c>
      <c r="B200" s="69">
        <v>3.4673000000000016</v>
      </c>
      <c r="D200" s="71"/>
      <c r="G200" s="72"/>
      <c r="H200" s="72"/>
    </row>
    <row r="201" spans="1:8" ht="14.25" customHeight="1" x14ac:dyDescent="0.3">
      <c r="A201" s="20" t="s">
        <v>189</v>
      </c>
      <c r="B201" s="69">
        <v>3.5170000000000012</v>
      </c>
      <c r="D201" s="71"/>
      <c r="G201" s="72"/>
      <c r="H201" s="72"/>
    </row>
    <row r="202" spans="1:8" ht="14.25" customHeight="1" x14ac:dyDescent="0.3">
      <c r="A202" s="20" t="s">
        <v>183</v>
      </c>
      <c r="B202" s="69">
        <v>3.5661000000000005</v>
      </c>
      <c r="D202" s="71"/>
      <c r="G202" s="72"/>
      <c r="H202" s="72"/>
    </row>
    <row r="203" spans="1:8" ht="14.25" customHeight="1" x14ac:dyDescent="0.3">
      <c r="A203" s="20" t="s">
        <v>184</v>
      </c>
      <c r="B203" s="69">
        <v>3.6146000000000011</v>
      </c>
      <c r="D203" s="71"/>
      <c r="G203" s="72"/>
      <c r="H203" s="72"/>
    </row>
    <row r="204" spans="1:8" ht="14.25" customHeight="1" x14ac:dyDescent="0.3">
      <c r="A204" s="20" t="s">
        <v>193</v>
      </c>
      <c r="B204" s="69">
        <v>3.6625000000000014</v>
      </c>
      <c r="D204" s="71"/>
      <c r="G204" s="72"/>
      <c r="H204" s="72"/>
    </row>
    <row r="205" spans="1:8" ht="14.25" customHeight="1" x14ac:dyDescent="0.3">
      <c r="A205" s="20" t="s">
        <v>186</v>
      </c>
      <c r="B205" s="69">
        <v>3.7098000000000013</v>
      </c>
      <c r="D205" s="71"/>
      <c r="G205" s="72"/>
      <c r="H205" s="72"/>
    </row>
    <row r="206" spans="1:8" ht="14.25" customHeight="1" x14ac:dyDescent="0.3">
      <c r="A206" s="20" t="s">
        <v>198</v>
      </c>
      <c r="B206" s="69">
        <v>3.7565000000000008</v>
      </c>
      <c r="D206" s="71"/>
      <c r="G206" s="72"/>
      <c r="H206" s="72"/>
    </row>
    <row r="207" spans="1:8" ht="14.25" customHeight="1" x14ac:dyDescent="0.3">
      <c r="A207" s="20" t="s">
        <v>188</v>
      </c>
      <c r="B207" s="69">
        <v>3.8026000000000018</v>
      </c>
      <c r="D207" s="71"/>
      <c r="G207" s="72"/>
      <c r="H207" s="72"/>
    </row>
    <row r="208" spans="1:8" ht="14.25" customHeight="1" x14ac:dyDescent="0.3">
      <c r="A208" s="20" t="s">
        <v>197</v>
      </c>
      <c r="B208" s="69">
        <v>3.8481000000000005</v>
      </c>
      <c r="D208" s="71"/>
      <c r="G208" s="72"/>
      <c r="H208" s="72"/>
    </row>
    <row r="209" spans="1:8" ht="14.25" customHeight="1" x14ac:dyDescent="0.3">
      <c r="A209" s="20" t="s">
        <v>201</v>
      </c>
      <c r="B209" s="69">
        <v>3.848101265822784</v>
      </c>
      <c r="D209" s="71"/>
      <c r="G209" s="72"/>
      <c r="H209" s="72"/>
    </row>
    <row r="210" spans="1:8" ht="14.25" customHeight="1" x14ac:dyDescent="0.3">
      <c r="A210" s="20" t="s">
        <v>202</v>
      </c>
      <c r="B210" s="69">
        <v>3.848101265822784</v>
      </c>
      <c r="D210" s="71"/>
      <c r="G210" s="72"/>
      <c r="H210" s="72"/>
    </row>
    <row r="211" spans="1:8" ht="14.25" customHeight="1" x14ac:dyDescent="0.3">
      <c r="A211" s="20" t="s">
        <v>192</v>
      </c>
      <c r="B211" s="69">
        <v>3.848101265822784</v>
      </c>
      <c r="D211" s="71"/>
      <c r="G211" s="72"/>
      <c r="H211" s="72"/>
    </row>
    <row r="212" spans="1:8" ht="14.25" customHeight="1" x14ac:dyDescent="0.3">
      <c r="A212" s="20" t="s">
        <v>220</v>
      </c>
      <c r="B212" s="69">
        <v>3.848101265822784</v>
      </c>
      <c r="D212" s="71"/>
      <c r="G212" s="72"/>
      <c r="H212" s="72"/>
    </row>
    <row r="213" spans="1:8" ht="14.25" customHeight="1" x14ac:dyDescent="0.3">
      <c r="A213" s="20" t="s">
        <v>210</v>
      </c>
      <c r="B213" s="69">
        <v>3.848101265822784</v>
      </c>
      <c r="D213" s="71"/>
      <c r="G213" s="72"/>
      <c r="H213" s="72"/>
    </row>
    <row r="214" spans="1:8" ht="14.25" customHeight="1" x14ac:dyDescent="0.3">
      <c r="A214" s="20" t="s">
        <v>218</v>
      </c>
      <c r="B214" s="69">
        <v>3.848101265822784</v>
      </c>
      <c r="D214" s="71"/>
      <c r="G214" s="72"/>
      <c r="H214" s="72"/>
    </row>
    <row r="215" spans="1:8" ht="14.25" customHeight="1" x14ac:dyDescent="0.3">
      <c r="A215" s="20" t="s">
        <v>208</v>
      </c>
      <c r="B215" s="69">
        <v>3.848101265822784</v>
      </c>
      <c r="D215" s="71"/>
      <c r="G215" s="72"/>
      <c r="H215" s="72"/>
    </row>
    <row r="216" spans="1:8" ht="14.25" customHeight="1" x14ac:dyDescent="0.3">
      <c r="A216" s="20" t="s">
        <v>205</v>
      </c>
      <c r="B216" s="69">
        <v>3.848101265822784</v>
      </c>
      <c r="D216" s="71"/>
      <c r="G216" s="72"/>
      <c r="H216" s="72"/>
    </row>
    <row r="217" spans="1:8" ht="14.25" customHeight="1" x14ac:dyDescent="0.3">
      <c r="A217" s="20" t="s">
        <v>207</v>
      </c>
      <c r="B217" s="69">
        <v>3.848101265822784</v>
      </c>
      <c r="D217" s="71"/>
      <c r="G217" s="72"/>
      <c r="H217" s="72"/>
    </row>
    <row r="218" spans="1:8" ht="14.25" customHeight="1" x14ac:dyDescent="0.3">
      <c r="A218" s="20" t="s">
        <v>206</v>
      </c>
      <c r="B218" s="69">
        <v>3.848101265822784</v>
      </c>
      <c r="D218" s="71"/>
      <c r="G218" s="72"/>
      <c r="H218" s="72"/>
    </row>
    <row r="219" spans="1:8" ht="14.25" customHeight="1" x14ac:dyDescent="0.3">
      <c r="A219" s="20" t="s">
        <v>203</v>
      </c>
      <c r="B219" s="69">
        <v>3.848101265822784</v>
      </c>
      <c r="D219" s="71"/>
      <c r="G219" s="72"/>
      <c r="H219" s="72"/>
    </row>
    <row r="220" spans="1:8" ht="14.25" customHeight="1" x14ac:dyDescent="0.3">
      <c r="A220" s="20" t="s">
        <v>213</v>
      </c>
      <c r="B220" s="69">
        <v>3.848101265822784</v>
      </c>
      <c r="D220" s="71"/>
      <c r="G220" s="72"/>
      <c r="H220" s="72"/>
    </row>
    <row r="221" spans="1:8" ht="14.25" customHeight="1" x14ac:dyDescent="0.3">
      <c r="A221" s="20" t="s">
        <v>223</v>
      </c>
      <c r="B221" s="69">
        <v>3.848101265822784</v>
      </c>
      <c r="D221" s="71"/>
      <c r="G221" s="72"/>
      <c r="H221" s="72"/>
    </row>
    <row r="222" spans="1:8" ht="14.25" customHeight="1" x14ac:dyDescent="0.3">
      <c r="A222" s="20" t="s">
        <v>230</v>
      </c>
      <c r="B222" s="69">
        <v>3.848101265822784</v>
      </c>
      <c r="D222" s="71"/>
      <c r="G222" s="72"/>
      <c r="H222" s="72"/>
    </row>
    <row r="223" spans="1:8" ht="14.25" customHeight="1" x14ac:dyDescent="0.3">
      <c r="A223" s="20" t="s">
        <v>229</v>
      </c>
      <c r="B223" s="69">
        <v>3.848101265822784</v>
      </c>
      <c r="D223" s="71"/>
      <c r="G223" s="72"/>
      <c r="H223" s="72"/>
    </row>
    <row r="224" spans="1:8" ht="14.25" customHeight="1" x14ac:dyDescent="0.3">
      <c r="A224" s="20" t="s">
        <v>235</v>
      </c>
      <c r="B224" s="69">
        <v>3.848101265822784</v>
      </c>
      <c r="D224" s="71"/>
      <c r="G224" s="72"/>
      <c r="H224" s="72"/>
    </row>
    <row r="225" spans="1:8" ht="14.25" customHeight="1" x14ac:dyDescent="0.3">
      <c r="A225" s="20" t="s">
        <v>232</v>
      </c>
      <c r="B225" s="69">
        <v>3.848101265822784</v>
      </c>
      <c r="D225" s="71"/>
      <c r="G225" s="72"/>
      <c r="H225" s="72"/>
    </row>
    <row r="226" spans="1:8" ht="14.25" customHeight="1" x14ac:dyDescent="0.3">
      <c r="A226" s="20" t="s">
        <v>226</v>
      </c>
      <c r="B226" s="69">
        <v>3.848101265822784</v>
      </c>
      <c r="D226" s="71"/>
      <c r="G226" s="72"/>
      <c r="H226" s="72"/>
    </row>
    <row r="227" spans="1:8" ht="14.25" customHeight="1" x14ac:dyDescent="0.3">
      <c r="A227" s="20" t="s">
        <v>212</v>
      </c>
      <c r="B227" s="69">
        <v>3.848101265822784</v>
      </c>
      <c r="D227" s="71"/>
      <c r="G227" s="72"/>
      <c r="H227" s="72"/>
    </row>
    <row r="228" spans="1:8" ht="14.25" customHeight="1" x14ac:dyDescent="0.3">
      <c r="A228" s="20" t="s">
        <v>216</v>
      </c>
      <c r="B228" s="69">
        <v>3.848101265822784</v>
      </c>
      <c r="D228" s="71"/>
      <c r="G228" s="72"/>
      <c r="H228" s="72"/>
    </row>
    <row r="229" spans="1:8" ht="14.25" customHeight="1" x14ac:dyDescent="0.3">
      <c r="A229" s="20" t="s">
        <v>231</v>
      </c>
      <c r="B229" s="69">
        <v>3.848101265822784</v>
      </c>
      <c r="D229" s="71"/>
      <c r="G229" s="72"/>
      <c r="H229" s="72"/>
    </row>
    <row r="230" spans="1:8" ht="14.25" customHeight="1" x14ac:dyDescent="0.3">
      <c r="A230" s="20" t="s">
        <v>269</v>
      </c>
      <c r="B230" s="69">
        <v>3.848101265822784</v>
      </c>
      <c r="D230" s="71"/>
      <c r="G230" s="72"/>
      <c r="H230" s="72"/>
    </row>
    <row r="231" spans="1:8" ht="14.25" customHeight="1" x14ac:dyDescent="0.3">
      <c r="A231" s="20" t="s">
        <v>244</v>
      </c>
      <c r="B231" s="69">
        <v>3.848101265822784</v>
      </c>
      <c r="D231" s="71"/>
      <c r="G231" s="72"/>
      <c r="H231" s="72"/>
    </row>
    <row r="232" spans="1:8" ht="14.25" customHeight="1" x14ac:dyDescent="0.3">
      <c r="A232" s="20" t="s">
        <v>254</v>
      </c>
      <c r="B232" s="69">
        <v>3.848101265822784</v>
      </c>
      <c r="D232" s="71"/>
      <c r="G232" s="72"/>
      <c r="H232" s="72"/>
    </row>
    <row r="233" spans="1:8" ht="14.25" customHeight="1" x14ac:dyDescent="0.3">
      <c r="A233" s="20" t="s">
        <v>253</v>
      </c>
      <c r="B233" s="69">
        <v>3.848101265822784</v>
      </c>
      <c r="D233" s="71"/>
      <c r="G233" s="72"/>
      <c r="H233" s="72"/>
    </row>
    <row r="234" spans="1:8" ht="14.25" customHeight="1" x14ac:dyDescent="0.3">
      <c r="A234" s="20" t="s">
        <v>245</v>
      </c>
      <c r="B234" s="69">
        <v>3.848101265822784</v>
      </c>
      <c r="D234" s="71"/>
      <c r="G234" s="72"/>
      <c r="H234" s="72"/>
    </row>
    <row r="235" spans="1:8" ht="14.25" customHeight="1" x14ac:dyDescent="0.3">
      <c r="A235" s="20" t="s">
        <v>263</v>
      </c>
      <c r="B235" s="69">
        <v>3.848101265822784</v>
      </c>
      <c r="D235" s="71"/>
      <c r="G235" s="72"/>
      <c r="H235" s="72"/>
    </row>
    <row r="236" spans="1:8" ht="14.25" customHeight="1" x14ac:dyDescent="0.3">
      <c r="A236" s="20" t="s">
        <v>275</v>
      </c>
      <c r="B236" s="69">
        <v>3.848101265822784</v>
      </c>
      <c r="D236" s="71"/>
      <c r="G236" s="72"/>
      <c r="H236" s="72"/>
    </row>
    <row r="237" spans="1:8" ht="14.25" customHeight="1" x14ac:dyDescent="0.3">
      <c r="A237" s="20" t="s">
        <v>289</v>
      </c>
      <c r="B237" s="69">
        <v>3.848101265822784</v>
      </c>
      <c r="D237" s="71"/>
      <c r="G237" s="72"/>
      <c r="H237" s="72"/>
    </row>
    <row r="238" spans="1:8" ht="14.25" customHeight="1" x14ac:dyDescent="0.3">
      <c r="A238" s="20" t="s">
        <v>259</v>
      </c>
      <c r="B238" s="69">
        <v>3.848101265822784</v>
      </c>
      <c r="D238" s="71"/>
      <c r="G238" s="72"/>
      <c r="H238" s="72"/>
    </row>
    <row r="239" spans="1:8" ht="14.25" customHeight="1" x14ac:dyDescent="0.3">
      <c r="A239" s="20" t="s">
        <v>291</v>
      </c>
      <c r="B239" s="69">
        <v>3.848101265822784</v>
      </c>
      <c r="D239" s="71"/>
      <c r="G239" s="72"/>
      <c r="H239" s="72"/>
    </row>
    <row r="240" spans="1:8" ht="14.25" customHeight="1" x14ac:dyDescent="0.3">
      <c r="A240" s="20" t="s">
        <v>310</v>
      </c>
      <c r="B240" s="69">
        <v>3.848101265822784</v>
      </c>
      <c r="D240" s="71"/>
      <c r="G240" s="72"/>
      <c r="H240" s="72"/>
    </row>
    <row r="241" spans="1:8" ht="14.25" customHeight="1" x14ac:dyDescent="0.3">
      <c r="A241" s="20" t="s">
        <v>280</v>
      </c>
      <c r="B241" s="69">
        <v>3.848101265822784</v>
      </c>
      <c r="D241" s="71"/>
      <c r="G241" s="72"/>
      <c r="H241" s="72"/>
    </row>
    <row r="242" spans="1:8" ht="14.25" customHeight="1" x14ac:dyDescent="0.3">
      <c r="A242" s="20" t="s">
        <v>258</v>
      </c>
      <c r="B242" s="69">
        <v>3.848101265822784</v>
      </c>
      <c r="D242" s="71"/>
      <c r="G242" s="72"/>
      <c r="H242" s="72"/>
    </row>
    <row r="243" spans="1:8" ht="14.25" customHeight="1" x14ac:dyDescent="0.3">
      <c r="A243" s="20" t="s">
        <v>278</v>
      </c>
      <c r="B243" s="69">
        <v>3.848101265822784</v>
      </c>
      <c r="D243" s="71"/>
      <c r="G243" s="72"/>
      <c r="H243" s="72"/>
    </row>
    <row r="244" spans="1:8" ht="14.25" customHeight="1" x14ac:dyDescent="0.3">
      <c r="A244" s="20" t="s">
        <v>276</v>
      </c>
      <c r="B244" s="69">
        <v>3.848101265822784</v>
      </c>
      <c r="D244" s="71"/>
      <c r="G244" s="72"/>
      <c r="H244" s="72"/>
    </row>
    <row r="245" spans="1:8" ht="14.25" customHeight="1" x14ac:dyDescent="0.3">
      <c r="A245" s="20" t="s">
        <v>248</v>
      </c>
      <c r="B245" s="69">
        <v>3.848101265822784</v>
      </c>
      <c r="D245" s="71"/>
      <c r="G245" s="72"/>
      <c r="H245" s="72"/>
    </row>
    <row r="246" spans="1:8" ht="14.25" customHeight="1" x14ac:dyDescent="0.3">
      <c r="A246" s="20" t="s">
        <v>246</v>
      </c>
      <c r="B246" s="69">
        <v>3.848101265822784</v>
      </c>
      <c r="D246" s="71"/>
      <c r="G246" s="72"/>
      <c r="H246" s="72"/>
    </row>
    <row r="247" spans="1:8" ht="14.25" customHeight="1" x14ac:dyDescent="0.3">
      <c r="A247" s="20" t="s">
        <v>283</v>
      </c>
      <c r="B247" s="69">
        <v>3.848101265822784</v>
      </c>
      <c r="D247" s="71"/>
      <c r="G247" s="72"/>
      <c r="H247" s="72"/>
    </row>
    <row r="248" spans="1:8" ht="14.25" customHeight="1" x14ac:dyDescent="0.3">
      <c r="A248" s="20" t="s">
        <v>297</v>
      </c>
      <c r="B248" s="69">
        <v>3.848101265822784</v>
      </c>
      <c r="D248" s="71"/>
      <c r="G248" s="72"/>
      <c r="H248" s="72"/>
    </row>
    <row r="249" spans="1:8" ht="14.25" customHeight="1" x14ac:dyDescent="0.3">
      <c r="A249" s="20" t="s">
        <v>261</v>
      </c>
      <c r="B249" s="69">
        <v>3.848101265822784</v>
      </c>
      <c r="D249" s="71"/>
      <c r="G249" s="72"/>
      <c r="H249" s="72"/>
    </row>
    <row r="250" spans="1:8" ht="14.25" customHeight="1" x14ac:dyDescent="0.3">
      <c r="A250" s="20" t="s">
        <v>317</v>
      </c>
      <c r="B250" s="69">
        <v>3.848101265822784</v>
      </c>
      <c r="D250" s="71"/>
      <c r="G250" s="72"/>
      <c r="H250" s="72"/>
    </row>
    <row r="251" spans="1:8" ht="14.25" customHeight="1" x14ac:dyDescent="0.3">
      <c r="A251" s="20" t="s">
        <v>288</v>
      </c>
      <c r="B251" s="69">
        <v>3.848101265822784</v>
      </c>
      <c r="D251" s="71"/>
      <c r="G251" s="72"/>
      <c r="H251" s="72"/>
    </row>
    <row r="252" spans="1:8" ht="14.25" customHeight="1" x14ac:dyDescent="0.3">
      <c r="A252" s="20" t="s">
        <v>272</v>
      </c>
      <c r="B252" s="69">
        <f>B251</f>
        <v>3.848101265822784</v>
      </c>
      <c r="D252" s="71"/>
      <c r="G252" s="72"/>
      <c r="H252" s="72"/>
    </row>
    <row r="253" spans="1:8" ht="14.25" customHeight="1" x14ac:dyDescent="0.3">
      <c r="A253" s="20" t="s">
        <v>255</v>
      </c>
      <c r="B253" s="69">
        <f t="shared" ref="B253:B316" si="2">B252</f>
        <v>3.848101265822784</v>
      </c>
      <c r="D253" s="71"/>
      <c r="G253" s="72"/>
      <c r="H253" s="72"/>
    </row>
    <row r="254" spans="1:8" ht="14.25" customHeight="1" x14ac:dyDescent="0.3">
      <c r="A254" s="20" t="s">
        <v>270</v>
      </c>
      <c r="B254" s="69">
        <f t="shared" si="2"/>
        <v>3.848101265822784</v>
      </c>
      <c r="D254" s="71"/>
      <c r="G254" s="72"/>
      <c r="H254" s="72"/>
    </row>
    <row r="255" spans="1:8" ht="14.25" customHeight="1" x14ac:dyDescent="0.3">
      <c r="A255" s="20" t="s">
        <v>284</v>
      </c>
      <c r="B255" s="69">
        <f t="shared" si="2"/>
        <v>3.848101265822784</v>
      </c>
      <c r="D255" s="71"/>
      <c r="G255" s="72"/>
      <c r="H255" s="72"/>
    </row>
    <row r="256" spans="1:8" ht="14.25" customHeight="1" x14ac:dyDescent="0.3">
      <c r="A256" s="20" t="s">
        <v>322</v>
      </c>
      <c r="B256" s="69">
        <f t="shared" si="2"/>
        <v>3.848101265822784</v>
      </c>
      <c r="D256" s="71"/>
      <c r="G256" s="72"/>
      <c r="H256" s="72"/>
    </row>
    <row r="257" spans="1:8" ht="14.25" customHeight="1" x14ac:dyDescent="0.3">
      <c r="A257" s="20" t="s">
        <v>273</v>
      </c>
      <c r="B257" s="69">
        <f t="shared" si="2"/>
        <v>3.848101265822784</v>
      </c>
      <c r="D257" s="71"/>
      <c r="G257" s="72"/>
      <c r="H257" s="72"/>
    </row>
    <row r="258" spans="1:8" ht="14.25" customHeight="1" x14ac:dyDescent="0.3">
      <c r="A258" s="20" t="s">
        <v>260</v>
      </c>
      <c r="B258" s="69">
        <f t="shared" si="2"/>
        <v>3.848101265822784</v>
      </c>
      <c r="D258" s="71"/>
      <c r="G258" s="72"/>
      <c r="H258" s="72"/>
    </row>
    <row r="259" spans="1:8" ht="14.25" customHeight="1" x14ac:dyDescent="0.3">
      <c r="A259" s="20" t="s">
        <v>311</v>
      </c>
      <c r="B259" s="69">
        <f t="shared" si="2"/>
        <v>3.848101265822784</v>
      </c>
      <c r="D259" s="71"/>
      <c r="G259" s="72"/>
      <c r="H259" s="72"/>
    </row>
    <row r="260" spans="1:8" ht="14.25" customHeight="1" x14ac:dyDescent="0.3">
      <c r="A260" s="20" t="s">
        <v>290</v>
      </c>
      <c r="B260" s="69">
        <f t="shared" si="2"/>
        <v>3.848101265822784</v>
      </c>
      <c r="D260" s="71"/>
      <c r="G260" s="72"/>
      <c r="H260" s="72"/>
    </row>
    <row r="261" spans="1:8" ht="14.25" customHeight="1" x14ac:dyDescent="0.3">
      <c r="A261" s="20" t="s">
        <v>271</v>
      </c>
      <c r="B261" s="69">
        <f t="shared" si="2"/>
        <v>3.848101265822784</v>
      </c>
      <c r="D261" s="71"/>
      <c r="G261" s="72"/>
      <c r="H261" s="72"/>
    </row>
    <row r="262" spans="1:8" ht="14.25" customHeight="1" x14ac:dyDescent="0.3">
      <c r="A262" s="20" t="s">
        <v>315</v>
      </c>
      <c r="B262" s="69">
        <f t="shared" si="2"/>
        <v>3.848101265822784</v>
      </c>
      <c r="D262" s="71"/>
      <c r="G262" s="72"/>
      <c r="H262" s="72"/>
    </row>
    <row r="263" spans="1:8" ht="14.25" customHeight="1" x14ac:dyDescent="0.3">
      <c r="A263" s="20" t="s">
        <v>268</v>
      </c>
      <c r="B263" s="69">
        <f t="shared" si="2"/>
        <v>3.848101265822784</v>
      </c>
      <c r="D263" s="71"/>
      <c r="G263" s="72"/>
      <c r="H263" s="72"/>
    </row>
    <row r="264" spans="1:8" ht="14.25" customHeight="1" x14ac:dyDescent="0.3">
      <c r="A264" s="20" t="s">
        <v>243</v>
      </c>
      <c r="B264" s="69">
        <f t="shared" si="2"/>
        <v>3.848101265822784</v>
      </c>
      <c r="D264" s="71"/>
      <c r="G264" s="72"/>
      <c r="H264" s="72"/>
    </row>
    <row r="265" spans="1:8" ht="14.25" customHeight="1" x14ac:dyDescent="0.3">
      <c r="A265" s="20" t="s">
        <v>314</v>
      </c>
      <c r="B265" s="69">
        <f t="shared" si="2"/>
        <v>3.848101265822784</v>
      </c>
      <c r="D265" s="71"/>
      <c r="G265" s="72"/>
      <c r="H265" s="72"/>
    </row>
    <row r="266" spans="1:8" ht="14.25" customHeight="1" x14ac:dyDescent="0.3">
      <c r="A266" s="20" t="s">
        <v>293</v>
      </c>
      <c r="B266" s="69">
        <f t="shared" si="2"/>
        <v>3.848101265822784</v>
      </c>
      <c r="D266" s="71"/>
      <c r="G266" s="72"/>
      <c r="H266" s="72"/>
    </row>
    <row r="267" spans="1:8" ht="14.25" customHeight="1" x14ac:dyDescent="0.3">
      <c r="A267" s="20" t="s">
        <v>298</v>
      </c>
      <c r="B267" s="69">
        <f t="shared" si="2"/>
        <v>3.848101265822784</v>
      </c>
      <c r="D267" s="71"/>
      <c r="G267" s="72"/>
      <c r="H267" s="72"/>
    </row>
    <row r="268" spans="1:8" ht="14.25" customHeight="1" x14ac:dyDescent="0.3">
      <c r="A268" s="20" t="s">
        <v>309</v>
      </c>
      <c r="B268" s="69">
        <f t="shared" si="2"/>
        <v>3.848101265822784</v>
      </c>
      <c r="D268" s="71"/>
      <c r="G268" s="72"/>
      <c r="H268" s="72"/>
    </row>
    <row r="269" spans="1:8" ht="14.25" customHeight="1" x14ac:dyDescent="0.3">
      <c r="A269" s="20" t="s">
        <v>301</v>
      </c>
      <c r="B269" s="69">
        <f t="shared" si="2"/>
        <v>3.848101265822784</v>
      </c>
      <c r="D269" s="71"/>
      <c r="G269" s="72"/>
      <c r="H269" s="72"/>
    </row>
    <row r="270" spans="1:8" ht="14.25" customHeight="1" x14ac:dyDescent="0.3">
      <c r="A270" s="20" t="s">
        <v>262</v>
      </c>
      <c r="B270" s="69">
        <f t="shared" si="2"/>
        <v>3.848101265822784</v>
      </c>
      <c r="D270" s="71"/>
      <c r="G270" s="72"/>
      <c r="H270" s="72"/>
    </row>
    <row r="271" spans="1:8" ht="14.25" customHeight="1" x14ac:dyDescent="0.3">
      <c r="A271" s="20" t="s">
        <v>308</v>
      </c>
      <c r="B271" s="69">
        <f t="shared" si="2"/>
        <v>3.848101265822784</v>
      </c>
      <c r="D271" s="71"/>
      <c r="G271" s="72"/>
      <c r="H271" s="72"/>
    </row>
    <row r="272" spans="1:8" ht="14.25" customHeight="1" x14ac:dyDescent="0.3">
      <c r="A272" s="20" t="s">
        <v>1105</v>
      </c>
      <c r="B272" s="69">
        <f t="shared" si="2"/>
        <v>3.848101265822784</v>
      </c>
      <c r="D272" s="71"/>
      <c r="G272" s="72"/>
      <c r="H272" s="72"/>
    </row>
    <row r="273" spans="1:8" ht="14.25" customHeight="1" x14ac:dyDescent="0.3">
      <c r="A273" s="20" t="s">
        <v>1108</v>
      </c>
      <c r="B273" s="69">
        <f t="shared" si="2"/>
        <v>3.848101265822784</v>
      </c>
      <c r="D273" s="71"/>
      <c r="G273" s="72"/>
      <c r="H273" s="72"/>
    </row>
    <row r="274" spans="1:8" ht="14.25" customHeight="1" x14ac:dyDescent="0.3">
      <c r="A274" s="20" t="s">
        <v>1109</v>
      </c>
      <c r="B274" s="69">
        <f t="shared" si="2"/>
        <v>3.848101265822784</v>
      </c>
      <c r="D274" s="71"/>
      <c r="G274" s="72"/>
      <c r="H274" s="72"/>
    </row>
    <row r="275" spans="1:8" ht="14.25" customHeight="1" x14ac:dyDescent="0.3">
      <c r="A275" s="20" t="s">
        <v>1110</v>
      </c>
      <c r="B275" s="69">
        <f t="shared" si="2"/>
        <v>3.848101265822784</v>
      </c>
      <c r="D275" s="71"/>
      <c r="G275" s="72"/>
      <c r="H275" s="72"/>
    </row>
    <row r="276" spans="1:8" ht="14.25" customHeight="1" x14ac:dyDescent="0.3">
      <c r="A276" s="20" t="s">
        <v>1113</v>
      </c>
      <c r="B276" s="69">
        <f t="shared" si="2"/>
        <v>3.848101265822784</v>
      </c>
      <c r="D276" s="71"/>
      <c r="G276" s="72"/>
      <c r="H276" s="72"/>
    </row>
    <row r="277" spans="1:8" ht="14.25" customHeight="1" x14ac:dyDescent="0.3">
      <c r="A277" s="20" t="s">
        <v>1114</v>
      </c>
      <c r="B277" s="69">
        <f t="shared" si="2"/>
        <v>3.848101265822784</v>
      </c>
      <c r="D277" s="71"/>
      <c r="G277" s="72"/>
      <c r="H277" s="72"/>
    </row>
    <row r="278" spans="1:8" ht="14.25" customHeight="1" x14ac:dyDescent="0.3">
      <c r="A278" s="20" t="s">
        <v>1117</v>
      </c>
      <c r="B278" s="69">
        <f t="shared" si="2"/>
        <v>3.848101265822784</v>
      </c>
      <c r="D278" s="71"/>
      <c r="G278" s="72"/>
      <c r="H278" s="72"/>
    </row>
    <row r="279" spans="1:8" ht="14.25" customHeight="1" x14ac:dyDescent="0.3">
      <c r="A279" s="20" t="s">
        <v>1120</v>
      </c>
      <c r="B279" s="69">
        <f t="shared" si="2"/>
        <v>3.848101265822784</v>
      </c>
      <c r="D279" s="71"/>
      <c r="G279" s="72"/>
      <c r="H279" s="72"/>
    </row>
    <row r="280" spans="1:8" ht="14.25" customHeight="1" x14ac:dyDescent="0.3">
      <c r="A280" s="20" t="s">
        <v>1125</v>
      </c>
      <c r="B280" s="69">
        <f t="shared" si="2"/>
        <v>3.848101265822784</v>
      </c>
      <c r="D280" s="71"/>
      <c r="G280" s="72"/>
      <c r="H280" s="72"/>
    </row>
    <row r="281" spans="1:8" ht="14.25" customHeight="1" x14ac:dyDescent="0.3">
      <c r="A281" s="20" t="s">
        <v>1128</v>
      </c>
      <c r="B281" s="69">
        <f t="shared" si="2"/>
        <v>3.848101265822784</v>
      </c>
      <c r="D281" s="71"/>
      <c r="G281" s="72"/>
      <c r="H281" s="72"/>
    </row>
    <row r="282" spans="1:8" ht="14.25" customHeight="1" x14ac:dyDescent="0.3">
      <c r="A282" s="20" t="s">
        <v>1130</v>
      </c>
      <c r="B282" s="69">
        <f t="shared" si="2"/>
        <v>3.848101265822784</v>
      </c>
      <c r="D282" s="71"/>
      <c r="G282" s="72"/>
      <c r="H282" s="72"/>
    </row>
    <row r="283" spans="1:8" ht="14.25" customHeight="1" x14ac:dyDescent="0.3">
      <c r="A283" s="20" t="s">
        <v>1132</v>
      </c>
      <c r="B283" s="69">
        <f t="shared" si="2"/>
        <v>3.848101265822784</v>
      </c>
      <c r="D283" s="71"/>
      <c r="G283" s="72"/>
      <c r="H283" s="72"/>
    </row>
    <row r="284" spans="1:8" ht="14.25" customHeight="1" x14ac:dyDescent="0.3">
      <c r="A284" s="20" t="s">
        <v>1133</v>
      </c>
      <c r="B284" s="69">
        <f t="shared" si="2"/>
        <v>3.848101265822784</v>
      </c>
      <c r="D284" s="71"/>
      <c r="G284" s="72"/>
      <c r="H284" s="72"/>
    </row>
    <row r="285" spans="1:8" ht="14.25" customHeight="1" x14ac:dyDescent="0.3">
      <c r="A285" s="20" t="s">
        <v>1134</v>
      </c>
      <c r="B285" s="69">
        <f t="shared" si="2"/>
        <v>3.848101265822784</v>
      </c>
      <c r="D285" s="71"/>
      <c r="G285" s="72"/>
      <c r="H285" s="72"/>
    </row>
    <row r="286" spans="1:8" ht="14.25" customHeight="1" x14ac:dyDescent="0.3">
      <c r="A286" s="20" t="s">
        <v>1135</v>
      </c>
      <c r="B286" s="69">
        <f t="shared" si="2"/>
        <v>3.848101265822784</v>
      </c>
      <c r="D286" s="71"/>
      <c r="G286" s="72"/>
      <c r="H286" s="72"/>
    </row>
    <row r="287" spans="1:8" ht="14.25" customHeight="1" x14ac:dyDescent="0.3">
      <c r="A287" s="20" t="s">
        <v>1138</v>
      </c>
      <c r="B287" s="69">
        <f t="shared" si="2"/>
        <v>3.848101265822784</v>
      </c>
      <c r="D287" s="71"/>
      <c r="G287" s="72"/>
      <c r="H287" s="72"/>
    </row>
    <row r="288" spans="1:8" ht="14.25" customHeight="1" x14ac:dyDescent="0.3">
      <c r="A288" s="20" t="s">
        <v>1139</v>
      </c>
      <c r="B288" s="69">
        <f t="shared" si="2"/>
        <v>3.848101265822784</v>
      </c>
      <c r="D288" s="71"/>
      <c r="G288" s="72"/>
      <c r="H288" s="72"/>
    </row>
    <row r="289" spans="1:8" ht="14.25" customHeight="1" x14ac:dyDescent="0.3">
      <c r="A289" s="20" t="s">
        <v>1140</v>
      </c>
      <c r="B289" s="69">
        <f t="shared" si="2"/>
        <v>3.848101265822784</v>
      </c>
      <c r="D289" s="71"/>
      <c r="G289" s="72"/>
      <c r="H289" s="72"/>
    </row>
    <row r="290" spans="1:8" ht="14.25" customHeight="1" x14ac:dyDescent="0.3">
      <c r="A290" s="20" t="s">
        <v>1142</v>
      </c>
      <c r="B290" s="69">
        <f t="shared" si="2"/>
        <v>3.848101265822784</v>
      </c>
      <c r="D290" s="71"/>
      <c r="G290" s="72"/>
      <c r="H290" s="72"/>
    </row>
    <row r="291" spans="1:8" ht="14.25" customHeight="1" x14ac:dyDescent="0.3">
      <c r="A291" s="20" t="s">
        <v>1143</v>
      </c>
      <c r="B291" s="69">
        <f t="shared" si="2"/>
        <v>3.848101265822784</v>
      </c>
      <c r="D291" s="71"/>
      <c r="G291" s="72"/>
      <c r="H291" s="72"/>
    </row>
    <row r="292" spans="1:8" ht="14.25" customHeight="1" x14ac:dyDescent="0.3">
      <c r="A292" s="20" t="s">
        <v>1144</v>
      </c>
      <c r="B292" s="69">
        <f t="shared" si="2"/>
        <v>3.848101265822784</v>
      </c>
      <c r="D292" s="71"/>
      <c r="G292" s="72"/>
      <c r="H292" s="72"/>
    </row>
    <row r="293" spans="1:8" ht="14.25" customHeight="1" x14ac:dyDescent="0.3">
      <c r="A293" s="20" t="s">
        <v>1145</v>
      </c>
      <c r="B293" s="69">
        <f t="shared" si="2"/>
        <v>3.848101265822784</v>
      </c>
      <c r="D293" s="71"/>
      <c r="G293" s="72"/>
      <c r="H293" s="72"/>
    </row>
    <row r="294" spans="1:8" ht="14.25" customHeight="1" x14ac:dyDescent="0.3">
      <c r="A294" s="20" t="s">
        <v>1146</v>
      </c>
      <c r="B294" s="69">
        <f t="shared" si="2"/>
        <v>3.848101265822784</v>
      </c>
      <c r="D294" s="71"/>
      <c r="G294" s="72"/>
      <c r="H294" s="72"/>
    </row>
    <row r="295" spans="1:8" ht="14.25" customHeight="1" x14ac:dyDescent="0.3">
      <c r="A295" s="20" t="s">
        <v>1148</v>
      </c>
      <c r="B295" s="69">
        <f t="shared" si="2"/>
        <v>3.848101265822784</v>
      </c>
      <c r="D295" s="71"/>
      <c r="G295" s="72"/>
      <c r="H295" s="72"/>
    </row>
    <row r="296" spans="1:8" ht="14.25" customHeight="1" x14ac:dyDescent="0.3">
      <c r="A296" s="20" t="s">
        <v>1149</v>
      </c>
      <c r="B296" s="69">
        <f t="shared" si="2"/>
        <v>3.848101265822784</v>
      </c>
      <c r="D296" s="71"/>
      <c r="G296" s="72"/>
      <c r="H296" s="72"/>
    </row>
    <row r="297" spans="1:8" ht="14.25" customHeight="1" x14ac:dyDescent="0.3">
      <c r="A297" s="20" t="s">
        <v>1150</v>
      </c>
      <c r="B297" s="69">
        <f t="shared" si="2"/>
        <v>3.848101265822784</v>
      </c>
      <c r="D297" s="71"/>
      <c r="G297" s="72"/>
      <c r="H297" s="72"/>
    </row>
    <row r="298" spans="1:8" ht="14.25" customHeight="1" x14ac:dyDescent="0.3">
      <c r="A298" s="20" t="s">
        <v>1157</v>
      </c>
      <c r="B298" s="69">
        <f t="shared" si="2"/>
        <v>3.848101265822784</v>
      </c>
      <c r="D298" s="71"/>
      <c r="G298" s="72"/>
      <c r="H298" s="72"/>
    </row>
    <row r="299" spans="1:8" ht="14.25" customHeight="1" x14ac:dyDescent="0.3">
      <c r="A299" s="20" t="s">
        <v>1163</v>
      </c>
      <c r="B299" s="69">
        <f t="shared" si="2"/>
        <v>3.848101265822784</v>
      </c>
      <c r="D299" s="71"/>
      <c r="G299" s="72"/>
      <c r="H299" s="72"/>
    </row>
    <row r="300" spans="1:8" ht="14.25" customHeight="1" x14ac:dyDescent="0.3">
      <c r="A300" s="20" t="s">
        <v>1164</v>
      </c>
      <c r="B300" s="69">
        <f t="shared" si="2"/>
        <v>3.848101265822784</v>
      </c>
      <c r="D300" s="71"/>
      <c r="G300" s="72"/>
      <c r="H300" s="72"/>
    </row>
    <row r="301" spans="1:8" ht="14.25" customHeight="1" x14ac:dyDescent="0.3">
      <c r="A301" s="20" t="s">
        <v>1165</v>
      </c>
      <c r="B301" s="69">
        <f t="shared" si="2"/>
        <v>3.848101265822784</v>
      </c>
      <c r="D301" s="71"/>
      <c r="G301" s="72"/>
      <c r="H301" s="72"/>
    </row>
    <row r="302" spans="1:8" ht="14.25" customHeight="1" x14ac:dyDescent="0.3">
      <c r="A302" s="20" t="s">
        <v>1166</v>
      </c>
      <c r="B302" s="69">
        <f t="shared" si="2"/>
        <v>3.848101265822784</v>
      </c>
      <c r="D302" s="71"/>
      <c r="G302" s="72"/>
      <c r="H302" s="72"/>
    </row>
    <row r="303" spans="1:8" ht="14.25" customHeight="1" x14ac:dyDescent="0.3">
      <c r="A303" s="20" t="s">
        <v>1167</v>
      </c>
      <c r="B303" s="69">
        <f t="shared" si="2"/>
        <v>3.848101265822784</v>
      </c>
      <c r="D303" s="71"/>
      <c r="G303" s="72"/>
      <c r="H303" s="72"/>
    </row>
    <row r="304" spans="1:8" ht="14.25" customHeight="1" x14ac:dyDescent="0.3">
      <c r="A304" s="20" t="s">
        <v>1173</v>
      </c>
      <c r="B304" s="69">
        <f t="shared" si="2"/>
        <v>3.848101265822784</v>
      </c>
      <c r="D304" s="71"/>
      <c r="G304" s="72"/>
      <c r="H304" s="72"/>
    </row>
    <row r="305" spans="1:8" ht="14.25" customHeight="1" x14ac:dyDescent="0.3">
      <c r="A305" s="20" t="s">
        <v>1176</v>
      </c>
      <c r="B305" s="69">
        <f t="shared" si="2"/>
        <v>3.848101265822784</v>
      </c>
      <c r="D305" s="71"/>
      <c r="G305" s="72"/>
      <c r="H305" s="72"/>
    </row>
    <row r="306" spans="1:8" ht="14.25" customHeight="1" x14ac:dyDescent="0.3">
      <c r="A306" s="20" t="s">
        <v>1177</v>
      </c>
      <c r="B306" s="69">
        <f t="shared" si="2"/>
        <v>3.848101265822784</v>
      </c>
      <c r="D306" s="71"/>
      <c r="G306" s="72"/>
      <c r="H306" s="72"/>
    </row>
    <row r="307" spans="1:8" ht="14.25" customHeight="1" x14ac:dyDescent="0.3">
      <c r="A307" s="20" t="s">
        <v>1179</v>
      </c>
      <c r="B307" s="69">
        <f t="shared" si="2"/>
        <v>3.848101265822784</v>
      </c>
      <c r="D307" s="71"/>
      <c r="G307" s="72"/>
      <c r="H307" s="72"/>
    </row>
    <row r="308" spans="1:8" ht="14.25" customHeight="1" x14ac:dyDescent="0.3">
      <c r="A308" s="20" t="s">
        <v>1184</v>
      </c>
      <c r="B308" s="69">
        <f t="shared" si="2"/>
        <v>3.848101265822784</v>
      </c>
      <c r="D308" s="71"/>
      <c r="G308" s="72"/>
      <c r="H308" s="72"/>
    </row>
    <row r="309" spans="1:8" ht="14.25" customHeight="1" x14ac:dyDescent="0.3">
      <c r="A309" s="20" t="s">
        <v>1187</v>
      </c>
      <c r="B309" s="69">
        <f t="shared" si="2"/>
        <v>3.848101265822784</v>
      </c>
      <c r="D309" s="71"/>
      <c r="G309" s="72"/>
      <c r="H309" s="72"/>
    </row>
    <row r="310" spans="1:8" ht="14.25" customHeight="1" x14ac:dyDescent="0.3">
      <c r="A310" s="20" t="s">
        <v>1188</v>
      </c>
      <c r="B310" s="69">
        <f t="shared" si="2"/>
        <v>3.848101265822784</v>
      </c>
      <c r="D310" s="71"/>
      <c r="G310" s="72"/>
      <c r="H310" s="72"/>
    </row>
    <row r="311" spans="1:8" ht="14.25" customHeight="1" x14ac:dyDescent="0.3">
      <c r="A311" s="20" t="s">
        <v>1189</v>
      </c>
      <c r="B311" s="69">
        <f t="shared" si="2"/>
        <v>3.848101265822784</v>
      </c>
      <c r="D311" s="71"/>
      <c r="G311" s="72"/>
      <c r="H311" s="72"/>
    </row>
    <row r="312" spans="1:8" ht="14.25" customHeight="1" x14ac:dyDescent="0.3">
      <c r="A312" s="20" t="s">
        <v>1190</v>
      </c>
      <c r="B312" s="69">
        <f t="shared" si="2"/>
        <v>3.848101265822784</v>
      </c>
      <c r="D312" s="71"/>
      <c r="G312" s="72"/>
      <c r="H312" s="72"/>
    </row>
    <row r="313" spans="1:8" ht="14.25" customHeight="1" x14ac:dyDescent="0.3">
      <c r="A313" s="20" t="s">
        <v>1197</v>
      </c>
      <c r="B313" s="69">
        <f t="shared" si="2"/>
        <v>3.848101265822784</v>
      </c>
      <c r="D313" s="71"/>
      <c r="G313" s="72"/>
      <c r="H313" s="72"/>
    </row>
    <row r="314" spans="1:8" ht="14.25" customHeight="1" x14ac:dyDescent="0.3">
      <c r="A314" s="20" t="s">
        <v>1198</v>
      </c>
      <c r="B314" s="69">
        <f t="shared" si="2"/>
        <v>3.848101265822784</v>
      </c>
      <c r="D314" s="71"/>
      <c r="G314" s="72"/>
      <c r="H314" s="72"/>
    </row>
    <row r="315" spans="1:8" ht="14.25" customHeight="1" x14ac:dyDescent="0.3">
      <c r="A315" s="20" t="s">
        <v>1201</v>
      </c>
      <c r="B315" s="69">
        <f t="shared" si="2"/>
        <v>3.848101265822784</v>
      </c>
      <c r="D315" s="71"/>
      <c r="G315" s="72"/>
      <c r="H315" s="72"/>
    </row>
    <row r="316" spans="1:8" ht="14.25" customHeight="1" x14ac:dyDescent="0.3">
      <c r="A316" s="20" t="s">
        <v>1203</v>
      </c>
      <c r="B316" s="69">
        <f t="shared" si="2"/>
        <v>3.848101265822784</v>
      </c>
      <c r="D316" s="71"/>
      <c r="G316" s="72"/>
      <c r="H316" s="72"/>
    </row>
    <row r="317" spans="1:8" ht="14.25" customHeight="1" x14ac:dyDescent="0.3">
      <c r="A317" s="20" t="s">
        <v>1206</v>
      </c>
      <c r="B317" s="69">
        <f t="shared" ref="B317:B371" si="3">B316</f>
        <v>3.848101265822784</v>
      </c>
      <c r="D317" s="71"/>
      <c r="G317" s="72"/>
      <c r="H317" s="72"/>
    </row>
    <row r="318" spans="1:8" ht="14.25" customHeight="1" x14ac:dyDescent="0.3">
      <c r="A318" s="20" t="s">
        <v>1210</v>
      </c>
      <c r="B318" s="69">
        <f t="shared" si="3"/>
        <v>3.848101265822784</v>
      </c>
      <c r="D318" s="71"/>
      <c r="G318" s="72"/>
      <c r="H318" s="72"/>
    </row>
    <row r="319" spans="1:8" ht="14.25" customHeight="1" x14ac:dyDescent="0.3">
      <c r="A319" s="20" t="s">
        <v>1223</v>
      </c>
      <c r="B319" s="69">
        <f t="shared" si="3"/>
        <v>3.848101265822784</v>
      </c>
      <c r="D319" s="71"/>
      <c r="G319" s="72"/>
      <c r="H319" s="72"/>
    </row>
    <row r="320" spans="1:8" ht="14.25" customHeight="1" x14ac:dyDescent="0.3">
      <c r="A320" s="20" t="s">
        <v>1227</v>
      </c>
      <c r="B320" s="69">
        <f t="shared" si="3"/>
        <v>3.848101265822784</v>
      </c>
      <c r="D320" s="71"/>
      <c r="G320" s="72"/>
      <c r="H320" s="72"/>
    </row>
    <row r="321" spans="1:8" ht="14.25" customHeight="1" x14ac:dyDescent="0.3">
      <c r="A321" s="20" t="s">
        <v>1228</v>
      </c>
      <c r="B321" s="69">
        <f t="shared" si="3"/>
        <v>3.848101265822784</v>
      </c>
      <c r="D321" s="71"/>
      <c r="G321" s="72"/>
      <c r="H321" s="72"/>
    </row>
    <row r="322" spans="1:8" ht="14.25" customHeight="1" x14ac:dyDescent="0.3">
      <c r="A322" s="20" t="s">
        <v>1230</v>
      </c>
      <c r="B322" s="69">
        <f t="shared" si="3"/>
        <v>3.848101265822784</v>
      </c>
      <c r="D322" s="71"/>
      <c r="G322" s="72"/>
      <c r="H322" s="72"/>
    </row>
    <row r="323" spans="1:8" ht="14.25" customHeight="1" x14ac:dyDescent="0.3">
      <c r="A323" s="20" t="s">
        <v>1245</v>
      </c>
      <c r="B323" s="69">
        <f t="shared" si="3"/>
        <v>3.848101265822784</v>
      </c>
      <c r="D323" s="71"/>
      <c r="G323" s="72"/>
      <c r="H323" s="72"/>
    </row>
    <row r="324" spans="1:8" ht="14.25" customHeight="1" x14ac:dyDescent="0.3">
      <c r="A324" s="20" t="s">
        <v>1248</v>
      </c>
      <c r="B324" s="69">
        <f t="shared" si="3"/>
        <v>3.848101265822784</v>
      </c>
      <c r="D324" s="71"/>
      <c r="G324" s="72"/>
      <c r="H324" s="72"/>
    </row>
    <row r="325" spans="1:8" ht="14.25" customHeight="1" x14ac:dyDescent="0.3">
      <c r="A325" s="20" t="s">
        <v>1249</v>
      </c>
      <c r="B325" s="69">
        <f t="shared" si="3"/>
        <v>3.848101265822784</v>
      </c>
      <c r="D325" s="71"/>
      <c r="G325" s="72"/>
      <c r="H325" s="72"/>
    </row>
    <row r="326" spans="1:8" ht="14.25" customHeight="1" x14ac:dyDescent="0.3">
      <c r="A326" s="20" t="s">
        <v>1251</v>
      </c>
      <c r="B326" s="69">
        <f t="shared" si="3"/>
        <v>3.848101265822784</v>
      </c>
      <c r="D326" s="71"/>
      <c r="G326" s="72"/>
      <c r="H326" s="72"/>
    </row>
    <row r="327" spans="1:8" ht="14.25" customHeight="1" x14ac:dyDescent="0.3">
      <c r="A327" s="20" t="s">
        <v>1252</v>
      </c>
      <c r="B327" s="69">
        <f t="shared" si="3"/>
        <v>3.848101265822784</v>
      </c>
      <c r="D327" s="71"/>
      <c r="G327" s="72"/>
      <c r="H327" s="72"/>
    </row>
    <row r="328" spans="1:8" ht="14.25" customHeight="1" x14ac:dyDescent="0.3">
      <c r="A328" s="20" t="s">
        <v>1253</v>
      </c>
      <c r="B328" s="69">
        <f t="shared" si="3"/>
        <v>3.848101265822784</v>
      </c>
      <c r="D328" s="71"/>
      <c r="G328" s="72"/>
      <c r="H328" s="72"/>
    </row>
    <row r="329" spans="1:8" ht="14.25" customHeight="1" x14ac:dyDescent="0.3">
      <c r="A329" s="20" t="s">
        <v>1254</v>
      </c>
      <c r="B329" s="69">
        <f t="shared" si="3"/>
        <v>3.848101265822784</v>
      </c>
      <c r="D329" s="71"/>
      <c r="G329" s="72"/>
      <c r="H329" s="72"/>
    </row>
    <row r="330" spans="1:8" ht="14.25" customHeight="1" x14ac:dyDescent="0.3">
      <c r="A330" s="20" t="s">
        <v>1257</v>
      </c>
      <c r="B330" s="69">
        <f t="shared" si="3"/>
        <v>3.848101265822784</v>
      </c>
      <c r="D330" s="71"/>
      <c r="G330" s="72"/>
      <c r="H330" s="72"/>
    </row>
    <row r="331" spans="1:8" ht="14.25" customHeight="1" x14ac:dyDescent="0.3">
      <c r="A331" s="20" t="s">
        <v>1261</v>
      </c>
      <c r="B331" s="69">
        <f t="shared" si="3"/>
        <v>3.848101265822784</v>
      </c>
      <c r="D331" s="71"/>
      <c r="G331" s="72"/>
      <c r="H331" s="72"/>
    </row>
    <row r="332" spans="1:8" ht="14.25" customHeight="1" x14ac:dyDescent="0.3">
      <c r="A332" s="20" t="s">
        <v>1264</v>
      </c>
      <c r="B332" s="69">
        <f t="shared" si="3"/>
        <v>3.848101265822784</v>
      </c>
      <c r="D332" s="71"/>
      <c r="G332" s="72"/>
      <c r="H332" s="72"/>
    </row>
    <row r="333" spans="1:8" ht="14.25" customHeight="1" x14ac:dyDescent="0.3">
      <c r="A333" s="20" t="s">
        <v>1266</v>
      </c>
      <c r="B333" s="69">
        <f t="shared" si="3"/>
        <v>3.848101265822784</v>
      </c>
      <c r="D333" s="71"/>
      <c r="G333" s="72"/>
      <c r="H333" s="72"/>
    </row>
    <row r="334" spans="1:8" ht="14.25" customHeight="1" x14ac:dyDescent="0.3">
      <c r="A334" s="20" t="s">
        <v>1267</v>
      </c>
      <c r="B334" s="69">
        <f t="shared" si="3"/>
        <v>3.848101265822784</v>
      </c>
      <c r="D334" s="71"/>
      <c r="G334" s="72"/>
      <c r="H334" s="72"/>
    </row>
    <row r="335" spans="1:8" ht="14.25" customHeight="1" x14ac:dyDescent="0.3">
      <c r="A335" s="20" t="s">
        <v>1283</v>
      </c>
      <c r="B335" s="69">
        <f t="shared" si="3"/>
        <v>3.848101265822784</v>
      </c>
      <c r="D335" s="71"/>
      <c r="G335" s="72"/>
      <c r="H335" s="72"/>
    </row>
    <row r="336" spans="1:8" ht="14.25" customHeight="1" x14ac:dyDescent="0.3">
      <c r="A336" s="20" t="s">
        <v>1285</v>
      </c>
      <c r="B336" s="69">
        <f t="shared" si="3"/>
        <v>3.848101265822784</v>
      </c>
      <c r="D336" s="71"/>
      <c r="G336" s="72"/>
      <c r="H336" s="72"/>
    </row>
    <row r="337" spans="1:8" ht="14.25" customHeight="1" x14ac:dyDescent="0.3">
      <c r="A337" s="20" t="s">
        <v>1290</v>
      </c>
      <c r="B337" s="69">
        <f t="shared" si="3"/>
        <v>3.848101265822784</v>
      </c>
      <c r="D337" s="71"/>
      <c r="G337" s="72"/>
      <c r="H337" s="72"/>
    </row>
    <row r="338" spans="1:8" ht="14.25" customHeight="1" x14ac:dyDescent="0.3">
      <c r="A338" s="20" t="s">
        <v>1295</v>
      </c>
      <c r="B338" s="69">
        <f t="shared" si="3"/>
        <v>3.848101265822784</v>
      </c>
      <c r="D338" s="71"/>
      <c r="G338" s="72"/>
      <c r="H338" s="72"/>
    </row>
    <row r="339" spans="1:8" ht="14.25" customHeight="1" x14ac:dyDescent="0.3">
      <c r="A339" s="20" t="s">
        <v>1296</v>
      </c>
      <c r="B339" s="69">
        <f t="shared" si="3"/>
        <v>3.848101265822784</v>
      </c>
      <c r="D339" s="71"/>
      <c r="G339" s="72"/>
      <c r="H339" s="72"/>
    </row>
    <row r="340" spans="1:8" ht="14.25" customHeight="1" x14ac:dyDescent="0.3">
      <c r="A340" s="20" t="s">
        <v>1303</v>
      </c>
      <c r="B340" s="69">
        <f t="shared" si="3"/>
        <v>3.848101265822784</v>
      </c>
      <c r="D340" s="71"/>
      <c r="G340" s="72"/>
      <c r="H340" s="72"/>
    </row>
    <row r="341" spans="1:8" ht="14.25" customHeight="1" x14ac:dyDescent="0.3">
      <c r="A341" s="20" t="s">
        <v>1308</v>
      </c>
      <c r="B341" s="69">
        <f t="shared" si="3"/>
        <v>3.848101265822784</v>
      </c>
      <c r="D341" s="71"/>
      <c r="G341" s="72"/>
      <c r="H341" s="72"/>
    </row>
    <row r="342" spans="1:8" ht="14.25" customHeight="1" x14ac:dyDescent="0.3">
      <c r="A342" s="20" t="s">
        <v>1309</v>
      </c>
      <c r="B342" s="69">
        <f t="shared" si="3"/>
        <v>3.848101265822784</v>
      </c>
      <c r="D342" s="71"/>
      <c r="G342" s="72"/>
      <c r="H342" s="72"/>
    </row>
    <row r="343" spans="1:8" ht="14.25" customHeight="1" x14ac:dyDescent="0.3">
      <c r="A343" s="20" t="s">
        <v>1310</v>
      </c>
      <c r="B343" s="69">
        <f t="shared" si="3"/>
        <v>3.848101265822784</v>
      </c>
      <c r="D343" s="71"/>
      <c r="G343" s="72"/>
      <c r="H343" s="72"/>
    </row>
    <row r="344" spans="1:8" ht="14.25" customHeight="1" x14ac:dyDescent="0.3">
      <c r="A344" s="20" t="s">
        <v>1311</v>
      </c>
      <c r="B344" s="69">
        <f t="shared" si="3"/>
        <v>3.848101265822784</v>
      </c>
      <c r="D344" s="71"/>
      <c r="G344" s="72"/>
      <c r="H344" s="72"/>
    </row>
    <row r="345" spans="1:8" ht="14.25" customHeight="1" x14ac:dyDescent="0.3">
      <c r="A345" s="20" t="s">
        <v>1312</v>
      </c>
      <c r="B345" s="69">
        <f t="shared" si="3"/>
        <v>3.848101265822784</v>
      </c>
      <c r="D345" s="71"/>
      <c r="G345" s="72"/>
      <c r="H345" s="72"/>
    </row>
    <row r="346" spans="1:8" ht="14.25" customHeight="1" x14ac:dyDescent="0.3">
      <c r="A346" s="20" t="s">
        <v>1313</v>
      </c>
      <c r="B346" s="69">
        <f t="shared" si="3"/>
        <v>3.848101265822784</v>
      </c>
      <c r="D346" s="71"/>
      <c r="G346" s="72"/>
      <c r="H346" s="72"/>
    </row>
    <row r="347" spans="1:8" ht="14.25" customHeight="1" x14ac:dyDescent="0.3">
      <c r="A347" s="20" t="s">
        <v>1314</v>
      </c>
      <c r="B347" s="69">
        <f t="shared" si="3"/>
        <v>3.848101265822784</v>
      </c>
      <c r="D347" s="71"/>
      <c r="G347" s="72"/>
      <c r="H347" s="72"/>
    </row>
    <row r="348" spans="1:8" ht="14.25" customHeight="1" x14ac:dyDescent="0.3">
      <c r="A348" s="20" t="s">
        <v>1318</v>
      </c>
      <c r="B348" s="69">
        <f t="shared" si="3"/>
        <v>3.848101265822784</v>
      </c>
      <c r="D348" s="71"/>
      <c r="G348" s="72"/>
      <c r="H348" s="72"/>
    </row>
    <row r="349" spans="1:8" ht="14.25" customHeight="1" x14ac:dyDescent="0.3">
      <c r="A349" s="20" t="s">
        <v>1319</v>
      </c>
      <c r="B349" s="69">
        <f t="shared" si="3"/>
        <v>3.848101265822784</v>
      </c>
      <c r="D349" s="71"/>
      <c r="G349" s="72"/>
      <c r="H349" s="72"/>
    </row>
    <row r="350" spans="1:8" ht="14.25" customHeight="1" x14ac:dyDescent="0.3">
      <c r="A350" s="20" t="s">
        <v>1320</v>
      </c>
      <c r="B350" s="69">
        <f t="shared" si="3"/>
        <v>3.848101265822784</v>
      </c>
      <c r="D350" s="71"/>
      <c r="G350" s="72"/>
      <c r="H350" s="72"/>
    </row>
    <row r="351" spans="1:8" ht="14.25" customHeight="1" x14ac:dyDescent="0.3">
      <c r="A351" s="20" t="s">
        <v>1321</v>
      </c>
      <c r="B351" s="69">
        <f t="shared" si="3"/>
        <v>3.848101265822784</v>
      </c>
      <c r="D351" s="71"/>
      <c r="G351" s="72"/>
      <c r="H351" s="72"/>
    </row>
    <row r="352" spans="1:8" ht="14.25" customHeight="1" x14ac:dyDescent="0.3">
      <c r="A352" s="20" t="s">
        <v>1322</v>
      </c>
      <c r="B352" s="69">
        <f t="shared" si="3"/>
        <v>3.848101265822784</v>
      </c>
      <c r="D352" s="71"/>
      <c r="G352" s="72"/>
      <c r="H352" s="72"/>
    </row>
    <row r="353" spans="1:8" ht="14.25" customHeight="1" x14ac:dyDescent="0.3">
      <c r="A353" s="20" t="s">
        <v>1326</v>
      </c>
      <c r="B353" s="69">
        <f t="shared" si="3"/>
        <v>3.848101265822784</v>
      </c>
      <c r="D353" s="71"/>
      <c r="G353" s="72"/>
      <c r="H353" s="72"/>
    </row>
    <row r="354" spans="1:8" ht="14.25" customHeight="1" x14ac:dyDescent="0.3">
      <c r="A354" s="20" t="s">
        <v>1328</v>
      </c>
      <c r="B354" s="69">
        <f t="shared" si="3"/>
        <v>3.848101265822784</v>
      </c>
      <c r="D354" s="71"/>
      <c r="G354" s="72"/>
      <c r="H354" s="72"/>
    </row>
    <row r="355" spans="1:8" ht="14.25" customHeight="1" x14ac:dyDescent="0.3">
      <c r="A355" s="20" t="s">
        <v>1339</v>
      </c>
      <c r="B355" s="69">
        <f t="shared" si="3"/>
        <v>3.848101265822784</v>
      </c>
      <c r="D355" s="71"/>
      <c r="G355" s="72"/>
      <c r="H355" s="72"/>
    </row>
    <row r="356" spans="1:8" ht="14.25" customHeight="1" x14ac:dyDescent="0.3">
      <c r="A356" s="20" t="s">
        <v>1340</v>
      </c>
      <c r="B356" s="69">
        <f t="shared" si="3"/>
        <v>3.848101265822784</v>
      </c>
      <c r="D356" s="71"/>
      <c r="G356" s="72"/>
      <c r="H356" s="72"/>
    </row>
    <row r="357" spans="1:8" ht="14.25" customHeight="1" x14ac:dyDescent="0.3">
      <c r="A357" s="20" t="s">
        <v>1346</v>
      </c>
      <c r="B357" s="69">
        <f t="shared" si="3"/>
        <v>3.848101265822784</v>
      </c>
      <c r="D357" s="71"/>
      <c r="G357" s="72"/>
      <c r="H357" s="72"/>
    </row>
    <row r="358" spans="1:8" ht="14.25" customHeight="1" x14ac:dyDescent="0.3">
      <c r="A358" s="20" t="s">
        <v>1352</v>
      </c>
      <c r="B358" s="69">
        <f t="shared" si="3"/>
        <v>3.848101265822784</v>
      </c>
      <c r="D358" s="71"/>
      <c r="G358" s="72"/>
      <c r="H358" s="72"/>
    </row>
    <row r="359" spans="1:8" ht="14.25" customHeight="1" x14ac:dyDescent="0.3">
      <c r="A359" s="20" t="s">
        <v>1359</v>
      </c>
      <c r="B359" s="69">
        <f t="shared" si="3"/>
        <v>3.848101265822784</v>
      </c>
      <c r="D359" s="71"/>
      <c r="G359" s="72"/>
      <c r="H359" s="72"/>
    </row>
    <row r="360" spans="1:8" ht="14.25" customHeight="1" x14ac:dyDescent="0.3">
      <c r="A360" s="20" t="s">
        <v>1360</v>
      </c>
      <c r="B360" s="69">
        <f t="shared" si="3"/>
        <v>3.848101265822784</v>
      </c>
      <c r="D360" s="71"/>
      <c r="G360" s="72"/>
      <c r="H360" s="72"/>
    </row>
    <row r="361" spans="1:8" ht="14.25" customHeight="1" x14ac:dyDescent="0.3">
      <c r="A361" s="20" t="s">
        <v>1362</v>
      </c>
      <c r="B361" s="69">
        <f t="shared" si="3"/>
        <v>3.848101265822784</v>
      </c>
      <c r="D361" s="71"/>
      <c r="G361" s="72"/>
      <c r="H361" s="72"/>
    </row>
    <row r="362" spans="1:8" ht="14.25" customHeight="1" x14ac:dyDescent="0.3">
      <c r="A362" s="20" t="s">
        <v>1363</v>
      </c>
      <c r="B362" s="69">
        <f t="shared" si="3"/>
        <v>3.848101265822784</v>
      </c>
      <c r="D362" s="71"/>
      <c r="G362" s="72"/>
      <c r="H362" s="72"/>
    </row>
    <row r="363" spans="1:8" ht="14.25" customHeight="1" x14ac:dyDescent="0.3">
      <c r="A363" s="20" t="s">
        <v>1365</v>
      </c>
      <c r="B363" s="69">
        <f t="shared" si="3"/>
        <v>3.848101265822784</v>
      </c>
      <c r="D363" s="71"/>
      <c r="G363" s="72"/>
      <c r="H363" s="72"/>
    </row>
    <row r="364" spans="1:8" ht="14.25" customHeight="1" x14ac:dyDescent="0.3">
      <c r="A364" s="20" t="s">
        <v>1366</v>
      </c>
      <c r="B364" s="69">
        <f t="shared" si="3"/>
        <v>3.848101265822784</v>
      </c>
      <c r="D364" s="71"/>
      <c r="G364" s="72"/>
      <c r="H364" s="72"/>
    </row>
    <row r="365" spans="1:8" ht="14.25" customHeight="1" x14ac:dyDescent="0.3">
      <c r="A365" s="20" t="s">
        <v>1368</v>
      </c>
      <c r="B365" s="69">
        <f t="shared" si="3"/>
        <v>3.848101265822784</v>
      </c>
      <c r="D365" s="71"/>
      <c r="G365" s="72"/>
      <c r="H365" s="72"/>
    </row>
    <row r="366" spans="1:8" ht="14.25" customHeight="1" x14ac:dyDescent="0.3">
      <c r="A366" s="20" t="s">
        <v>1370</v>
      </c>
      <c r="B366" s="69">
        <f t="shared" si="3"/>
        <v>3.848101265822784</v>
      </c>
      <c r="D366" s="71"/>
      <c r="G366" s="72"/>
      <c r="H366" s="72"/>
    </row>
    <row r="367" spans="1:8" ht="14.25" customHeight="1" x14ac:dyDescent="0.3">
      <c r="A367" s="20" t="s">
        <v>1371</v>
      </c>
      <c r="B367" s="69">
        <f t="shared" si="3"/>
        <v>3.848101265822784</v>
      </c>
      <c r="D367" s="71"/>
      <c r="G367" s="72"/>
      <c r="H367" s="72"/>
    </row>
    <row r="368" spans="1:8" ht="14.25" customHeight="1" x14ac:dyDescent="0.3">
      <c r="A368" s="20" t="s">
        <v>1372</v>
      </c>
      <c r="B368" s="69">
        <f t="shared" si="3"/>
        <v>3.848101265822784</v>
      </c>
      <c r="D368" s="71"/>
      <c r="G368" s="72"/>
      <c r="H368" s="72"/>
    </row>
    <row r="369" spans="1:8" ht="14.25" customHeight="1" x14ac:dyDescent="0.3">
      <c r="A369" s="20" t="s">
        <v>1373</v>
      </c>
      <c r="B369" s="69">
        <f t="shared" si="3"/>
        <v>3.848101265822784</v>
      </c>
      <c r="D369" s="71"/>
      <c r="G369" s="72"/>
      <c r="H369" s="72"/>
    </row>
    <row r="370" spans="1:8" ht="14.25" customHeight="1" x14ac:dyDescent="0.3">
      <c r="A370" s="20" t="s">
        <v>1375</v>
      </c>
      <c r="B370" s="69">
        <f t="shared" si="3"/>
        <v>3.848101265822784</v>
      </c>
      <c r="D370" s="71"/>
      <c r="G370" s="72"/>
      <c r="H370" s="72"/>
    </row>
    <row r="371" spans="1:8" ht="14.25" customHeight="1" x14ac:dyDescent="0.3">
      <c r="A371" s="20" t="s">
        <v>1376</v>
      </c>
      <c r="B371" s="69">
        <f t="shared" si="3"/>
        <v>3.848101265822784</v>
      </c>
      <c r="D371" s="71"/>
      <c r="G371" s="72"/>
      <c r="H371" s="72"/>
    </row>
    <row r="372" spans="1:8" ht="14.25" customHeight="1" x14ac:dyDescent="0.3">
      <c r="A372" s="20" t="s">
        <v>120</v>
      </c>
      <c r="B372" s="70">
        <v>2.2010999999999985</v>
      </c>
      <c r="D372" s="71"/>
      <c r="G372" s="72"/>
      <c r="H372" s="72"/>
    </row>
    <row r="373" spans="1:8" ht="14.25" customHeight="1" x14ac:dyDescent="0.3">
      <c r="A373" s="20" t="s">
        <v>122</v>
      </c>
      <c r="B373" s="70">
        <v>2.1185999999999989</v>
      </c>
      <c r="D373" s="71"/>
      <c r="G373" s="72"/>
      <c r="H373" s="72"/>
    </row>
    <row r="374" spans="1:8" ht="14.25" customHeight="1" x14ac:dyDescent="0.3">
      <c r="A374" s="20" t="s">
        <v>138</v>
      </c>
      <c r="B374" s="70">
        <v>2.0484999999999989</v>
      </c>
      <c r="D374" s="71"/>
      <c r="G374" s="72"/>
      <c r="H374" s="72"/>
    </row>
    <row r="375" spans="1:8" ht="14.25" customHeight="1" x14ac:dyDescent="0.3">
      <c r="A375" s="20" t="s">
        <v>151</v>
      </c>
      <c r="B375" s="70">
        <v>1.9908000000000001</v>
      </c>
      <c r="D375" s="71"/>
      <c r="G375" s="72"/>
      <c r="H375" s="72"/>
    </row>
    <row r="376" spans="1:8" ht="14.25" customHeight="1" x14ac:dyDescent="0.3">
      <c r="A376" s="20" t="s">
        <v>158</v>
      </c>
      <c r="B376" s="70">
        <v>1.9454999999999991</v>
      </c>
      <c r="D376" s="71"/>
      <c r="G376" s="72"/>
      <c r="H376" s="72"/>
    </row>
    <row r="377" spans="1:8" ht="14.25" customHeight="1" x14ac:dyDescent="0.3">
      <c r="A377" s="20" t="s">
        <v>157</v>
      </c>
      <c r="B377" s="70">
        <v>1.9125999999999994</v>
      </c>
      <c r="D377" s="71"/>
      <c r="G377" s="72"/>
      <c r="H377" s="72"/>
    </row>
    <row r="378" spans="1:8" ht="14.25" customHeight="1" x14ac:dyDescent="0.3">
      <c r="A378" s="20" t="s">
        <v>168</v>
      </c>
      <c r="B378" s="70">
        <v>1.8920999999999992</v>
      </c>
      <c r="D378" s="71"/>
      <c r="G378" s="72"/>
      <c r="H378" s="72"/>
    </row>
    <row r="379" spans="1:8" ht="14.25" customHeight="1" x14ac:dyDescent="0.3">
      <c r="A379" s="20" t="s">
        <v>155</v>
      </c>
      <c r="B379" s="70">
        <v>1.8839999999999986</v>
      </c>
      <c r="D379" s="71"/>
      <c r="G379" s="72"/>
      <c r="H379" s="72"/>
    </row>
    <row r="380" spans="1:8" ht="14.25" customHeight="1" x14ac:dyDescent="0.3">
      <c r="A380" s="20" t="s">
        <v>164</v>
      </c>
      <c r="B380" s="70">
        <v>1.8882999999999992</v>
      </c>
      <c r="D380" s="71"/>
      <c r="G380" s="72"/>
      <c r="H380" s="72"/>
    </row>
    <row r="381" spans="1:8" ht="14.25" customHeight="1" x14ac:dyDescent="0.3">
      <c r="A381" s="20" t="s">
        <v>171</v>
      </c>
      <c r="B381" s="70">
        <v>1.9049999999999994</v>
      </c>
      <c r="D381" s="71"/>
      <c r="G381" s="72"/>
      <c r="H381" s="72"/>
    </row>
    <row r="382" spans="1:8" ht="14.25" customHeight="1" x14ac:dyDescent="0.3">
      <c r="A382" s="20" t="s">
        <v>182</v>
      </c>
      <c r="B382" s="70">
        <v>1.934099999999999</v>
      </c>
      <c r="D382" s="71"/>
      <c r="G382" s="72"/>
      <c r="H382" s="72"/>
    </row>
    <row r="383" spans="1:8" ht="14.25" customHeight="1" x14ac:dyDescent="0.3">
      <c r="A383" s="20" t="s">
        <v>170</v>
      </c>
      <c r="B383" s="70">
        <v>1.9756</v>
      </c>
      <c r="D383" s="71"/>
      <c r="G383" s="72"/>
      <c r="H383" s="72"/>
    </row>
    <row r="384" spans="1:8" ht="14.25" customHeight="1" x14ac:dyDescent="0.3">
      <c r="A384" s="20" t="s">
        <v>181</v>
      </c>
      <c r="B384" s="70">
        <v>2.0294999999999987</v>
      </c>
      <c r="D384" s="71"/>
      <c r="G384" s="72"/>
      <c r="H384" s="72"/>
    </row>
    <row r="385" spans="1:8" ht="14.25" customHeight="1" x14ac:dyDescent="0.3">
      <c r="A385" s="20" t="s">
        <v>180</v>
      </c>
      <c r="B385" s="70">
        <v>2.0957999999999988</v>
      </c>
      <c r="D385" s="71"/>
      <c r="G385" s="72"/>
      <c r="H385" s="72"/>
    </row>
    <row r="386" spans="1:8" ht="14.25" customHeight="1" x14ac:dyDescent="0.3">
      <c r="A386" s="20" t="s">
        <v>185</v>
      </c>
      <c r="B386" s="70">
        <v>2.1745000000000001</v>
      </c>
      <c r="D386" s="71"/>
      <c r="G386" s="72"/>
      <c r="H386" s="72"/>
    </row>
    <row r="387" spans="1:8" ht="14.25" customHeight="1" x14ac:dyDescent="0.3">
      <c r="A387" s="20" t="s">
        <v>194</v>
      </c>
      <c r="B387" s="70">
        <v>2.2655999999999992</v>
      </c>
      <c r="D387" s="71"/>
      <c r="G387" s="72"/>
      <c r="H387" s="72"/>
    </row>
    <row r="388" spans="1:8" ht="14.25" customHeight="1" x14ac:dyDescent="0.3">
      <c r="A388" s="20" t="s">
        <v>195</v>
      </c>
      <c r="B388" s="70">
        <v>2.3690999999999995</v>
      </c>
      <c r="D388" s="71"/>
      <c r="G388" s="72"/>
      <c r="H388" s="72"/>
    </row>
    <row r="389" spans="1:8" ht="14.25" customHeight="1" x14ac:dyDescent="0.3">
      <c r="A389" s="20" t="s">
        <v>214</v>
      </c>
      <c r="B389" s="70">
        <v>2.4849999999999994</v>
      </c>
      <c r="D389" s="71"/>
      <c r="G389" s="72"/>
      <c r="H389" s="72"/>
    </row>
    <row r="390" spans="1:8" ht="14.25" customHeight="1" x14ac:dyDescent="0.3">
      <c r="A390" s="20" t="s">
        <v>196</v>
      </c>
      <c r="B390" s="70">
        <v>2.6132999999999988</v>
      </c>
      <c r="D390" s="71"/>
      <c r="G390" s="72"/>
      <c r="H390" s="72"/>
    </row>
    <row r="391" spans="1:8" ht="14.25" customHeight="1" x14ac:dyDescent="0.3">
      <c r="A391" s="20" t="s">
        <v>200</v>
      </c>
      <c r="B391" s="70">
        <v>2.7539999999999996</v>
      </c>
      <c r="D391" s="71"/>
      <c r="G391" s="72"/>
      <c r="H391" s="72"/>
    </row>
    <row r="392" spans="1:8" ht="14.25" customHeight="1" x14ac:dyDescent="0.3">
      <c r="A392" s="20" t="s">
        <v>209</v>
      </c>
      <c r="B392" s="70">
        <v>2.9070999999999998</v>
      </c>
      <c r="D392" s="71"/>
      <c r="G392" s="72"/>
      <c r="H392" s="72"/>
    </row>
    <row r="393" spans="1:8" ht="14.25" customHeight="1" x14ac:dyDescent="0.3">
      <c r="A393" s="20" t="s">
        <v>222</v>
      </c>
      <c r="B393" s="70">
        <v>3</v>
      </c>
      <c r="D393" s="71"/>
      <c r="G393" s="72"/>
      <c r="H393" s="72"/>
    </row>
    <row r="394" spans="1:8" ht="14.25" customHeight="1" x14ac:dyDescent="0.3">
      <c r="A394" s="20" t="s">
        <v>239</v>
      </c>
      <c r="B394" s="70">
        <v>3</v>
      </c>
      <c r="D394" s="71"/>
      <c r="G394" s="72"/>
      <c r="H394" s="72"/>
    </row>
    <row r="395" spans="1:8" ht="14.25" customHeight="1" x14ac:dyDescent="0.3">
      <c r="A395" s="20" t="s">
        <v>225</v>
      </c>
      <c r="B395" s="70">
        <v>3</v>
      </c>
      <c r="D395" s="71"/>
      <c r="G395" s="72"/>
      <c r="H395" s="72"/>
    </row>
    <row r="396" spans="1:8" ht="14.25" customHeight="1" x14ac:dyDescent="0.3">
      <c r="A396" s="20" t="s">
        <v>221</v>
      </c>
      <c r="B396" s="70">
        <v>3</v>
      </c>
      <c r="D396" s="71"/>
      <c r="G396" s="72"/>
      <c r="H396" s="72"/>
    </row>
    <row r="397" spans="1:8" ht="14.25" customHeight="1" x14ac:dyDescent="0.3">
      <c r="A397" s="20" t="s">
        <v>237</v>
      </c>
      <c r="B397" s="70">
        <v>3</v>
      </c>
      <c r="D397" s="71"/>
      <c r="G397" s="72"/>
      <c r="H397" s="72"/>
    </row>
    <row r="398" spans="1:8" ht="14.25" customHeight="1" x14ac:dyDescent="0.3">
      <c r="A398" s="20" t="s">
        <v>217</v>
      </c>
      <c r="B398" s="70">
        <v>3</v>
      </c>
      <c r="D398" s="71"/>
      <c r="G398" s="72"/>
      <c r="H398" s="72"/>
    </row>
    <row r="399" spans="1:8" ht="14.25" customHeight="1" x14ac:dyDescent="0.3">
      <c r="A399" s="20" t="s">
        <v>227</v>
      </c>
      <c r="B399" s="70">
        <v>3</v>
      </c>
      <c r="D399" s="71"/>
      <c r="G399" s="72"/>
      <c r="H399" s="72"/>
    </row>
    <row r="400" spans="1:8" ht="14.25" customHeight="1" x14ac:dyDescent="0.3">
      <c r="A400" s="20" t="s">
        <v>257</v>
      </c>
      <c r="B400" s="70">
        <f>B399</f>
        <v>3</v>
      </c>
      <c r="D400" s="71"/>
      <c r="G400" s="72"/>
      <c r="H400" s="72"/>
    </row>
    <row r="401" spans="1:8" ht="14.25" customHeight="1" x14ac:dyDescent="0.3">
      <c r="A401" s="20" t="s">
        <v>242</v>
      </c>
      <c r="B401" s="70">
        <f t="shared" ref="B401:B421" si="4">B400</f>
        <v>3</v>
      </c>
      <c r="D401" s="71"/>
      <c r="G401" s="72"/>
      <c r="H401" s="72"/>
    </row>
    <row r="402" spans="1:8" ht="14.25" customHeight="1" x14ac:dyDescent="0.3">
      <c r="A402" s="20" t="s">
        <v>240</v>
      </c>
      <c r="B402" s="70">
        <f t="shared" si="4"/>
        <v>3</v>
      </c>
      <c r="D402" s="71"/>
      <c r="G402" s="72"/>
      <c r="H402" s="72"/>
    </row>
    <row r="403" spans="1:8" ht="14.25" customHeight="1" x14ac:dyDescent="0.3">
      <c r="A403" s="20" t="s">
        <v>264</v>
      </c>
      <c r="B403" s="70">
        <f t="shared" si="4"/>
        <v>3</v>
      </c>
      <c r="D403" s="71"/>
      <c r="G403" s="72"/>
      <c r="H403" s="72"/>
    </row>
    <row r="404" spans="1:8" ht="14.25" customHeight="1" x14ac:dyDescent="0.3">
      <c r="A404" s="20" t="s">
        <v>228</v>
      </c>
      <c r="B404" s="70">
        <f t="shared" si="4"/>
        <v>3</v>
      </c>
      <c r="D404" s="71"/>
      <c r="G404" s="72"/>
      <c r="H404" s="72"/>
    </row>
    <row r="405" spans="1:8" ht="14.25" customHeight="1" x14ac:dyDescent="0.3">
      <c r="A405" s="20" t="s">
        <v>274</v>
      </c>
      <c r="B405" s="70">
        <f t="shared" si="4"/>
        <v>3</v>
      </c>
      <c r="D405" s="71"/>
      <c r="G405" s="72"/>
      <c r="H405" s="72"/>
    </row>
    <row r="406" spans="1:8" ht="14.25" customHeight="1" x14ac:dyDescent="0.3">
      <c r="A406" s="20" t="s">
        <v>313</v>
      </c>
      <c r="B406" s="70">
        <f t="shared" si="4"/>
        <v>3</v>
      </c>
      <c r="D406" s="71"/>
      <c r="G406" s="72"/>
      <c r="H406" s="72"/>
    </row>
    <row r="407" spans="1:8" ht="14.25" customHeight="1" x14ac:dyDescent="0.3">
      <c r="A407" s="20" t="s">
        <v>256</v>
      </c>
      <c r="B407" s="70">
        <f t="shared" si="4"/>
        <v>3</v>
      </c>
      <c r="D407" s="71"/>
      <c r="G407" s="72"/>
      <c r="H407" s="72"/>
    </row>
    <row r="408" spans="1:8" ht="14.25" customHeight="1" x14ac:dyDescent="0.3">
      <c r="A408" s="20" t="s">
        <v>319</v>
      </c>
      <c r="B408" s="70">
        <f t="shared" si="4"/>
        <v>3</v>
      </c>
      <c r="D408" s="71"/>
      <c r="G408" s="72"/>
      <c r="H408" s="72"/>
    </row>
    <row r="409" spans="1:8" ht="14.25" customHeight="1" x14ac:dyDescent="0.3">
      <c r="A409" s="20" t="s">
        <v>285</v>
      </c>
      <c r="B409" s="70">
        <f t="shared" si="4"/>
        <v>3</v>
      </c>
      <c r="D409" s="71"/>
      <c r="G409" s="72"/>
      <c r="H409" s="72"/>
    </row>
    <row r="410" spans="1:8" ht="14.25" customHeight="1" x14ac:dyDescent="0.3">
      <c r="A410" s="20" t="s">
        <v>251</v>
      </c>
      <c r="B410" s="70">
        <f t="shared" si="4"/>
        <v>3</v>
      </c>
      <c r="D410" s="71"/>
      <c r="G410" s="72"/>
      <c r="H410" s="72"/>
    </row>
    <row r="411" spans="1:8" ht="14.25" customHeight="1" x14ac:dyDescent="0.3">
      <c r="A411" s="20" t="s">
        <v>330</v>
      </c>
      <c r="B411" s="70">
        <f t="shared" si="4"/>
        <v>3</v>
      </c>
      <c r="D411" s="71"/>
      <c r="G411" s="72"/>
      <c r="H411" s="72"/>
    </row>
    <row r="412" spans="1:8" ht="14.25" customHeight="1" x14ac:dyDescent="0.3">
      <c r="A412" s="20" t="s">
        <v>281</v>
      </c>
      <c r="B412" s="70">
        <f t="shared" si="4"/>
        <v>3</v>
      </c>
      <c r="D412" s="71"/>
      <c r="G412" s="72"/>
      <c r="H412" s="72"/>
    </row>
    <row r="413" spans="1:8" ht="14.25" customHeight="1" x14ac:dyDescent="0.3">
      <c r="A413" s="20" t="s">
        <v>312</v>
      </c>
      <c r="B413" s="70">
        <f t="shared" si="4"/>
        <v>3</v>
      </c>
      <c r="D413" s="71"/>
      <c r="G413" s="72"/>
      <c r="H413" s="72"/>
    </row>
    <row r="414" spans="1:8" ht="14.25" customHeight="1" x14ac:dyDescent="0.3">
      <c r="A414" s="20" t="s">
        <v>302</v>
      </c>
      <c r="B414" s="70">
        <f t="shared" si="4"/>
        <v>3</v>
      </c>
      <c r="D414" s="71"/>
      <c r="G414" s="72"/>
      <c r="H414" s="72"/>
    </row>
    <row r="415" spans="1:8" ht="14.25" customHeight="1" x14ac:dyDescent="0.3">
      <c r="A415" s="20" t="s">
        <v>326</v>
      </c>
      <c r="B415" s="70">
        <f t="shared" si="4"/>
        <v>3</v>
      </c>
      <c r="D415" s="71"/>
      <c r="G415" s="72"/>
      <c r="H415" s="72"/>
    </row>
    <row r="416" spans="1:8" ht="14.25" customHeight="1" x14ac:dyDescent="0.3">
      <c r="A416" s="20" t="s">
        <v>294</v>
      </c>
      <c r="B416" s="70">
        <f t="shared" si="4"/>
        <v>3</v>
      </c>
      <c r="D416" s="71"/>
      <c r="G416" s="72"/>
      <c r="H416" s="72"/>
    </row>
    <row r="417" spans="1:8" ht="14.25" customHeight="1" x14ac:dyDescent="0.3">
      <c r="A417" s="20" t="s">
        <v>325</v>
      </c>
      <c r="B417" s="70">
        <f t="shared" si="4"/>
        <v>3</v>
      </c>
      <c r="D417" s="71"/>
      <c r="G417" s="72"/>
      <c r="H417" s="72"/>
    </row>
    <row r="418" spans="1:8" ht="14.25" customHeight="1" x14ac:dyDescent="0.3">
      <c r="A418" s="20" t="s">
        <v>316</v>
      </c>
      <c r="B418" s="70">
        <f t="shared" si="4"/>
        <v>3</v>
      </c>
      <c r="D418" s="71"/>
      <c r="G418" s="72"/>
      <c r="H418" s="72"/>
    </row>
    <row r="419" spans="1:8" ht="14.25" customHeight="1" x14ac:dyDescent="0.3">
      <c r="A419" s="20" t="s">
        <v>305</v>
      </c>
      <c r="B419" s="70">
        <f t="shared" si="4"/>
        <v>3</v>
      </c>
      <c r="D419" s="71"/>
      <c r="G419" s="72"/>
      <c r="H419" s="72"/>
    </row>
    <row r="420" spans="1:8" ht="14.25" customHeight="1" x14ac:dyDescent="0.3">
      <c r="A420" s="20" t="s">
        <v>299</v>
      </c>
      <c r="B420" s="70">
        <f t="shared" si="4"/>
        <v>3</v>
      </c>
      <c r="D420" s="71"/>
      <c r="G420" s="72"/>
      <c r="H420" s="72"/>
    </row>
    <row r="421" spans="1:8" ht="14.25" customHeight="1" x14ac:dyDescent="0.3">
      <c r="A421" s="20" t="s">
        <v>335</v>
      </c>
      <c r="B421" s="70">
        <f t="shared" si="4"/>
        <v>3</v>
      </c>
      <c r="D421" s="71"/>
      <c r="G421" s="72"/>
      <c r="H421" s="72"/>
    </row>
    <row r="422" spans="1:8" ht="14.25" customHeight="1" x14ac:dyDescent="0.3">
      <c r="A422" t="s">
        <v>1265</v>
      </c>
      <c r="B422" s="69">
        <f t="shared" ref="B422:B446" si="5">$B$34</f>
        <v>3.2</v>
      </c>
      <c r="G422" s="72"/>
      <c r="H422" s="72"/>
    </row>
    <row r="423" spans="1:8" ht="14.25" customHeight="1" x14ac:dyDescent="0.3">
      <c r="A423" t="s">
        <v>1304</v>
      </c>
      <c r="B423" s="69">
        <f t="shared" si="5"/>
        <v>3.2</v>
      </c>
      <c r="G423" s="72"/>
      <c r="H423" s="72"/>
    </row>
    <row r="424" spans="1:8" ht="14.25" customHeight="1" x14ac:dyDescent="0.3">
      <c r="A424" t="s">
        <v>1307</v>
      </c>
      <c r="B424" s="69">
        <f t="shared" si="5"/>
        <v>3.2</v>
      </c>
      <c r="G424" s="72"/>
      <c r="H424" s="72"/>
    </row>
    <row r="425" spans="1:8" ht="14.25" customHeight="1" x14ac:dyDescent="0.3">
      <c r="A425" t="s">
        <v>1323</v>
      </c>
      <c r="B425" s="69">
        <f t="shared" si="5"/>
        <v>3.2</v>
      </c>
      <c r="G425" s="72"/>
      <c r="H425" s="72"/>
    </row>
    <row r="426" spans="1:8" ht="14.25" customHeight="1" x14ac:dyDescent="0.3">
      <c r="A426" t="s">
        <v>1324</v>
      </c>
      <c r="B426" s="69">
        <f t="shared" si="5"/>
        <v>3.2</v>
      </c>
      <c r="G426" s="72"/>
      <c r="H426" s="72"/>
    </row>
    <row r="427" spans="1:8" ht="14.25" customHeight="1" x14ac:dyDescent="0.3">
      <c r="A427" t="s">
        <v>1325</v>
      </c>
      <c r="B427" s="69">
        <f t="shared" si="5"/>
        <v>3.2</v>
      </c>
      <c r="G427" s="72"/>
      <c r="H427" s="72"/>
    </row>
    <row r="428" spans="1:8" ht="14.25" customHeight="1" x14ac:dyDescent="0.3">
      <c r="A428" t="s">
        <v>1327</v>
      </c>
      <c r="B428" s="69">
        <f t="shared" si="5"/>
        <v>3.2</v>
      </c>
      <c r="G428" s="72"/>
      <c r="H428" s="72"/>
    </row>
    <row r="429" spans="1:8" ht="14.25" customHeight="1" x14ac:dyDescent="0.3">
      <c r="A429" t="s">
        <v>1361</v>
      </c>
      <c r="B429" s="69">
        <f t="shared" si="5"/>
        <v>3.2</v>
      </c>
      <c r="G429" s="72"/>
      <c r="H429" s="72"/>
    </row>
    <row r="430" spans="1:8" ht="14.25" customHeight="1" x14ac:dyDescent="0.3">
      <c r="A430" t="s">
        <v>1364</v>
      </c>
      <c r="B430" s="69">
        <f t="shared" si="5"/>
        <v>3.2</v>
      </c>
      <c r="G430" s="72"/>
      <c r="H430" s="72"/>
    </row>
    <row r="431" spans="1:8" ht="14.25" customHeight="1" x14ac:dyDescent="0.3">
      <c r="A431" t="s">
        <v>1369</v>
      </c>
      <c r="B431" s="69">
        <f t="shared" si="5"/>
        <v>3.2</v>
      </c>
      <c r="G431" s="72"/>
      <c r="H431" s="72"/>
    </row>
    <row r="432" spans="1:8" ht="14.25" customHeight="1" x14ac:dyDescent="0.3">
      <c r="A432" t="s">
        <v>1374</v>
      </c>
      <c r="B432" s="69">
        <f t="shared" si="5"/>
        <v>3.2</v>
      </c>
      <c r="G432" s="72"/>
      <c r="H432" s="72"/>
    </row>
    <row r="433" spans="1:8" ht="14.25" customHeight="1" x14ac:dyDescent="0.3">
      <c r="A433" t="s">
        <v>1386</v>
      </c>
      <c r="B433" s="69">
        <f t="shared" si="5"/>
        <v>3.2</v>
      </c>
      <c r="G433" s="72"/>
      <c r="H433" s="72"/>
    </row>
    <row r="434" spans="1:8" ht="14.25" customHeight="1" x14ac:dyDescent="0.3">
      <c r="A434" t="s">
        <v>1393</v>
      </c>
      <c r="B434" s="69">
        <f t="shared" si="5"/>
        <v>3.2</v>
      </c>
      <c r="G434" s="72"/>
      <c r="H434" s="72"/>
    </row>
    <row r="435" spans="1:8" ht="14.25" customHeight="1" x14ac:dyDescent="0.3">
      <c r="A435" t="s">
        <v>1396</v>
      </c>
      <c r="B435" s="69">
        <f t="shared" si="5"/>
        <v>3.2</v>
      </c>
      <c r="G435" s="72"/>
      <c r="H435" s="72"/>
    </row>
    <row r="436" spans="1:8" ht="14.25" customHeight="1" x14ac:dyDescent="0.3">
      <c r="A436" t="s">
        <v>1397</v>
      </c>
      <c r="B436" s="69">
        <f t="shared" si="5"/>
        <v>3.2</v>
      </c>
      <c r="G436" s="72"/>
      <c r="H436" s="72"/>
    </row>
    <row r="437" spans="1:8" ht="14.25" customHeight="1" x14ac:dyDescent="0.3">
      <c r="A437" t="s">
        <v>1398</v>
      </c>
      <c r="B437" s="69">
        <f t="shared" si="5"/>
        <v>3.2</v>
      </c>
      <c r="G437" s="72"/>
      <c r="H437" s="72"/>
    </row>
    <row r="438" spans="1:8" ht="14.25" customHeight="1" x14ac:dyDescent="0.3">
      <c r="A438" t="s">
        <v>1399</v>
      </c>
      <c r="B438" s="69">
        <f t="shared" si="5"/>
        <v>3.2</v>
      </c>
      <c r="G438" s="72"/>
      <c r="H438" s="72"/>
    </row>
    <row r="439" spans="1:8" ht="14.25" customHeight="1" x14ac:dyDescent="0.3">
      <c r="A439" t="s">
        <v>1434</v>
      </c>
      <c r="B439" s="69">
        <f t="shared" si="5"/>
        <v>3.2</v>
      </c>
      <c r="G439" s="72"/>
      <c r="H439" s="72"/>
    </row>
    <row r="440" spans="1:8" ht="14.25" customHeight="1" x14ac:dyDescent="0.3">
      <c r="A440" t="s">
        <v>1435</v>
      </c>
      <c r="B440" s="69">
        <f t="shared" si="5"/>
        <v>3.2</v>
      </c>
      <c r="G440" s="72"/>
      <c r="H440" s="72"/>
    </row>
    <row r="441" spans="1:8" ht="14.25" customHeight="1" x14ac:dyDescent="0.3">
      <c r="A441" t="s">
        <v>1436</v>
      </c>
      <c r="B441" s="69">
        <f t="shared" si="5"/>
        <v>3.2</v>
      </c>
      <c r="G441" s="72"/>
      <c r="H441" s="72"/>
    </row>
    <row r="442" spans="1:8" ht="14.25" customHeight="1" x14ac:dyDescent="0.3">
      <c r="A442" t="s">
        <v>1437</v>
      </c>
      <c r="B442" s="69">
        <f t="shared" si="5"/>
        <v>3.2</v>
      </c>
      <c r="G442" s="72"/>
      <c r="H442" s="72"/>
    </row>
    <row r="443" spans="1:8" ht="14.25" customHeight="1" x14ac:dyDescent="0.3">
      <c r="A443" t="s">
        <v>1438</v>
      </c>
      <c r="B443" s="69">
        <f t="shared" si="5"/>
        <v>3.2</v>
      </c>
    </row>
    <row r="444" spans="1:8" ht="14.25" customHeight="1" x14ac:dyDescent="0.3">
      <c r="A444" t="s">
        <v>1439</v>
      </c>
      <c r="B444" s="69">
        <f t="shared" si="5"/>
        <v>3.2</v>
      </c>
    </row>
    <row r="445" spans="1:8" ht="14.25" customHeight="1" x14ac:dyDescent="0.3">
      <c r="A445" t="s">
        <v>1440</v>
      </c>
      <c r="B445" s="69">
        <f t="shared" si="5"/>
        <v>3.2</v>
      </c>
    </row>
    <row r="446" spans="1:8" ht="14.25" customHeight="1" x14ac:dyDescent="0.3">
      <c r="A446" t="s">
        <v>1441</v>
      </c>
      <c r="B446" s="69">
        <f t="shared" si="5"/>
        <v>3.2</v>
      </c>
    </row>
    <row r="447" spans="1:8" ht="14.25" customHeight="1" x14ac:dyDescent="0.3">
      <c r="A447" t="s">
        <v>1236</v>
      </c>
      <c r="B447" s="69">
        <f t="shared" ref="B447:B486" si="6">$B$112</f>
        <v>4</v>
      </c>
    </row>
    <row r="448" spans="1:8" ht="14.25" customHeight="1" x14ac:dyDescent="0.3">
      <c r="A448" t="s">
        <v>1237</v>
      </c>
      <c r="B448" s="69">
        <f t="shared" si="6"/>
        <v>4</v>
      </c>
    </row>
    <row r="449" spans="1:2" ht="14.25" customHeight="1" x14ac:dyDescent="0.3">
      <c r="A449" t="s">
        <v>1239</v>
      </c>
      <c r="B449" s="69">
        <f t="shared" si="6"/>
        <v>4</v>
      </c>
    </row>
    <row r="450" spans="1:2" ht="14.25" customHeight="1" x14ac:dyDescent="0.3">
      <c r="A450" t="s">
        <v>1242</v>
      </c>
      <c r="B450" s="69">
        <f t="shared" si="6"/>
        <v>4</v>
      </c>
    </row>
    <row r="451" spans="1:2" ht="14.25" customHeight="1" x14ac:dyDescent="0.3">
      <c r="A451" t="s">
        <v>1243</v>
      </c>
      <c r="B451" s="69">
        <f t="shared" si="6"/>
        <v>4</v>
      </c>
    </row>
    <row r="452" spans="1:2" ht="14.25" customHeight="1" x14ac:dyDescent="0.3">
      <c r="A452" t="s">
        <v>1244</v>
      </c>
      <c r="B452" s="69">
        <f t="shared" si="6"/>
        <v>4</v>
      </c>
    </row>
    <row r="453" spans="1:2" ht="14.25" customHeight="1" x14ac:dyDescent="0.3">
      <c r="A453" t="s">
        <v>1247</v>
      </c>
      <c r="B453" s="69">
        <f t="shared" si="6"/>
        <v>4</v>
      </c>
    </row>
    <row r="454" spans="1:2" ht="14.25" customHeight="1" x14ac:dyDescent="0.3">
      <c r="A454" t="s">
        <v>1250</v>
      </c>
      <c r="B454" s="69">
        <f t="shared" si="6"/>
        <v>4</v>
      </c>
    </row>
    <row r="455" spans="1:2" ht="14.25" customHeight="1" x14ac:dyDescent="0.3">
      <c r="A455" t="s">
        <v>1269</v>
      </c>
      <c r="B455" s="69">
        <f t="shared" si="6"/>
        <v>4</v>
      </c>
    </row>
    <row r="456" spans="1:2" ht="14.25" customHeight="1" x14ac:dyDescent="0.3">
      <c r="A456" t="s">
        <v>1270</v>
      </c>
      <c r="B456" s="69">
        <f t="shared" si="6"/>
        <v>4</v>
      </c>
    </row>
    <row r="457" spans="1:2" ht="14.25" customHeight="1" x14ac:dyDescent="0.3">
      <c r="A457" t="s">
        <v>1271</v>
      </c>
      <c r="B457" s="69">
        <f t="shared" si="6"/>
        <v>4</v>
      </c>
    </row>
    <row r="458" spans="1:2" ht="14.25" customHeight="1" x14ac:dyDescent="0.3">
      <c r="A458" t="s">
        <v>1272</v>
      </c>
      <c r="B458" s="69">
        <f t="shared" si="6"/>
        <v>4</v>
      </c>
    </row>
    <row r="459" spans="1:2" ht="14.25" customHeight="1" x14ac:dyDescent="0.3">
      <c r="A459" t="s">
        <v>1273</v>
      </c>
      <c r="B459" s="69">
        <f t="shared" si="6"/>
        <v>4</v>
      </c>
    </row>
    <row r="460" spans="1:2" ht="14.25" customHeight="1" x14ac:dyDescent="0.3">
      <c r="A460" t="s">
        <v>1275</v>
      </c>
      <c r="B460" s="69">
        <f t="shared" si="6"/>
        <v>4</v>
      </c>
    </row>
    <row r="461" spans="1:2" ht="14.25" customHeight="1" x14ac:dyDescent="0.3">
      <c r="A461" t="s">
        <v>1278</v>
      </c>
      <c r="B461" s="69">
        <f t="shared" si="6"/>
        <v>4</v>
      </c>
    </row>
    <row r="462" spans="1:2" ht="14.25" customHeight="1" x14ac:dyDescent="0.3">
      <c r="A462" t="s">
        <v>1279</v>
      </c>
      <c r="B462" s="69">
        <f t="shared" si="6"/>
        <v>4</v>
      </c>
    </row>
    <row r="463" spans="1:2" ht="14.25" customHeight="1" x14ac:dyDescent="0.3">
      <c r="A463" t="s">
        <v>1280</v>
      </c>
      <c r="B463" s="69">
        <f t="shared" si="6"/>
        <v>4</v>
      </c>
    </row>
    <row r="464" spans="1:2" ht="14.25" customHeight="1" x14ac:dyDescent="0.3">
      <c r="A464" t="s">
        <v>1281</v>
      </c>
      <c r="B464" s="69">
        <f t="shared" si="6"/>
        <v>4</v>
      </c>
    </row>
    <row r="465" spans="1:2" ht="14.25" customHeight="1" x14ac:dyDescent="0.3">
      <c r="A465" t="s">
        <v>1286</v>
      </c>
      <c r="B465" s="69">
        <f t="shared" si="6"/>
        <v>4</v>
      </c>
    </row>
    <row r="466" spans="1:2" ht="14.25" customHeight="1" x14ac:dyDescent="0.3">
      <c r="A466" t="s">
        <v>1289</v>
      </c>
      <c r="B466" s="69">
        <f t="shared" si="6"/>
        <v>4</v>
      </c>
    </row>
    <row r="467" spans="1:2" ht="14.25" customHeight="1" x14ac:dyDescent="0.3">
      <c r="A467" t="s">
        <v>1293</v>
      </c>
      <c r="B467" s="69">
        <f t="shared" si="6"/>
        <v>4</v>
      </c>
    </row>
    <row r="468" spans="1:2" ht="14.25" customHeight="1" x14ac:dyDescent="0.3">
      <c r="A468" t="s">
        <v>1294</v>
      </c>
      <c r="B468" s="69">
        <f t="shared" si="6"/>
        <v>4</v>
      </c>
    </row>
    <row r="469" spans="1:2" ht="14.25" customHeight="1" x14ac:dyDescent="0.3">
      <c r="A469" t="s">
        <v>1301</v>
      </c>
      <c r="B469" s="69">
        <f t="shared" si="6"/>
        <v>4</v>
      </c>
    </row>
    <row r="470" spans="1:2" ht="14.25" customHeight="1" x14ac:dyDescent="0.3">
      <c r="A470" t="s">
        <v>1302</v>
      </c>
      <c r="B470" s="69">
        <f t="shared" si="6"/>
        <v>4</v>
      </c>
    </row>
    <row r="471" spans="1:2" ht="14.25" customHeight="1" x14ac:dyDescent="0.3">
      <c r="A471" t="s">
        <v>1330</v>
      </c>
      <c r="B471" s="69">
        <f t="shared" si="6"/>
        <v>4</v>
      </c>
    </row>
    <row r="472" spans="1:2" ht="14.25" customHeight="1" x14ac:dyDescent="0.3">
      <c r="A472" t="s">
        <v>1331</v>
      </c>
      <c r="B472" s="69">
        <f t="shared" si="6"/>
        <v>4</v>
      </c>
    </row>
    <row r="473" spans="1:2" ht="14.25" customHeight="1" x14ac:dyDescent="0.3">
      <c r="A473" t="s">
        <v>1332</v>
      </c>
      <c r="B473" s="69">
        <f t="shared" si="6"/>
        <v>4</v>
      </c>
    </row>
    <row r="474" spans="1:2" ht="14.25" customHeight="1" x14ac:dyDescent="0.3">
      <c r="A474" t="s">
        <v>1333</v>
      </c>
      <c r="B474" s="69">
        <f t="shared" si="6"/>
        <v>4</v>
      </c>
    </row>
    <row r="475" spans="1:2" ht="14.25" customHeight="1" x14ac:dyDescent="0.3">
      <c r="A475" t="s">
        <v>1334</v>
      </c>
      <c r="B475" s="69">
        <f t="shared" si="6"/>
        <v>4</v>
      </c>
    </row>
    <row r="476" spans="1:2" ht="14.25" customHeight="1" x14ac:dyDescent="0.3">
      <c r="A476" t="s">
        <v>1336</v>
      </c>
      <c r="B476" s="69">
        <f t="shared" si="6"/>
        <v>4</v>
      </c>
    </row>
    <row r="477" spans="1:2" ht="14.25" customHeight="1" x14ac:dyDescent="0.3">
      <c r="A477" t="s">
        <v>1338</v>
      </c>
      <c r="B477" s="69">
        <f t="shared" si="6"/>
        <v>4</v>
      </c>
    </row>
    <row r="478" spans="1:2" ht="14.25" customHeight="1" x14ac:dyDescent="0.3">
      <c r="A478" t="s">
        <v>1342</v>
      </c>
      <c r="B478" s="69">
        <f t="shared" si="6"/>
        <v>4</v>
      </c>
    </row>
    <row r="479" spans="1:2" ht="14.25" customHeight="1" x14ac:dyDescent="0.3">
      <c r="A479" t="s">
        <v>1345</v>
      </c>
      <c r="B479" s="69">
        <f t="shared" si="6"/>
        <v>4</v>
      </c>
    </row>
    <row r="480" spans="1:2" ht="14.25" customHeight="1" x14ac:dyDescent="0.3">
      <c r="A480" t="s">
        <v>1348</v>
      </c>
      <c r="B480" s="69">
        <f t="shared" si="6"/>
        <v>4</v>
      </c>
    </row>
    <row r="481" spans="1:2" ht="14.25" customHeight="1" x14ac:dyDescent="0.3">
      <c r="A481" t="s">
        <v>1349</v>
      </c>
      <c r="B481" s="69">
        <f t="shared" si="6"/>
        <v>4</v>
      </c>
    </row>
    <row r="482" spans="1:2" ht="14.25" customHeight="1" x14ac:dyDescent="0.3">
      <c r="A482" t="s">
        <v>1351</v>
      </c>
      <c r="B482" s="69">
        <f t="shared" si="6"/>
        <v>4</v>
      </c>
    </row>
    <row r="483" spans="1:2" ht="14.25" customHeight="1" x14ac:dyDescent="0.3">
      <c r="A483" t="s">
        <v>1353</v>
      </c>
      <c r="B483" s="69">
        <f t="shared" si="6"/>
        <v>4</v>
      </c>
    </row>
    <row r="484" spans="1:2" ht="14.25" customHeight="1" x14ac:dyDescent="0.3">
      <c r="A484" t="s">
        <v>1355</v>
      </c>
      <c r="B484" s="69">
        <f t="shared" si="6"/>
        <v>4</v>
      </c>
    </row>
    <row r="485" spans="1:2" ht="14.25" customHeight="1" x14ac:dyDescent="0.3">
      <c r="A485" t="s">
        <v>1356</v>
      </c>
      <c r="B485" s="69">
        <f t="shared" si="6"/>
        <v>4</v>
      </c>
    </row>
    <row r="486" spans="1:2" ht="14.25" customHeight="1" x14ac:dyDescent="0.3">
      <c r="A486" t="s">
        <v>1357</v>
      </c>
      <c r="B486" s="69">
        <f t="shared" si="6"/>
        <v>4</v>
      </c>
    </row>
    <row r="487" spans="1:2" ht="14.25" customHeight="1" x14ac:dyDescent="0.3">
      <c r="A487" t="s">
        <v>1377</v>
      </c>
      <c r="B487" s="69">
        <f t="shared" ref="B487:B500" si="7">$B$252</f>
        <v>3.848101265822784</v>
      </c>
    </row>
    <row r="488" spans="1:2" ht="14.25" customHeight="1" x14ac:dyDescent="0.3">
      <c r="A488" t="s">
        <v>1378</v>
      </c>
      <c r="B488" s="69">
        <f t="shared" si="7"/>
        <v>3.848101265822784</v>
      </c>
    </row>
    <row r="489" spans="1:2" ht="14.25" customHeight="1" x14ac:dyDescent="0.3">
      <c r="A489" t="s">
        <v>1379</v>
      </c>
      <c r="B489" s="69">
        <f t="shared" si="7"/>
        <v>3.848101265822784</v>
      </c>
    </row>
    <row r="490" spans="1:2" ht="14.25" customHeight="1" x14ac:dyDescent="0.3">
      <c r="A490" t="s">
        <v>1380</v>
      </c>
      <c r="B490" s="69">
        <f t="shared" si="7"/>
        <v>3.848101265822784</v>
      </c>
    </row>
    <row r="491" spans="1:2" ht="14.25" customHeight="1" x14ac:dyDescent="0.3">
      <c r="A491" t="s">
        <v>1381</v>
      </c>
      <c r="B491" s="69">
        <f t="shared" si="7"/>
        <v>3.848101265822784</v>
      </c>
    </row>
    <row r="492" spans="1:2" ht="14.25" customHeight="1" x14ac:dyDescent="0.3">
      <c r="A492" t="s">
        <v>1382</v>
      </c>
      <c r="B492" s="69">
        <f t="shared" si="7"/>
        <v>3.848101265822784</v>
      </c>
    </row>
    <row r="493" spans="1:2" ht="14.25" customHeight="1" x14ac:dyDescent="0.3">
      <c r="A493" t="s">
        <v>1383</v>
      </c>
      <c r="B493" s="69">
        <f t="shared" si="7"/>
        <v>3.848101265822784</v>
      </c>
    </row>
    <row r="494" spans="1:2" ht="14.25" customHeight="1" x14ac:dyDescent="0.3">
      <c r="A494" t="s">
        <v>1384</v>
      </c>
      <c r="B494" s="69">
        <f t="shared" si="7"/>
        <v>3.848101265822784</v>
      </c>
    </row>
    <row r="495" spans="1:2" ht="14.25" customHeight="1" x14ac:dyDescent="0.3">
      <c r="A495" t="s">
        <v>1387</v>
      </c>
      <c r="B495" s="69">
        <f t="shared" si="7"/>
        <v>3.848101265822784</v>
      </c>
    </row>
    <row r="496" spans="1:2" ht="14.25" customHeight="1" x14ac:dyDescent="0.3">
      <c r="A496" t="s">
        <v>1389</v>
      </c>
      <c r="B496" s="69">
        <f t="shared" si="7"/>
        <v>3.848101265822784</v>
      </c>
    </row>
    <row r="497" spans="1:2" ht="14.25" customHeight="1" x14ac:dyDescent="0.3">
      <c r="A497" t="s">
        <v>1390</v>
      </c>
      <c r="B497" s="69">
        <f t="shared" si="7"/>
        <v>3.848101265822784</v>
      </c>
    </row>
    <row r="498" spans="1:2" ht="14.25" customHeight="1" x14ac:dyDescent="0.3">
      <c r="A498" t="s">
        <v>1391</v>
      </c>
      <c r="B498" s="69">
        <f t="shared" si="7"/>
        <v>3.848101265822784</v>
      </c>
    </row>
    <row r="499" spans="1:2" ht="14.25" customHeight="1" x14ac:dyDescent="0.3">
      <c r="A499" t="s">
        <v>1394</v>
      </c>
      <c r="B499" s="69">
        <f t="shared" si="7"/>
        <v>3.848101265822784</v>
      </c>
    </row>
    <row r="500" spans="1:2" ht="14.25" customHeight="1" x14ac:dyDescent="0.3">
      <c r="A500" t="s">
        <v>1395</v>
      </c>
      <c r="B500" s="69">
        <f t="shared" si="7"/>
        <v>3.848101265822784</v>
      </c>
    </row>
    <row r="501" spans="1:2" ht="14.25" customHeight="1" x14ac:dyDescent="0.3">
      <c r="A501" t="s">
        <v>411</v>
      </c>
      <c r="B501" s="70">
        <f t="shared" ref="B501:B532" si="8">$B$372</f>
        <v>2.2010999999999985</v>
      </c>
    </row>
    <row r="502" spans="1:2" ht="14.25" customHeight="1" x14ac:dyDescent="0.3">
      <c r="A502" t="s">
        <v>412</v>
      </c>
      <c r="B502" s="70">
        <f t="shared" si="8"/>
        <v>2.2010999999999985</v>
      </c>
    </row>
    <row r="503" spans="1:2" ht="14.25" customHeight="1" x14ac:dyDescent="0.3">
      <c r="A503" t="s">
        <v>413</v>
      </c>
      <c r="B503" s="70">
        <f t="shared" si="8"/>
        <v>2.2010999999999985</v>
      </c>
    </row>
    <row r="504" spans="1:2" ht="14.25" customHeight="1" x14ac:dyDescent="0.3">
      <c r="A504" t="s">
        <v>414</v>
      </c>
      <c r="B504" s="70">
        <f t="shared" si="8"/>
        <v>2.2010999999999985</v>
      </c>
    </row>
    <row r="505" spans="1:2" ht="14.25" customHeight="1" x14ac:dyDescent="0.3">
      <c r="A505" t="s">
        <v>415</v>
      </c>
      <c r="B505" s="70">
        <f t="shared" si="8"/>
        <v>2.2010999999999985</v>
      </c>
    </row>
    <row r="506" spans="1:2" ht="14.25" customHeight="1" x14ac:dyDescent="0.3">
      <c r="A506" t="s">
        <v>416</v>
      </c>
      <c r="B506" s="70">
        <f t="shared" si="8"/>
        <v>2.2010999999999985</v>
      </c>
    </row>
    <row r="507" spans="1:2" ht="14.25" customHeight="1" x14ac:dyDescent="0.3">
      <c r="A507" t="s">
        <v>417</v>
      </c>
      <c r="B507" s="70">
        <f t="shared" si="8"/>
        <v>2.2010999999999985</v>
      </c>
    </row>
    <row r="508" spans="1:2" ht="14.25" customHeight="1" x14ac:dyDescent="0.3">
      <c r="A508" t="s">
        <v>418</v>
      </c>
      <c r="B508" s="70">
        <f t="shared" si="8"/>
        <v>2.2010999999999985</v>
      </c>
    </row>
    <row r="509" spans="1:2" ht="14.25" customHeight="1" x14ac:dyDescent="0.3">
      <c r="A509" t="s">
        <v>419</v>
      </c>
      <c r="B509" s="70">
        <f t="shared" si="8"/>
        <v>2.2010999999999985</v>
      </c>
    </row>
    <row r="510" spans="1:2" ht="14.25" customHeight="1" x14ac:dyDescent="0.3">
      <c r="A510" t="s">
        <v>420</v>
      </c>
      <c r="B510" s="70">
        <f t="shared" si="8"/>
        <v>2.2010999999999985</v>
      </c>
    </row>
    <row r="511" spans="1:2" ht="14.25" customHeight="1" x14ac:dyDescent="0.3">
      <c r="A511" t="s">
        <v>421</v>
      </c>
      <c r="B511" s="70">
        <f t="shared" si="8"/>
        <v>2.2010999999999985</v>
      </c>
    </row>
    <row r="512" spans="1:2" ht="14.25" customHeight="1" x14ac:dyDescent="0.3">
      <c r="A512" t="s">
        <v>422</v>
      </c>
      <c r="B512" s="70">
        <f t="shared" si="8"/>
        <v>2.2010999999999985</v>
      </c>
    </row>
    <row r="513" spans="1:2" ht="14.25" customHeight="1" x14ac:dyDescent="0.3">
      <c r="A513" t="s">
        <v>423</v>
      </c>
      <c r="B513" s="70">
        <f t="shared" si="8"/>
        <v>2.2010999999999985</v>
      </c>
    </row>
    <row r="514" spans="1:2" ht="14.25" customHeight="1" x14ac:dyDescent="0.3">
      <c r="A514" t="s">
        <v>424</v>
      </c>
      <c r="B514" s="70">
        <f t="shared" si="8"/>
        <v>2.2010999999999985</v>
      </c>
    </row>
    <row r="515" spans="1:2" ht="14.25" customHeight="1" x14ac:dyDescent="0.3">
      <c r="A515" t="s">
        <v>425</v>
      </c>
      <c r="B515" s="70">
        <f t="shared" si="8"/>
        <v>2.2010999999999985</v>
      </c>
    </row>
    <row r="516" spans="1:2" ht="14.25" customHeight="1" x14ac:dyDescent="0.3">
      <c r="A516" t="s">
        <v>426</v>
      </c>
      <c r="B516" s="70">
        <f t="shared" si="8"/>
        <v>2.2010999999999985</v>
      </c>
    </row>
    <row r="517" spans="1:2" ht="14.25" customHeight="1" x14ac:dyDescent="0.3">
      <c r="A517" t="s">
        <v>427</v>
      </c>
      <c r="B517" s="70">
        <f t="shared" si="8"/>
        <v>2.2010999999999985</v>
      </c>
    </row>
    <row r="518" spans="1:2" ht="14.25" customHeight="1" x14ac:dyDescent="0.3">
      <c r="A518" t="s">
        <v>428</v>
      </c>
      <c r="B518" s="70">
        <f t="shared" si="8"/>
        <v>2.2010999999999985</v>
      </c>
    </row>
    <row r="519" spans="1:2" ht="14.25" customHeight="1" x14ac:dyDescent="0.3">
      <c r="A519" t="s">
        <v>429</v>
      </c>
      <c r="B519" s="70">
        <f t="shared" si="8"/>
        <v>2.2010999999999985</v>
      </c>
    </row>
    <row r="520" spans="1:2" ht="14.25" customHeight="1" x14ac:dyDescent="0.3">
      <c r="A520" t="s">
        <v>430</v>
      </c>
      <c r="B520" s="70">
        <f t="shared" si="8"/>
        <v>2.2010999999999985</v>
      </c>
    </row>
    <row r="521" spans="1:2" ht="14.25" customHeight="1" x14ac:dyDescent="0.3">
      <c r="A521" t="s">
        <v>431</v>
      </c>
      <c r="B521" s="70">
        <f t="shared" si="8"/>
        <v>2.2010999999999985</v>
      </c>
    </row>
    <row r="522" spans="1:2" ht="14.25" customHeight="1" x14ac:dyDescent="0.3">
      <c r="A522" t="s">
        <v>432</v>
      </c>
      <c r="B522" s="70">
        <f t="shared" si="8"/>
        <v>2.2010999999999985</v>
      </c>
    </row>
    <row r="523" spans="1:2" ht="14.25" customHeight="1" x14ac:dyDescent="0.3">
      <c r="A523" t="s">
        <v>433</v>
      </c>
      <c r="B523" s="70">
        <f t="shared" si="8"/>
        <v>2.2010999999999985</v>
      </c>
    </row>
    <row r="524" spans="1:2" ht="14.25" customHeight="1" x14ac:dyDescent="0.3">
      <c r="A524" t="s">
        <v>434</v>
      </c>
      <c r="B524" s="70">
        <f t="shared" si="8"/>
        <v>2.2010999999999985</v>
      </c>
    </row>
    <row r="525" spans="1:2" ht="14.25" customHeight="1" x14ac:dyDescent="0.3">
      <c r="A525" t="s">
        <v>435</v>
      </c>
      <c r="B525" s="70">
        <f t="shared" si="8"/>
        <v>2.2010999999999985</v>
      </c>
    </row>
    <row r="526" spans="1:2" ht="14.25" customHeight="1" x14ac:dyDescent="0.3">
      <c r="A526" t="s">
        <v>436</v>
      </c>
      <c r="B526" s="70">
        <f t="shared" si="8"/>
        <v>2.2010999999999985</v>
      </c>
    </row>
    <row r="527" spans="1:2" ht="14.25" customHeight="1" x14ac:dyDescent="0.3">
      <c r="A527" t="s">
        <v>437</v>
      </c>
      <c r="B527" s="70">
        <f t="shared" si="8"/>
        <v>2.2010999999999985</v>
      </c>
    </row>
    <row r="528" spans="1:2" ht="14.25" customHeight="1" x14ac:dyDescent="0.3">
      <c r="A528" t="s">
        <v>438</v>
      </c>
      <c r="B528" s="70">
        <f t="shared" si="8"/>
        <v>2.2010999999999985</v>
      </c>
    </row>
    <row r="529" spans="1:2" ht="14.25" customHeight="1" x14ac:dyDescent="0.3">
      <c r="A529" t="s">
        <v>439</v>
      </c>
      <c r="B529" s="70">
        <f t="shared" si="8"/>
        <v>2.2010999999999985</v>
      </c>
    </row>
    <row r="530" spans="1:2" ht="14.25" customHeight="1" x14ac:dyDescent="0.3">
      <c r="A530" t="s">
        <v>440</v>
      </c>
      <c r="B530" s="70">
        <f t="shared" si="8"/>
        <v>2.2010999999999985</v>
      </c>
    </row>
    <row r="531" spans="1:2" ht="14.25" customHeight="1" x14ac:dyDescent="0.3">
      <c r="A531" t="s">
        <v>441</v>
      </c>
      <c r="B531" s="70">
        <f t="shared" si="8"/>
        <v>2.2010999999999985</v>
      </c>
    </row>
    <row r="532" spans="1:2" ht="14.25" customHeight="1" x14ac:dyDescent="0.3">
      <c r="A532" t="s">
        <v>442</v>
      </c>
      <c r="B532" s="70">
        <f t="shared" si="8"/>
        <v>2.2010999999999985</v>
      </c>
    </row>
    <row r="533" spans="1:2" ht="14.25" customHeight="1" x14ac:dyDescent="0.3">
      <c r="A533" t="s">
        <v>443</v>
      </c>
      <c r="B533" s="70">
        <f t="shared" ref="B533:B563" si="9">$B$372</f>
        <v>2.2010999999999985</v>
      </c>
    </row>
    <row r="534" spans="1:2" ht="14.25" customHeight="1" x14ac:dyDescent="0.3">
      <c r="A534" t="s">
        <v>444</v>
      </c>
      <c r="B534" s="70">
        <f t="shared" si="9"/>
        <v>2.2010999999999985</v>
      </c>
    </row>
    <row r="535" spans="1:2" ht="14.25" customHeight="1" x14ac:dyDescent="0.3">
      <c r="A535" t="s">
        <v>445</v>
      </c>
      <c r="B535" s="70">
        <f t="shared" si="9"/>
        <v>2.2010999999999985</v>
      </c>
    </row>
    <row r="536" spans="1:2" ht="14.25" customHeight="1" x14ac:dyDescent="0.3">
      <c r="A536" t="s">
        <v>446</v>
      </c>
      <c r="B536" s="70">
        <f t="shared" si="9"/>
        <v>2.2010999999999985</v>
      </c>
    </row>
    <row r="537" spans="1:2" ht="14.25" customHeight="1" x14ac:dyDescent="0.3">
      <c r="A537" t="s">
        <v>447</v>
      </c>
      <c r="B537" s="70">
        <f t="shared" si="9"/>
        <v>2.2010999999999985</v>
      </c>
    </row>
    <row r="538" spans="1:2" ht="14.25" customHeight="1" x14ac:dyDescent="0.3">
      <c r="A538" t="s">
        <v>448</v>
      </c>
      <c r="B538" s="70">
        <f t="shared" si="9"/>
        <v>2.2010999999999985</v>
      </c>
    </row>
    <row r="539" spans="1:2" ht="14.25" customHeight="1" x14ac:dyDescent="0.3">
      <c r="A539" t="s">
        <v>449</v>
      </c>
      <c r="B539" s="70">
        <f t="shared" si="9"/>
        <v>2.2010999999999985</v>
      </c>
    </row>
    <row r="540" spans="1:2" ht="14.25" customHeight="1" x14ac:dyDescent="0.3">
      <c r="A540" t="s">
        <v>450</v>
      </c>
      <c r="B540" s="70">
        <f t="shared" si="9"/>
        <v>2.2010999999999985</v>
      </c>
    </row>
    <row r="541" spans="1:2" ht="14.25" customHeight="1" x14ac:dyDescent="0.3">
      <c r="A541" t="s">
        <v>451</v>
      </c>
      <c r="B541" s="70">
        <f t="shared" si="9"/>
        <v>2.2010999999999985</v>
      </c>
    </row>
    <row r="542" spans="1:2" ht="14.25" customHeight="1" x14ac:dyDescent="0.3">
      <c r="A542" t="s">
        <v>452</v>
      </c>
      <c r="B542" s="70">
        <f t="shared" si="9"/>
        <v>2.2010999999999985</v>
      </c>
    </row>
    <row r="543" spans="1:2" ht="14.25" customHeight="1" x14ac:dyDescent="0.3">
      <c r="A543" t="s">
        <v>453</v>
      </c>
      <c r="B543" s="70">
        <f t="shared" si="9"/>
        <v>2.2010999999999985</v>
      </c>
    </row>
    <row r="544" spans="1:2" ht="14.25" customHeight="1" x14ac:dyDescent="0.3">
      <c r="A544" t="s">
        <v>454</v>
      </c>
      <c r="B544" s="70">
        <f t="shared" si="9"/>
        <v>2.2010999999999985</v>
      </c>
    </row>
    <row r="545" spans="1:2" ht="14.25" customHeight="1" x14ac:dyDescent="0.3">
      <c r="A545" t="s">
        <v>455</v>
      </c>
      <c r="B545" s="70">
        <f t="shared" si="9"/>
        <v>2.2010999999999985</v>
      </c>
    </row>
    <row r="546" spans="1:2" ht="14.25" customHeight="1" x14ac:dyDescent="0.3">
      <c r="A546" t="s">
        <v>456</v>
      </c>
      <c r="B546" s="70">
        <f t="shared" si="9"/>
        <v>2.2010999999999985</v>
      </c>
    </row>
    <row r="547" spans="1:2" ht="14.25" customHeight="1" x14ac:dyDescent="0.3">
      <c r="A547" t="s">
        <v>457</v>
      </c>
      <c r="B547" s="70">
        <f t="shared" si="9"/>
        <v>2.2010999999999985</v>
      </c>
    </row>
    <row r="548" spans="1:2" ht="14.25" customHeight="1" x14ac:dyDescent="0.3">
      <c r="A548" t="s">
        <v>458</v>
      </c>
      <c r="B548" s="70">
        <f t="shared" si="9"/>
        <v>2.2010999999999985</v>
      </c>
    </row>
    <row r="549" spans="1:2" ht="14.25" customHeight="1" x14ac:dyDescent="0.3">
      <c r="A549" t="s">
        <v>459</v>
      </c>
      <c r="B549" s="70">
        <f t="shared" si="9"/>
        <v>2.2010999999999985</v>
      </c>
    </row>
    <row r="550" spans="1:2" ht="14.25" customHeight="1" x14ac:dyDescent="0.3">
      <c r="A550" t="s">
        <v>460</v>
      </c>
      <c r="B550" s="70">
        <f t="shared" si="9"/>
        <v>2.2010999999999985</v>
      </c>
    </row>
    <row r="551" spans="1:2" ht="14.25" customHeight="1" x14ac:dyDescent="0.3">
      <c r="A551" t="s">
        <v>1388</v>
      </c>
      <c r="B551" s="70">
        <f t="shared" si="9"/>
        <v>2.2010999999999985</v>
      </c>
    </row>
    <row r="552" spans="1:2" ht="14.25" customHeight="1" x14ac:dyDescent="0.3">
      <c r="A552" t="s">
        <v>1400</v>
      </c>
      <c r="B552" s="70">
        <f t="shared" si="9"/>
        <v>2.2010999999999985</v>
      </c>
    </row>
    <row r="553" spans="1:2" ht="14.25" customHeight="1" x14ac:dyDescent="0.3">
      <c r="A553" t="s">
        <v>1401</v>
      </c>
      <c r="B553" s="70">
        <f t="shared" si="9"/>
        <v>2.2010999999999985</v>
      </c>
    </row>
    <row r="554" spans="1:2" ht="14.25" customHeight="1" x14ac:dyDescent="0.3">
      <c r="A554" t="s">
        <v>1403</v>
      </c>
      <c r="B554" s="70">
        <f t="shared" si="9"/>
        <v>2.2010999999999985</v>
      </c>
    </row>
    <row r="555" spans="1:2" ht="14.25" customHeight="1" x14ac:dyDescent="0.3">
      <c r="A555" t="s">
        <v>1405</v>
      </c>
      <c r="B555" s="70">
        <f t="shared" si="9"/>
        <v>2.2010999999999985</v>
      </c>
    </row>
    <row r="556" spans="1:2" ht="14.25" customHeight="1" x14ac:dyDescent="0.3">
      <c r="A556" t="s">
        <v>1406</v>
      </c>
      <c r="B556" s="70">
        <f t="shared" si="9"/>
        <v>2.2010999999999985</v>
      </c>
    </row>
    <row r="557" spans="1:2" ht="14.25" customHeight="1" x14ac:dyDescent="0.3">
      <c r="A557" t="s">
        <v>1407</v>
      </c>
      <c r="B557" s="70">
        <f t="shared" si="9"/>
        <v>2.2010999999999985</v>
      </c>
    </row>
    <row r="558" spans="1:2" ht="14.25" customHeight="1" x14ac:dyDescent="0.3">
      <c r="A558" t="s">
        <v>1408</v>
      </c>
      <c r="B558" s="70">
        <f t="shared" si="9"/>
        <v>2.2010999999999985</v>
      </c>
    </row>
    <row r="559" spans="1:2" ht="14.25" customHeight="1" x14ac:dyDescent="0.3">
      <c r="A559" t="s">
        <v>1409</v>
      </c>
      <c r="B559" s="70">
        <f t="shared" si="9"/>
        <v>2.2010999999999985</v>
      </c>
    </row>
    <row r="560" spans="1:2" ht="14.25" customHeight="1" x14ac:dyDescent="0.3">
      <c r="A560" t="s">
        <v>1410</v>
      </c>
      <c r="B560" s="70">
        <f t="shared" si="9"/>
        <v>2.2010999999999985</v>
      </c>
    </row>
    <row r="561" spans="1:2" ht="14.25" customHeight="1" x14ac:dyDescent="0.3">
      <c r="A561" t="s">
        <v>1411</v>
      </c>
      <c r="B561" s="70">
        <f t="shared" si="9"/>
        <v>2.2010999999999985</v>
      </c>
    </row>
    <row r="562" spans="1:2" ht="14.25" customHeight="1" x14ac:dyDescent="0.3">
      <c r="A562" t="s">
        <v>1412</v>
      </c>
      <c r="B562" s="70">
        <f t="shared" si="9"/>
        <v>2.2010999999999985</v>
      </c>
    </row>
    <row r="563" spans="1:2" ht="14.25" customHeight="1" x14ac:dyDescent="0.3">
      <c r="A563" t="s">
        <v>1413</v>
      </c>
      <c r="B563" s="70">
        <f t="shared" si="9"/>
        <v>2.2010999999999985</v>
      </c>
    </row>
  </sheetData>
  <conditionalFormatting sqref="K1:K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 M2">
    <cfRule type="expression" dxfId="0" priority="3">
      <formula>ISERROR(L1)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3"/>
  <sheetViews>
    <sheetView zoomScaleNormal="100" workbookViewId="0">
      <selection activeCell="L14" sqref="L14"/>
    </sheetView>
  </sheetViews>
  <sheetFormatPr defaultColWidth="8.5546875" defaultRowHeight="14.4" x14ac:dyDescent="0.3"/>
  <cols>
    <col min="1" max="1" width="8.88671875" customWidth="1"/>
  </cols>
  <sheetData>
    <row r="1" spans="1:2" ht="15" customHeight="1" x14ac:dyDescent="0.3">
      <c r="A1" t="s">
        <v>1015</v>
      </c>
      <c r="B1" t="s">
        <v>1017</v>
      </c>
    </row>
    <row r="2" spans="1:2" ht="15" customHeight="1" x14ac:dyDescent="0.3">
      <c r="A2" t="s">
        <v>596</v>
      </c>
      <c r="B2" t="s">
        <v>96</v>
      </c>
    </row>
    <row r="3" spans="1:2" ht="15" customHeight="1" x14ac:dyDescent="0.3">
      <c r="A3" t="s">
        <v>749</v>
      </c>
      <c r="B3" t="s">
        <v>100</v>
      </c>
    </row>
    <row r="4" spans="1:2" ht="15" customHeight="1" x14ac:dyDescent="0.3">
      <c r="A4" t="s">
        <v>790</v>
      </c>
      <c r="B4" t="s">
        <v>99</v>
      </c>
    </row>
    <row r="5" spans="1:2" ht="15" customHeight="1" x14ac:dyDescent="0.3">
      <c r="A5" t="s">
        <v>769</v>
      </c>
      <c r="B5" t="s">
        <v>101</v>
      </c>
    </row>
    <row r="6" spans="1:2" ht="15" customHeight="1" x14ac:dyDescent="0.3">
      <c r="A6" t="s">
        <v>608</v>
      </c>
      <c r="B6" t="s">
        <v>97</v>
      </c>
    </row>
    <row r="7" spans="1:2" ht="15" customHeight="1" x14ac:dyDescent="0.3">
      <c r="A7" t="s">
        <v>762</v>
      </c>
      <c r="B7" t="s">
        <v>104</v>
      </c>
    </row>
    <row r="8" spans="1:2" ht="15" customHeight="1" x14ac:dyDescent="0.3">
      <c r="A8" t="s">
        <v>923</v>
      </c>
      <c r="B8" t="s">
        <v>120</v>
      </c>
    </row>
    <row r="9" spans="1:2" ht="15" customHeight="1" x14ac:dyDescent="0.3">
      <c r="A9" t="s">
        <v>801</v>
      </c>
      <c r="B9" t="s">
        <v>113</v>
      </c>
    </row>
    <row r="10" spans="1:2" ht="15" customHeight="1" x14ac:dyDescent="0.3">
      <c r="A10" t="s">
        <v>530</v>
      </c>
      <c r="B10" t="s">
        <v>363</v>
      </c>
    </row>
    <row r="11" spans="1:2" ht="15" customHeight="1" x14ac:dyDescent="0.3">
      <c r="A11" t="s">
        <v>952</v>
      </c>
      <c r="B11" t="s">
        <v>122</v>
      </c>
    </row>
    <row r="12" spans="1:2" ht="15" customHeight="1" x14ac:dyDescent="0.3">
      <c r="A12" t="s">
        <v>771</v>
      </c>
      <c r="B12" t="s">
        <v>114</v>
      </c>
    </row>
    <row r="13" spans="1:2" ht="15" customHeight="1" x14ac:dyDescent="0.3">
      <c r="A13" t="s">
        <v>657</v>
      </c>
      <c r="B13" t="s">
        <v>103</v>
      </c>
    </row>
    <row r="14" spans="1:2" ht="15" customHeight="1" x14ac:dyDescent="0.3">
      <c r="A14" t="s">
        <v>797</v>
      </c>
      <c r="B14" t="s">
        <v>110</v>
      </c>
    </row>
    <row r="15" spans="1:2" ht="15" customHeight="1" x14ac:dyDescent="0.3">
      <c r="A15" t="s">
        <v>788</v>
      </c>
      <c r="B15" t="s">
        <v>123</v>
      </c>
    </row>
    <row r="16" spans="1:2" ht="15" customHeight="1" x14ac:dyDescent="0.3">
      <c r="A16" t="s">
        <v>792</v>
      </c>
      <c r="B16" t="s">
        <v>126</v>
      </c>
    </row>
    <row r="17" spans="1:2" ht="15" customHeight="1" x14ac:dyDescent="0.3">
      <c r="A17" t="s">
        <v>685</v>
      </c>
      <c r="B17" t="s">
        <v>102</v>
      </c>
    </row>
    <row r="18" spans="1:2" ht="15" customHeight="1" x14ac:dyDescent="0.3">
      <c r="A18" t="s">
        <v>659</v>
      </c>
      <c r="B18" t="s">
        <v>107</v>
      </c>
    </row>
    <row r="19" spans="1:2" ht="15" customHeight="1" x14ac:dyDescent="0.3">
      <c r="A19" t="s">
        <v>767</v>
      </c>
      <c r="B19" t="s">
        <v>128</v>
      </c>
    </row>
    <row r="20" spans="1:2" ht="15" customHeight="1" x14ac:dyDescent="0.3">
      <c r="A20" t="s">
        <v>682</v>
      </c>
      <c r="B20" t="s">
        <v>108</v>
      </c>
    </row>
    <row r="21" spans="1:2" ht="15" customHeight="1" x14ac:dyDescent="0.3">
      <c r="A21" t="s">
        <v>1141</v>
      </c>
      <c r="B21" t="s">
        <v>129</v>
      </c>
    </row>
    <row r="22" spans="1:2" ht="15" customHeight="1" x14ac:dyDescent="0.3">
      <c r="A22" t="s">
        <v>842</v>
      </c>
      <c r="B22" t="s">
        <v>133</v>
      </c>
    </row>
    <row r="23" spans="1:2" ht="15" customHeight="1" x14ac:dyDescent="0.3">
      <c r="A23" t="s">
        <v>539</v>
      </c>
      <c r="B23" t="s">
        <v>364</v>
      </c>
    </row>
    <row r="24" spans="1:2" ht="15" customHeight="1" x14ac:dyDescent="0.3">
      <c r="A24" t="s">
        <v>813</v>
      </c>
      <c r="B24" t="s">
        <v>124</v>
      </c>
    </row>
    <row r="25" spans="1:2" ht="15" customHeight="1" x14ac:dyDescent="0.3">
      <c r="A25" t="s">
        <v>807</v>
      </c>
      <c r="B25" t="s">
        <v>139</v>
      </c>
    </row>
    <row r="26" spans="1:2" ht="15" customHeight="1" x14ac:dyDescent="0.3">
      <c r="A26" t="s">
        <v>826</v>
      </c>
      <c r="B26" t="s">
        <v>137</v>
      </c>
    </row>
    <row r="27" spans="1:2" ht="15" customHeight="1" x14ac:dyDescent="0.3">
      <c r="A27" t="s">
        <v>778</v>
      </c>
      <c r="B27" t="s">
        <v>146</v>
      </c>
    </row>
    <row r="28" spans="1:2" ht="15" customHeight="1" x14ac:dyDescent="0.3"/>
    <row r="29" spans="1:2" ht="15" customHeight="1" x14ac:dyDescent="0.3">
      <c r="A29" t="s">
        <v>640</v>
      </c>
      <c r="B29" t="s">
        <v>109</v>
      </c>
    </row>
    <row r="30" spans="1:2" ht="15" customHeight="1" x14ac:dyDescent="0.3">
      <c r="A30" t="s">
        <v>630</v>
      </c>
      <c r="B30" t="s">
        <v>106</v>
      </c>
    </row>
    <row r="31" spans="1:2" ht="15" customHeight="1" x14ac:dyDescent="0.3">
      <c r="A31" t="s">
        <v>686</v>
      </c>
      <c r="B31" t="s">
        <v>116</v>
      </c>
    </row>
    <row r="32" spans="1:2" ht="15" customHeight="1" x14ac:dyDescent="0.3">
      <c r="A32" t="s">
        <v>984</v>
      </c>
      <c r="B32" t="s">
        <v>138</v>
      </c>
    </row>
    <row r="33" spans="1:2" ht="15" customHeight="1" x14ac:dyDescent="0.3">
      <c r="A33" t="s">
        <v>956</v>
      </c>
      <c r="B33" t="s">
        <v>151</v>
      </c>
    </row>
    <row r="34" spans="1:2" ht="15" customHeight="1" x14ac:dyDescent="0.3">
      <c r="A34" t="s">
        <v>986</v>
      </c>
      <c r="B34" t="s">
        <v>158</v>
      </c>
    </row>
    <row r="35" spans="1:2" ht="15" customHeight="1" x14ac:dyDescent="0.3">
      <c r="A35" t="s">
        <v>847</v>
      </c>
      <c r="B35" t="s">
        <v>142</v>
      </c>
    </row>
    <row r="36" spans="1:2" ht="15" customHeight="1" x14ac:dyDescent="0.3">
      <c r="A36" t="s">
        <v>540</v>
      </c>
      <c r="B36" t="s">
        <v>365</v>
      </c>
    </row>
    <row r="37" spans="1:2" ht="15" customHeight="1" x14ac:dyDescent="0.3">
      <c r="A37" t="s">
        <v>646</v>
      </c>
      <c r="B37" t="s">
        <v>105</v>
      </c>
    </row>
    <row r="38" spans="1:2" ht="15" customHeight="1" x14ac:dyDescent="0.3">
      <c r="A38" t="s">
        <v>839</v>
      </c>
      <c r="B38" t="s">
        <v>143</v>
      </c>
    </row>
    <row r="39" spans="1:2" ht="15" customHeight="1" x14ac:dyDescent="0.3">
      <c r="A39" t="s">
        <v>679</v>
      </c>
      <c r="B39" t="s">
        <v>111</v>
      </c>
    </row>
    <row r="40" spans="1:2" ht="15" customHeight="1" x14ac:dyDescent="0.3">
      <c r="A40" t="s">
        <v>849</v>
      </c>
      <c r="B40" t="s">
        <v>153</v>
      </c>
    </row>
    <row r="41" spans="1:2" ht="15" customHeight="1" x14ac:dyDescent="0.3">
      <c r="A41" t="s">
        <v>1155</v>
      </c>
      <c r="B41" t="s">
        <v>127</v>
      </c>
    </row>
    <row r="42" spans="1:2" ht="15" customHeight="1" x14ac:dyDescent="0.3">
      <c r="A42" t="s">
        <v>570</v>
      </c>
      <c r="B42" t="s">
        <v>366</v>
      </c>
    </row>
    <row r="43" spans="1:2" ht="15" customHeight="1" x14ac:dyDescent="0.3">
      <c r="A43" t="s">
        <v>843</v>
      </c>
      <c r="B43" t="s">
        <v>161</v>
      </c>
    </row>
    <row r="44" spans="1:2" ht="15" customHeight="1" x14ac:dyDescent="0.3">
      <c r="A44" t="s">
        <v>997</v>
      </c>
      <c r="B44" t="s">
        <v>157</v>
      </c>
    </row>
    <row r="45" spans="1:2" ht="15" customHeight="1" x14ac:dyDescent="0.3">
      <c r="A45" t="s">
        <v>672</v>
      </c>
      <c r="B45" t="s">
        <v>117</v>
      </c>
    </row>
    <row r="46" spans="1:2" ht="15" customHeight="1" x14ac:dyDescent="0.3">
      <c r="A46" t="s">
        <v>572</v>
      </c>
      <c r="B46" t="s">
        <v>367</v>
      </c>
    </row>
    <row r="47" spans="1:2" ht="15" customHeight="1" x14ac:dyDescent="0.3">
      <c r="A47" t="s">
        <v>569</v>
      </c>
      <c r="B47" t="s">
        <v>368</v>
      </c>
    </row>
    <row r="48" spans="1:2" ht="15" customHeight="1" x14ac:dyDescent="0.3">
      <c r="A48" t="s">
        <v>957</v>
      </c>
      <c r="B48" t="s">
        <v>168</v>
      </c>
    </row>
    <row r="49" spans="1:2" ht="15" customHeight="1" x14ac:dyDescent="0.3">
      <c r="A49" t="s">
        <v>840</v>
      </c>
      <c r="B49" t="s">
        <v>150</v>
      </c>
    </row>
    <row r="50" spans="1:2" ht="15" customHeight="1" x14ac:dyDescent="0.3">
      <c r="A50" t="s">
        <v>783</v>
      </c>
      <c r="B50" t="s">
        <v>156</v>
      </c>
    </row>
    <row r="51" spans="1:2" ht="15" customHeight="1" x14ac:dyDescent="0.3">
      <c r="A51" t="s">
        <v>1185</v>
      </c>
      <c r="B51" t="s">
        <v>121</v>
      </c>
    </row>
    <row r="52" spans="1:2" ht="15" customHeight="1" x14ac:dyDescent="0.3">
      <c r="A52" t="s">
        <v>1385</v>
      </c>
      <c r="B52" t="s">
        <v>369</v>
      </c>
    </row>
    <row r="53" spans="1:2" ht="15" customHeight="1" x14ac:dyDescent="0.3">
      <c r="A53" t="s">
        <v>989</v>
      </c>
      <c r="B53" t="s">
        <v>155</v>
      </c>
    </row>
    <row r="54" spans="1:2" ht="15" customHeight="1" x14ac:dyDescent="0.3">
      <c r="A54" t="s">
        <v>571</v>
      </c>
      <c r="B54" t="s">
        <v>370</v>
      </c>
    </row>
    <row r="55" spans="1:2" ht="15" customHeight="1" x14ac:dyDescent="0.3">
      <c r="A55" t="s">
        <v>1274</v>
      </c>
      <c r="B55" t="s">
        <v>118</v>
      </c>
    </row>
    <row r="56" spans="1:2" ht="15" customHeight="1" x14ac:dyDescent="0.3">
      <c r="A56" t="s">
        <v>1226</v>
      </c>
      <c r="B56" t="s">
        <v>154</v>
      </c>
    </row>
    <row r="57" spans="1:2" ht="15" customHeight="1" x14ac:dyDescent="0.3">
      <c r="A57" t="s">
        <v>836</v>
      </c>
      <c r="B57" t="s">
        <v>172</v>
      </c>
    </row>
    <row r="58" spans="1:2" ht="15" customHeight="1" x14ac:dyDescent="0.3">
      <c r="A58" t="s">
        <v>863</v>
      </c>
      <c r="B58" t="s">
        <v>159</v>
      </c>
    </row>
    <row r="59" spans="1:2" ht="15" customHeight="1" x14ac:dyDescent="0.3">
      <c r="A59" t="s">
        <v>998</v>
      </c>
      <c r="B59" t="s">
        <v>164</v>
      </c>
    </row>
    <row r="60" spans="1:2" ht="15" customHeight="1" x14ac:dyDescent="0.3">
      <c r="A60" t="s">
        <v>869</v>
      </c>
      <c r="B60" t="s">
        <v>174</v>
      </c>
    </row>
    <row r="61" spans="1:2" ht="15" customHeight="1" x14ac:dyDescent="0.3">
      <c r="A61" t="s">
        <v>1268</v>
      </c>
      <c r="B61" t="s">
        <v>115</v>
      </c>
    </row>
    <row r="62" spans="1:2" ht="15" customHeight="1" x14ac:dyDescent="0.3">
      <c r="A62" t="s">
        <v>874</v>
      </c>
      <c r="B62" t="s">
        <v>177</v>
      </c>
    </row>
    <row r="63" spans="1:2" ht="15" customHeight="1" x14ac:dyDescent="0.3">
      <c r="A63" t="s">
        <v>1211</v>
      </c>
      <c r="B63" t="s">
        <v>112</v>
      </c>
    </row>
    <row r="64" spans="1:2" ht="15" customHeight="1" x14ac:dyDescent="0.3">
      <c r="A64" t="s">
        <v>810</v>
      </c>
      <c r="B64" t="s">
        <v>179</v>
      </c>
    </row>
    <row r="65" spans="1:2" ht="15" customHeight="1" x14ac:dyDescent="0.3">
      <c r="A65" t="s">
        <v>838</v>
      </c>
      <c r="B65" t="s">
        <v>176</v>
      </c>
    </row>
    <row r="66" spans="1:2" ht="15" customHeight="1" x14ac:dyDescent="0.3">
      <c r="A66" t="s">
        <v>1417</v>
      </c>
      <c r="B66" t="s">
        <v>125</v>
      </c>
    </row>
    <row r="67" spans="1:2" ht="15" customHeight="1" x14ac:dyDescent="0.3">
      <c r="A67" t="s">
        <v>965</v>
      </c>
      <c r="B67" t="s">
        <v>171</v>
      </c>
    </row>
    <row r="68" spans="1:2" ht="15" customHeight="1" x14ac:dyDescent="0.3">
      <c r="A68" t="s">
        <v>972</v>
      </c>
      <c r="B68" t="s">
        <v>182</v>
      </c>
    </row>
    <row r="69" spans="1:2" ht="15" customHeight="1" x14ac:dyDescent="0.3">
      <c r="A69" t="s">
        <v>1424</v>
      </c>
      <c r="B69" t="s">
        <v>132</v>
      </c>
    </row>
    <row r="70" spans="1:2" ht="15" customHeight="1" x14ac:dyDescent="0.3">
      <c r="A70" t="s">
        <v>900</v>
      </c>
      <c r="B70" t="s">
        <v>189</v>
      </c>
    </row>
    <row r="71" spans="1:2" ht="15" customHeight="1" x14ac:dyDescent="0.3">
      <c r="A71" t="s">
        <v>1246</v>
      </c>
      <c r="B71" t="s">
        <v>130</v>
      </c>
    </row>
    <row r="72" spans="1:2" ht="15" customHeight="1" x14ac:dyDescent="0.3">
      <c r="A72" t="s">
        <v>1421</v>
      </c>
      <c r="B72" t="s">
        <v>183</v>
      </c>
    </row>
    <row r="73" spans="1:2" ht="15" customHeight="1" x14ac:dyDescent="0.3">
      <c r="A73" t="s">
        <v>1329</v>
      </c>
      <c r="B73" t="s">
        <v>170</v>
      </c>
    </row>
    <row r="74" spans="1:2" ht="15" customHeight="1" x14ac:dyDescent="0.3">
      <c r="A74" t="s">
        <v>1234</v>
      </c>
      <c r="B74" t="s">
        <v>181</v>
      </c>
    </row>
    <row r="75" spans="1:2" ht="15" customHeight="1" x14ac:dyDescent="0.3">
      <c r="A75" t="s">
        <v>1426</v>
      </c>
      <c r="B75" t="s">
        <v>184</v>
      </c>
    </row>
    <row r="76" spans="1:2" ht="15" customHeight="1" x14ac:dyDescent="0.3">
      <c r="A76" t="s">
        <v>1425</v>
      </c>
      <c r="B76" t="s">
        <v>131</v>
      </c>
    </row>
    <row r="77" spans="1:2" ht="15" customHeight="1" x14ac:dyDescent="0.3">
      <c r="A77" t="s">
        <v>993</v>
      </c>
      <c r="B77" t="s">
        <v>180</v>
      </c>
    </row>
    <row r="78" spans="1:2" ht="15" customHeight="1" x14ac:dyDescent="0.3">
      <c r="A78" t="s">
        <v>1416</v>
      </c>
      <c r="B78" t="s">
        <v>134</v>
      </c>
    </row>
    <row r="79" spans="1:2" ht="15" customHeight="1" x14ac:dyDescent="0.3">
      <c r="A79" t="s">
        <v>1442</v>
      </c>
      <c r="B79" t="s">
        <v>371</v>
      </c>
    </row>
    <row r="80" spans="1:2" ht="15" customHeight="1" x14ac:dyDescent="0.3">
      <c r="A80" t="s">
        <v>1420</v>
      </c>
      <c r="B80" t="s">
        <v>140</v>
      </c>
    </row>
    <row r="81" spans="1:2" ht="15" customHeight="1" x14ac:dyDescent="0.3">
      <c r="A81" t="s">
        <v>880</v>
      </c>
      <c r="B81" t="s">
        <v>193</v>
      </c>
    </row>
    <row r="82" spans="1:2" ht="15" customHeight="1" x14ac:dyDescent="0.3">
      <c r="A82" t="s">
        <v>1443</v>
      </c>
      <c r="B82" t="s">
        <v>372</v>
      </c>
    </row>
    <row r="83" spans="1:2" ht="15" customHeight="1" x14ac:dyDescent="0.3">
      <c r="A83" t="s">
        <v>1429</v>
      </c>
      <c r="B83" t="s">
        <v>186</v>
      </c>
    </row>
    <row r="84" spans="1:2" ht="15" customHeight="1" x14ac:dyDescent="0.3">
      <c r="A84" t="s">
        <v>1418</v>
      </c>
      <c r="B84" t="s">
        <v>136</v>
      </c>
    </row>
    <row r="85" spans="1:2" ht="15" customHeight="1" x14ac:dyDescent="0.3">
      <c r="A85" t="s">
        <v>1444</v>
      </c>
      <c r="B85" t="s">
        <v>198</v>
      </c>
    </row>
    <row r="86" spans="1:2" ht="15" customHeight="1" x14ac:dyDescent="0.3">
      <c r="A86" t="s">
        <v>1445</v>
      </c>
      <c r="B86" t="s">
        <v>188</v>
      </c>
    </row>
    <row r="87" spans="1:2" ht="15" customHeight="1" x14ac:dyDescent="0.3">
      <c r="A87" t="s">
        <v>944</v>
      </c>
      <c r="B87" t="s">
        <v>185</v>
      </c>
    </row>
    <row r="88" spans="1:2" ht="15" customHeight="1" x14ac:dyDescent="0.3">
      <c r="A88" t="s">
        <v>1430</v>
      </c>
      <c r="B88" t="s">
        <v>197</v>
      </c>
    </row>
    <row r="89" spans="1:2" ht="15" customHeight="1" x14ac:dyDescent="0.3">
      <c r="A89" t="s">
        <v>1427</v>
      </c>
      <c r="B89" t="s">
        <v>201</v>
      </c>
    </row>
    <row r="90" spans="1:2" ht="15" customHeight="1" x14ac:dyDescent="0.3">
      <c r="A90" t="s">
        <v>991</v>
      </c>
      <c r="B90" t="s">
        <v>194</v>
      </c>
    </row>
    <row r="91" spans="1:2" ht="15" customHeight="1" x14ac:dyDescent="0.3">
      <c r="A91" t="s">
        <v>1446</v>
      </c>
      <c r="B91" t="s">
        <v>144</v>
      </c>
    </row>
    <row r="92" spans="1:2" ht="15" customHeight="1" x14ac:dyDescent="0.3">
      <c r="A92" t="s">
        <v>1447</v>
      </c>
      <c r="B92" t="s">
        <v>195</v>
      </c>
    </row>
    <row r="93" spans="1:2" ht="15" customHeight="1" x14ac:dyDescent="0.3"/>
    <row r="94" spans="1:2" ht="15" customHeight="1" x14ac:dyDescent="0.3">
      <c r="A94" t="s">
        <v>873</v>
      </c>
      <c r="B94" t="s">
        <v>202</v>
      </c>
    </row>
    <row r="95" spans="1:2" ht="15" customHeight="1" x14ac:dyDescent="0.3">
      <c r="A95" t="s">
        <v>695</v>
      </c>
      <c r="B95" t="s">
        <v>214</v>
      </c>
    </row>
    <row r="96" spans="1:2" ht="15" customHeight="1" x14ac:dyDescent="0.3">
      <c r="A96" t="s">
        <v>1428</v>
      </c>
      <c r="B96" t="s">
        <v>192</v>
      </c>
    </row>
    <row r="97" spans="1:2" ht="15" customHeight="1" x14ac:dyDescent="0.3">
      <c r="A97" t="s">
        <v>1448</v>
      </c>
      <c r="B97" t="s">
        <v>373</v>
      </c>
    </row>
    <row r="98" spans="1:2" ht="15" customHeight="1" x14ac:dyDescent="0.3">
      <c r="A98" t="s">
        <v>1449</v>
      </c>
      <c r="B98" t="s">
        <v>374</v>
      </c>
    </row>
    <row r="99" spans="1:2" ht="15" customHeight="1" x14ac:dyDescent="0.3">
      <c r="A99" t="s">
        <v>980</v>
      </c>
      <c r="B99" t="s">
        <v>196</v>
      </c>
    </row>
    <row r="100" spans="1:2" ht="15" customHeight="1" x14ac:dyDescent="0.3">
      <c r="A100" t="s">
        <v>1450</v>
      </c>
      <c r="B100" t="s">
        <v>135</v>
      </c>
    </row>
    <row r="101" spans="1:2" ht="15" customHeight="1" x14ac:dyDescent="0.3">
      <c r="A101" t="s">
        <v>1422</v>
      </c>
      <c r="B101" t="s">
        <v>200</v>
      </c>
    </row>
    <row r="102" spans="1:2" ht="15" customHeight="1" x14ac:dyDescent="0.3">
      <c r="A102" t="s">
        <v>1451</v>
      </c>
      <c r="B102" t="s">
        <v>220</v>
      </c>
    </row>
    <row r="103" spans="1:2" ht="15" customHeight="1" x14ac:dyDescent="0.3">
      <c r="A103" t="s">
        <v>1452</v>
      </c>
      <c r="B103" t="s">
        <v>375</v>
      </c>
    </row>
    <row r="104" spans="1:2" ht="15" customHeight="1" x14ac:dyDescent="0.3">
      <c r="A104" t="s">
        <v>1453</v>
      </c>
      <c r="B104" t="s">
        <v>376</v>
      </c>
    </row>
    <row r="105" spans="1:2" ht="15" customHeight="1" x14ac:dyDescent="0.3">
      <c r="A105" t="s">
        <v>1454</v>
      </c>
      <c r="B105" t="s">
        <v>377</v>
      </c>
    </row>
    <row r="106" spans="1:2" ht="15" customHeight="1" x14ac:dyDescent="0.3">
      <c r="A106" t="s">
        <v>694</v>
      </c>
      <c r="B106" t="s">
        <v>141</v>
      </c>
    </row>
    <row r="107" spans="1:2" ht="15" customHeight="1" x14ac:dyDescent="0.3">
      <c r="A107" t="s">
        <v>1455</v>
      </c>
      <c r="B107" t="s">
        <v>378</v>
      </c>
    </row>
    <row r="108" spans="1:2" ht="15" customHeight="1" x14ac:dyDescent="0.3">
      <c r="A108" t="s">
        <v>1367</v>
      </c>
      <c r="B108" t="s">
        <v>210</v>
      </c>
    </row>
    <row r="109" spans="1:2" ht="15" customHeight="1" x14ac:dyDescent="0.3">
      <c r="A109" t="s">
        <v>1415</v>
      </c>
      <c r="B109" t="s">
        <v>209</v>
      </c>
    </row>
    <row r="110" spans="1:2" ht="15" customHeight="1" x14ac:dyDescent="0.3">
      <c r="A110" t="s">
        <v>1456</v>
      </c>
      <c r="B110" t="s">
        <v>379</v>
      </c>
    </row>
    <row r="111" spans="1:2" ht="15" customHeight="1" x14ac:dyDescent="0.3">
      <c r="A111" t="s">
        <v>1457</v>
      </c>
      <c r="B111" t="s">
        <v>218</v>
      </c>
    </row>
    <row r="112" spans="1:2" ht="15" customHeight="1" x14ac:dyDescent="0.3">
      <c r="A112" t="s">
        <v>1431</v>
      </c>
      <c r="B112" t="s">
        <v>208</v>
      </c>
    </row>
    <row r="113" spans="1:2" ht="15" customHeight="1" x14ac:dyDescent="0.3">
      <c r="A113" t="s">
        <v>1423</v>
      </c>
      <c r="B113" t="s">
        <v>147</v>
      </c>
    </row>
    <row r="114" spans="1:2" ht="15" customHeight="1" x14ac:dyDescent="0.3">
      <c r="A114" t="s">
        <v>1458</v>
      </c>
      <c r="B114" t="s">
        <v>145</v>
      </c>
    </row>
    <row r="115" spans="1:2" ht="15" customHeight="1" x14ac:dyDescent="0.3"/>
    <row r="116" spans="1:2" ht="15" customHeight="1" x14ac:dyDescent="0.3"/>
    <row r="117" spans="1:2" ht="15" customHeight="1" x14ac:dyDescent="0.3"/>
    <row r="118" spans="1:2" ht="15" customHeight="1" x14ac:dyDescent="0.3"/>
    <row r="119" spans="1:2" ht="15" customHeight="1" x14ac:dyDescent="0.3"/>
    <row r="120" spans="1:2" ht="15" customHeight="1" x14ac:dyDescent="0.3"/>
    <row r="121" spans="1:2" ht="15" customHeight="1" x14ac:dyDescent="0.3"/>
    <row r="122" spans="1:2" ht="15" customHeight="1" x14ac:dyDescent="0.3"/>
    <row r="123" spans="1:2" ht="15" customHeight="1" x14ac:dyDescent="0.3"/>
    <row r="124" spans="1:2" ht="15" customHeight="1" x14ac:dyDescent="0.3"/>
    <row r="125" spans="1:2" ht="15" customHeight="1" x14ac:dyDescent="0.3"/>
    <row r="126" spans="1:2" ht="15" customHeight="1" x14ac:dyDescent="0.3"/>
    <row r="127" spans="1:2" ht="15" customHeight="1" x14ac:dyDescent="0.3"/>
    <row r="128" spans="1:2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Scoring</vt:lpstr>
      <vt:lpstr>DraftSheet</vt:lpstr>
      <vt:lpstr>Aggregate</vt:lpstr>
      <vt:lpstr>QB</vt:lpstr>
      <vt:lpstr>RB</vt:lpstr>
      <vt:lpstr>WR</vt:lpstr>
      <vt:lpstr>TE</vt:lpstr>
      <vt:lpstr>ECR</vt:lpstr>
      <vt:lpstr>FLEX</vt:lpstr>
      <vt:lpstr>RISK</vt:lpstr>
      <vt:lpstr>Rookies</vt:lpstr>
      <vt:lpstr>DraftSheet!Print_Area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smith</dc:creator>
  <dc:description/>
  <cp:lastModifiedBy>aaron smith</cp:lastModifiedBy>
  <cp:revision>0</cp:revision>
  <cp:lastPrinted>2026-08-24T12:33:20Z</cp:lastPrinted>
  <dcterms:created xsi:type="dcterms:W3CDTF">2025-07-31T16:01:58Z</dcterms:created>
  <dcterms:modified xsi:type="dcterms:W3CDTF">2026-09-04T22:15:26Z</dcterms:modified>
  <dc:language>en-US</dc:language>
</cp:coreProperties>
</file>